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us\Documents\My Docs BI\"/>
    </mc:Choice>
  </mc:AlternateContent>
  <xr:revisionPtr revIDLastSave="0" documentId="13_ncr:1_{6BE453AC-5867-4889-99D9-EFFEF94DC945}" xr6:coauthVersionLast="47" xr6:coauthVersionMax="47" xr10:uidLastSave="{00000000-0000-0000-0000-000000000000}"/>
  <bookViews>
    <workbookView xWindow="-108" yWindow="-108" windowWidth="23256" windowHeight="12576" activeTab="1" xr2:uid="{1B68F88D-CAB5-4B49-BAD9-9AAEA3B329A1}"/>
  </bookViews>
  <sheets>
    <sheet name="dataset" sheetId="2" r:id="rId1"/>
    <sheet name="Analises" sheetId="1" r:id="rId2"/>
    <sheet name="Dashboard" sheetId="6" r:id="rId3"/>
  </sheets>
  <definedNames>
    <definedName name="DadosExternos_1" localSheetId="0" hidden="1">dataset!$A$1:$AB$1001</definedName>
    <definedName name="SegmentaçãodeDados_Emprego">#N/A</definedName>
    <definedName name="SegmentaçãodeDados_Sexo">#N/A</definedName>
    <definedName name="SegmentaçãodeDados_Status_de_Risco">#N/A</definedName>
    <definedName name="SegmentaçãodeDados_Trabalhador_estrangeiro">#N/A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9A3979-9E3B-4CF5-B4DA-10D3BE388E6F}" keepAlive="1" name="Consulta - risco-de-credito-alemao-traduzido-ptgues" description="Conexão com a consulta 'risco-de-credito-alemao-traduzido-ptgues' na pasta de trabalho." type="5" refreshedVersion="7" background="1" saveData="1">
    <dbPr connection="Provider=Microsoft.Mashup.OleDb.1;Data Source=$Workbook$;Location=risco-de-credito-alemao-traduzido-ptgues;Extended Properties=&quot;&quot;" command="SELECT * FROM [risco-de-credito-alemao-traduzido-ptgues]"/>
  </connection>
</connections>
</file>

<file path=xl/sharedStrings.xml><?xml version="1.0" encoding="utf-8"?>
<sst xmlns="http://schemas.openxmlformats.org/spreadsheetml/2006/main" count="19094" uniqueCount="114">
  <si>
    <t>Status de Risco</t>
  </si>
  <si>
    <t>Movimentação na conta</t>
  </si>
  <si>
    <t>Status conta corrente</t>
  </si>
  <si>
    <t>Duração em meses</t>
  </si>
  <si>
    <t>Histórico de pagamentos</t>
  </si>
  <si>
    <t>Finalidade do crédito</t>
  </si>
  <si>
    <t>Valor do crédito</t>
  </si>
  <si>
    <t>Saldo em conta poupança/títulos</t>
  </si>
  <si>
    <t>Status poupança</t>
  </si>
  <si>
    <t>Emprego atual desde</t>
  </si>
  <si>
    <t>Status emprego</t>
  </si>
  <si>
    <t>Comprometimento de Renda</t>
  </si>
  <si>
    <t>Sexo</t>
  </si>
  <si>
    <t>Estado civil</t>
  </si>
  <si>
    <t>Outros devedores/garantidores</t>
  </si>
  <si>
    <t>Residência atual desde</t>
  </si>
  <si>
    <t>Bem/Propriedade Principal</t>
  </si>
  <si>
    <t>Idade em anos</t>
  </si>
  <si>
    <t>Parcelamento com terceiros</t>
  </si>
  <si>
    <t>Forma de Moradia</t>
  </si>
  <si>
    <t>Número de créditos existentes neste banco</t>
  </si>
  <si>
    <t>Emprego</t>
  </si>
  <si>
    <t>Número de dependentes</t>
  </si>
  <si>
    <t>Possui Telefone</t>
  </si>
  <si>
    <t>Trabalhador estrangeiro</t>
  </si>
  <si>
    <t>Target</t>
  </si>
  <si>
    <t>baixo risco</t>
  </si>
  <si>
    <t>&lt; 0 $</t>
  </si>
  <si>
    <t>negativo/devedor</t>
  </si>
  <si>
    <t>conta critica / dividas com terceiros</t>
  </si>
  <si>
    <t>radio ou televisao</t>
  </si>
  <si>
    <t>sem poupança</t>
  </si>
  <si>
    <t>&gt;= 7 anos</t>
  </si>
  <si>
    <t>Muito Estável (&gt; 7 anos)</t>
  </si>
  <si>
    <t>masculino</t>
  </si>
  <si>
    <t>solteiro</t>
  </si>
  <si>
    <t>nenhum</t>
  </si>
  <si>
    <t>imovel</t>
  </si>
  <si>
    <t>própria</t>
  </si>
  <si>
    <t>Func. Público/Qualificado</t>
  </si>
  <si>
    <t>sim</t>
  </si>
  <si>
    <t>alto risco</t>
  </si>
  <si>
    <t>&gt;= 0 &lt; 200 $</t>
  </si>
  <si>
    <t>saldo baixo</t>
  </si>
  <si>
    <t>pgto em dia neste banco (em aberto)</t>
  </si>
  <si>
    <t>&lt; 100 $</t>
  </si>
  <si>
    <t>Baixo (&lt; 100 $)</t>
  </si>
  <si>
    <t>&lt; 4 anos</t>
  </si>
  <si>
    <t>Intermediário (1-4 anos)</t>
  </si>
  <si>
    <t>feminino</t>
  </si>
  <si>
    <t>divorciada/casada</t>
  </si>
  <si>
    <t>não</t>
  </si>
  <si>
    <t>sem conta corrente</t>
  </si>
  <si>
    <t>sem conta no banco</t>
  </si>
  <si>
    <t>educacao</t>
  </si>
  <si>
    <t>&lt; 7 anos</t>
  </si>
  <si>
    <t>Estável (4-7 anos)</t>
  </si>
  <si>
    <t>Empregado Comum</t>
  </si>
  <si>
    <t>moveis e equipamentos</t>
  </si>
  <si>
    <t>garantidor</t>
  </si>
  <si>
    <t>poupança ou seguro de vida</t>
  </si>
  <si>
    <t>gratuita</t>
  </si>
  <si>
    <t>pgto em atraso no passado</t>
  </si>
  <si>
    <t>carro novo</t>
  </si>
  <si>
    <t>sem bens</t>
  </si>
  <si>
    <t>&gt;= 500 &lt; 1000 $</t>
  </si>
  <si>
    <t>Alto (500-1000 $)</t>
  </si>
  <si>
    <t>carro usado</t>
  </si>
  <si>
    <t>carro ou outros-quitado</t>
  </si>
  <si>
    <t>aluguel</t>
  </si>
  <si>
    <t>Executivo/Empresário</t>
  </si>
  <si>
    <t>&gt;= 1000 $</t>
  </si>
  <si>
    <t>Muito alto (&gt;1000$)</t>
  </si>
  <si>
    <t>divorciado</t>
  </si>
  <si>
    <t>desempregado</t>
  </si>
  <si>
    <t>casado/viuvo</t>
  </si>
  <si>
    <t>&lt; 1 ano</t>
  </si>
  <si>
    <t>Iniciante (&lt; 1 ano)</t>
  </si>
  <si>
    <t>negocios</t>
  </si>
  <si>
    <t>&gt;= 100 &lt; 500 $</t>
  </si>
  <si>
    <t>Médio (100-500$)</t>
  </si>
  <si>
    <t>nenhum/pgto em dia</t>
  </si>
  <si>
    <t>banco</t>
  </si>
  <si>
    <t>&gt;= 200 $</t>
  </si>
  <si>
    <t>saldo saudável</t>
  </si>
  <si>
    <t>pgto em dia neste banco (quitado)</t>
  </si>
  <si>
    <t>loja</t>
  </si>
  <si>
    <t>codevedor</t>
  </si>
  <si>
    <t>eletrodomesticos</t>
  </si>
  <si>
    <t>reparos</t>
  </si>
  <si>
    <t>Não qualificado/Desempregado</t>
  </si>
  <si>
    <t>outros</t>
  </si>
  <si>
    <t>reciclagem profissional</t>
  </si>
  <si>
    <t>ID_Cliente</t>
  </si>
  <si>
    <t>Faixa Etária</t>
  </si>
  <si>
    <t>Idoso (60+)</t>
  </si>
  <si>
    <t>Jovem (18-25)</t>
  </si>
  <si>
    <t>Sénior (41-60)</t>
  </si>
  <si>
    <t>Adulto (26-40)</t>
  </si>
  <si>
    <t>Rótulos de Linha</t>
  </si>
  <si>
    <t>Total Geral</t>
  </si>
  <si>
    <t>Rótulos de Coluna</t>
  </si>
  <si>
    <t>Soma de ID_Cliente</t>
  </si>
  <si>
    <t>Contagem de ID_Cliente</t>
  </si>
  <si>
    <t>(Tudo)</t>
  </si>
  <si>
    <t>4-15</t>
  </si>
  <si>
    <t>16-27</t>
  </si>
  <si>
    <t>28-39</t>
  </si>
  <si>
    <t>40-51</t>
  </si>
  <si>
    <t>52-63</t>
  </si>
  <si>
    <t>64-75</t>
  </si>
  <si>
    <t>Soma de Valor do crédito</t>
  </si>
  <si>
    <t>Média de Valor do crédito</t>
  </si>
  <si>
    <t>Média de Valor do crédito2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</si>
</sst>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00_ ;_-[$$-409]* \-#,##0.00\ ;_-[$$-409]* &quot;-&quot;??_ ;_-@_ "/>
  </numFmts>
  <fonts count="2" x14ac:knownFonts="1">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4" tint="-0.499984740745262"/>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9">
    <xf numFmtId="0" fontId="0" fillId="0" borderId="0" xfId="0"/>
    <xf numFmtId="0" fontId="0" fillId="0" borderId="0" xfId="0" pivotButton="1"/>
    <xf numFmtId="0" fontId="0" fillId="0" borderId="0" xfId="0" applyAlignment="1">
      <alignment horizontal="left"/>
    </xf>
    <xf numFmtId="9" fontId="0" fillId="0" borderId="0" xfId="0" pivotButton="1" applyNumberFormat="1"/>
    <xf numFmtId="10" fontId="0" fillId="0" borderId="0" xfId="0" applyNumberFormat="1"/>
    <xf numFmtId="164" fontId="0" fillId="0" borderId="0" xfId="0" applyNumberFormat="1"/>
    <xf numFmtId="0" fontId="0" fillId="2" borderId="0" xfId="0" applyFill="1"/>
    <xf numFmtId="9" fontId="0" fillId="0" borderId="0" xfId="1" applyFont="1"/>
    <xf numFmtId="0" fontId="0" fillId="0" borderId="0" xfId="0" applyNumberFormat="1"/>
  </cellXfs>
  <cellStyles count="2">
    <cellStyle name="Normal" xfId="0" builtinId="0"/>
    <cellStyle name="Porcentagem" xfId="1" builtinId="5"/>
  </cellStyles>
  <dxfs count="26">
    <dxf>
      <numFmt numFmtId="164" formatCode="_-[$$-409]* #,##0.00_ ;_-[$$-409]* \-#,##0.00\ ;_-[$$-409]* &quot;-&quot;??_ ;_-@_ "/>
    </dxf>
    <dxf>
      <numFmt numFmtId="164" formatCode="_-[$$-409]* #,##0.00_ ;_-[$$-409]* \-#,##0.00\ ;_-[$$-409]* &quot;-&quot;??_ ;_-@_ "/>
    </dxf>
    <dxf>
      <numFmt numFmtId="164" formatCode="_-[$$-409]* #,##0.00_ ;_-[$$-409]* \-#,##0.00\ ;_-[$$-409]* &quot;-&quot;??_ ;_-@_ "/>
    </dxf>
    <dxf>
      <numFmt numFmtId="165" formatCode="#,##0.00\ &quot;€&quot;"/>
    </dxf>
    <dxf>
      <numFmt numFmtId="14" formatCode="0.00%"/>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0"/>
      </font>
      <fill>
        <patternFill>
          <bgColor rgb="FF1F1F6F"/>
        </patternFill>
      </fill>
    </dxf>
    <dxf>
      <font>
        <color theme="0"/>
      </font>
      <fill>
        <patternFill>
          <bgColor rgb="FF2F5597"/>
        </patternFill>
      </fill>
      <border diagonalUp="0" diagonalDown="0">
        <left/>
        <right/>
        <top/>
        <bottom/>
        <vertical/>
        <horizontal/>
      </border>
    </dxf>
  </dxfs>
  <tableStyles count="1" defaultTableStyle="TableStyleMedium2" defaultPivotStyle="PivotStyleLight16">
    <tableStyle name="Status risco" pivot="0" table="0" count="4" xr9:uid="{9245BD55-4AE7-46FE-A654-A798D4C918DB}">
      <tableStyleElement type="wholeTable" dxfId="25"/>
      <tableStyleElement type="headerRow" dxfId="24"/>
    </tableStyle>
  </tableStyles>
  <colors>
    <mruColors>
      <color rgb="FF2F5597"/>
      <color rgb="FF3D6EBA"/>
      <color rgb="FF00D4FF"/>
      <color rgb="FF1F1F6F"/>
      <color rgb="FF16213E"/>
      <color rgb="FFFFB74D"/>
      <color rgb="FFE0E6ED"/>
      <color rgb="FF728098"/>
      <color rgb="FF26A69A"/>
      <color rgb="FFFF6B6B"/>
    </mruColors>
  </colors>
  <extLst>
    <ext xmlns:x14="http://schemas.microsoft.com/office/spreadsheetml/2009/9/main" uri="{46F421CA-312F-682f-3DD2-61675219B42D}">
      <x14:dxfs count="2">
        <dxf>
          <font>
            <color theme="2" tint="-9.9948118533890809E-2"/>
          </font>
          <fill>
            <patternFill>
              <bgColor rgb="FF3D6EBA"/>
            </patternFill>
          </fill>
        </dxf>
        <dxf>
          <font>
            <color auto="1"/>
          </font>
          <fill>
            <patternFill>
              <bgColor rgb="FF00D4FF"/>
            </patternFill>
          </fill>
        </dxf>
      </x14:dxfs>
    </ext>
    <ext xmlns:x14="http://schemas.microsoft.com/office/spreadsheetml/2009/9/main" uri="{EB79DEF2-80B8-43e5-95BD-54CBDDF9020C}">
      <x14:slicerStyles defaultSlicerStyle="SlicerStyleLight1">
        <x14:slicerStyle name="Status risco">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2.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[Análise de Risco de credito Macro.xlsm]Analises!Tabela dinâmica2</c:name>
    <c:fmtId val="19"/>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pt-PT"/>
              <a:t>RISCO POR FINALIDADE DO CRÉDITO</a:t>
            </a:r>
          </a:p>
        </c:rich>
      </c:tx>
      <c:layout>
        <c:manualLayout>
          <c:xMode val="edge"/>
          <c:yMode val="edge"/>
          <c:x val="2.8093531828664326E-2"/>
          <c:y val="9.6720197185410639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pt-PT"/>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B6B">
              <a:alpha val="84706"/>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6A69A">
              <a:alpha val="84706"/>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Analises!$C$4:$C$5</c:f>
              <c:strCache>
                <c:ptCount val="1"/>
                <c:pt idx="0">
                  <c:v>alto risco</c:v>
                </c:pt>
              </c:strCache>
            </c:strRef>
          </c:tx>
          <c:spPr>
            <a:solidFill>
              <a:srgbClr val="FF6B6B">
                <a:alpha val="84706"/>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Analises!$B$6:$B$16</c:f>
              <c:strCache>
                <c:ptCount val="10"/>
                <c:pt idx="0">
                  <c:v>carro novo</c:v>
                </c:pt>
                <c:pt idx="1">
                  <c:v>carro usado</c:v>
                </c:pt>
                <c:pt idx="2">
                  <c:v>educacao</c:v>
                </c:pt>
                <c:pt idx="3">
                  <c:v>eletrodomesticos</c:v>
                </c:pt>
                <c:pt idx="4">
                  <c:v>moveis e equipamentos</c:v>
                </c:pt>
                <c:pt idx="5">
                  <c:v>negocios</c:v>
                </c:pt>
                <c:pt idx="6">
                  <c:v>outros</c:v>
                </c:pt>
                <c:pt idx="7">
                  <c:v>radio ou televisao</c:v>
                </c:pt>
                <c:pt idx="8">
                  <c:v>reciclagem profissional</c:v>
                </c:pt>
                <c:pt idx="9">
                  <c:v>reparos</c:v>
                </c:pt>
              </c:strCache>
            </c:strRef>
          </c:cat>
          <c:val>
            <c:numRef>
              <c:f>Analises!$C$6:$C$16</c:f>
              <c:numCache>
                <c:formatCode>0.00%</c:formatCode>
                <c:ptCount val="10"/>
                <c:pt idx="0">
                  <c:v>0.38034188034188032</c:v>
                </c:pt>
                <c:pt idx="1">
                  <c:v>0.1650485436893204</c:v>
                </c:pt>
                <c:pt idx="2">
                  <c:v>0.44</c:v>
                </c:pt>
                <c:pt idx="3">
                  <c:v>0.33333333333333331</c:v>
                </c:pt>
                <c:pt idx="4">
                  <c:v>0.32044198895027626</c:v>
                </c:pt>
                <c:pt idx="5">
                  <c:v>0.35051546391752575</c:v>
                </c:pt>
                <c:pt idx="6">
                  <c:v>0.41666666666666669</c:v>
                </c:pt>
                <c:pt idx="7">
                  <c:v>0.22142857142857142</c:v>
                </c:pt>
                <c:pt idx="8">
                  <c:v>0.1111111111111111</c:v>
                </c:pt>
                <c:pt idx="9">
                  <c:v>0.36363636363636365</c:v>
                </c:pt>
              </c:numCache>
            </c:numRef>
          </c:val>
          <c:extLst>
            <c:ext xmlns:c16="http://schemas.microsoft.com/office/drawing/2014/chart" uri="{C3380CC4-5D6E-409C-BE32-E72D297353CC}">
              <c16:uniqueId val="{00000000-9479-49D9-979D-4882BFA1E608}"/>
            </c:ext>
          </c:extLst>
        </c:ser>
        <c:ser>
          <c:idx val="1"/>
          <c:order val="1"/>
          <c:tx>
            <c:strRef>
              <c:f>Analises!$D$4:$D$5</c:f>
              <c:strCache>
                <c:ptCount val="1"/>
                <c:pt idx="0">
                  <c:v>baixo risco</c:v>
                </c:pt>
              </c:strCache>
            </c:strRef>
          </c:tx>
          <c:spPr>
            <a:solidFill>
              <a:srgbClr val="26A69A">
                <a:alpha val="84706"/>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P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Analises!$B$6:$B$16</c:f>
              <c:strCache>
                <c:ptCount val="10"/>
                <c:pt idx="0">
                  <c:v>carro novo</c:v>
                </c:pt>
                <c:pt idx="1">
                  <c:v>carro usado</c:v>
                </c:pt>
                <c:pt idx="2">
                  <c:v>educacao</c:v>
                </c:pt>
                <c:pt idx="3">
                  <c:v>eletrodomesticos</c:v>
                </c:pt>
                <c:pt idx="4">
                  <c:v>moveis e equipamentos</c:v>
                </c:pt>
                <c:pt idx="5">
                  <c:v>negocios</c:v>
                </c:pt>
                <c:pt idx="6">
                  <c:v>outros</c:v>
                </c:pt>
                <c:pt idx="7">
                  <c:v>radio ou televisao</c:v>
                </c:pt>
                <c:pt idx="8">
                  <c:v>reciclagem profissional</c:v>
                </c:pt>
                <c:pt idx="9">
                  <c:v>reparos</c:v>
                </c:pt>
              </c:strCache>
            </c:strRef>
          </c:cat>
          <c:val>
            <c:numRef>
              <c:f>Analises!$D$6:$D$16</c:f>
              <c:numCache>
                <c:formatCode>0.00%</c:formatCode>
                <c:ptCount val="10"/>
                <c:pt idx="0">
                  <c:v>0.61965811965811968</c:v>
                </c:pt>
                <c:pt idx="1">
                  <c:v>0.83495145631067957</c:v>
                </c:pt>
                <c:pt idx="2">
                  <c:v>0.56000000000000005</c:v>
                </c:pt>
                <c:pt idx="3">
                  <c:v>0.66666666666666663</c:v>
                </c:pt>
                <c:pt idx="4">
                  <c:v>0.6795580110497238</c:v>
                </c:pt>
                <c:pt idx="5">
                  <c:v>0.64948453608247425</c:v>
                </c:pt>
                <c:pt idx="6">
                  <c:v>0.58333333333333337</c:v>
                </c:pt>
                <c:pt idx="7">
                  <c:v>0.77857142857142858</c:v>
                </c:pt>
                <c:pt idx="8">
                  <c:v>0.88888888888888884</c:v>
                </c:pt>
                <c:pt idx="9">
                  <c:v>0.63636363636363635</c:v>
                </c:pt>
              </c:numCache>
            </c:numRef>
          </c:val>
          <c:extLst>
            <c:ext xmlns:c16="http://schemas.microsoft.com/office/drawing/2014/chart" uri="{C3380CC4-5D6E-409C-BE32-E72D297353CC}">
              <c16:uniqueId val="{00000002-4370-4FFB-A130-E4F5EC8D1A36}"/>
            </c:ext>
          </c:extLst>
        </c:ser>
        <c:dLbls>
          <c:dLblPos val="inEnd"/>
          <c:showLegendKey val="0"/>
          <c:showVal val="1"/>
          <c:showCatName val="0"/>
          <c:showSerName val="0"/>
          <c:showPercent val="0"/>
          <c:showBubbleSize val="0"/>
        </c:dLbls>
        <c:gapWidth val="65"/>
        <c:axId val="1053887567"/>
        <c:axId val="1053881743"/>
      </c:barChart>
      <c:catAx>
        <c:axId val="1053887567"/>
        <c:scaling>
          <c:orientation val="minMax"/>
        </c:scaling>
        <c:delete val="0"/>
        <c:axPos val="l"/>
        <c:numFmt formatCode="General" sourceLinked="1"/>
        <c:majorTickMark val="none"/>
        <c:minorTickMark val="none"/>
        <c:tickLblPos val="nextTo"/>
        <c:spPr>
          <a:noFill/>
          <a:ln w="19050" cap="flat" cmpd="sng" algn="ctr">
            <a:solidFill>
              <a:srgbClr val="44546A"/>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pt-PT"/>
          </a:p>
        </c:txPr>
        <c:crossAx val="1053881743"/>
        <c:crosses val="autoZero"/>
        <c:auto val="1"/>
        <c:lblAlgn val="ctr"/>
        <c:lblOffset val="100"/>
        <c:noMultiLvlLbl val="0"/>
      </c:catAx>
      <c:valAx>
        <c:axId val="1053881743"/>
        <c:scaling>
          <c:orientation val="minMax"/>
        </c:scaling>
        <c:delete val="1"/>
        <c:axPos val="b"/>
        <c:numFmt formatCode="0.00%" sourceLinked="1"/>
        <c:majorTickMark val="none"/>
        <c:minorTickMark val="none"/>
        <c:tickLblPos val="nextTo"/>
        <c:crossAx val="1053887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6213E">
        <a:alpha val="40000"/>
      </a:srgbClr>
    </a:solidFill>
    <a:ln w="9525" cap="flat" cmpd="sng" algn="ctr">
      <a:noFill/>
      <a:round/>
    </a:ln>
    <a:effectLst/>
  </c:spPr>
  <c:txPr>
    <a:bodyPr/>
    <a:lstStyle/>
    <a:p>
      <a:pPr>
        <a:defRPr>
          <a:solidFill>
            <a:schemeClr val="bg1"/>
          </a:solidFill>
        </a:defRPr>
      </a:pPr>
      <a:endParaRPr lang="pt-PT"/>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[Análise de Risco de credito Macro.xlsm]Analises!Tabela dinâmica3</c:name>
    <c:fmtId val="6"/>
  </c:pivotSource>
  <c:chart>
    <c:title>
      <c:tx>
        <c:rich>
          <a:bodyPr rot="0" spcFirstLastPara="1" vertOverflow="ellipsis" vert="horz" wrap="square" anchor="ctr" anchorCtr="1"/>
          <a:lstStyle/>
          <a:p>
            <a:pPr>
              <a:defRPr sz="1600" b="1" i="0" u="none" strike="noStrike" kern="1200" cap="all" spc="120" normalizeH="0" baseline="0">
                <a:solidFill>
                  <a:schemeClr val="bg1"/>
                </a:solidFill>
                <a:latin typeface="+mn-lt"/>
                <a:ea typeface="+mn-ea"/>
                <a:cs typeface="+mn-cs"/>
              </a:defRPr>
            </a:pPr>
            <a:r>
              <a:rPr lang="pt-PT"/>
              <a:t>RISCO PELO VALOR E A DURAÇÃO DO CRÉDITO</a:t>
            </a:r>
          </a:p>
        </c:rich>
      </c:tx>
      <c:layout>
        <c:manualLayout>
          <c:xMode val="edge"/>
          <c:yMode val="edge"/>
          <c:x val="1.1860310851233451E-2"/>
          <c:y val="4.4561017867408008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bg1"/>
              </a:solidFill>
              <a:latin typeface="+mn-lt"/>
              <a:ea typeface="+mn-ea"/>
              <a:cs typeface="+mn-cs"/>
            </a:defRPr>
          </a:pPr>
          <a:endParaRPr lang="pt-PT"/>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B6B"/>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6A69A"/>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Analises!$C$21:$C$22</c:f>
              <c:strCache>
                <c:ptCount val="1"/>
                <c:pt idx="0">
                  <c:v>alto risco</c:v>
                </c:pt>
              </c:strCache>
            </c:strRef>
          </c:tx>
          <c:spPr>
            <a:solidFill>
              <a:srgbClr val="FF6B6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Analises!$B$23:$B$29</c:f>
              <c:strCache>
                <c:ptCount val="6"/>
                <c:pt idx="0">
                  <c:v>4-15</c:v>
                </c:pt>
                <c:pt idx="1">
                  <c:v>16-27</c:v>
                </c:pt>
                <c:pt idx="2">
                  <c:v>28-39</c:v>
                </c:pt>
                <c:pt idx="3">
                  <c:v>40-51</c:v>
                </c:pt>
                <c:pt idx="4">
                  <c:v>52-63</c:v>
                </c:pt>
                <c:pt idx="5">
                  <c:v>64-75</c:v>
                </c:pt>
              </c:strCache>
            </c:strRef>
          </c:cat>
          <c:val>
            <c:numRef>
              <c:f>Analises!$C$23:$C$29</c:f>
              <c:numCache>
                <c:formatCode>_-[$$-409]* #\ ##0.00_ ;_-[$$-409]* \-#\ ##0.00\ ;_-[$$-409]* "-"??_ ;_-@_ </c:formatCode>
                <c:ptCount val="6"/>
                <c:pt idx="0">
                  <c:v>2155.0898876404494</c:v>
                </c:pt>
                <c:pt idx="1">
                  <c:v>3138.8771929824561</c:v>
                </c:pt>
                <c:pt idx="2">
                  <c:v>5634.4528301886794</c:v>
                </c:pt>
                <c:pt idx="3">
                  <c:v>7083.3055555555557</c:v>
                </c:pt>
                <c:pt idx="4">
                  <c:v>10369</c:v>
                </c:pt>
                <c:pt idx="5">
                  <c:v>5595</c:v>
                </c:pt>
              </c:numCache>
            </c:numRef>
          </c:val>
          <c:extLst>
            <c:ext xmlns:c16="http://schemas.microsoft.com/office/drawing/2014/chart" uri="{C3380CC4-5D6E-409C-BE32-E72D297353CC}">
              <c16:uniqueId val="{00000000-35E8-4F66-B31F-69D65228C21C}"/>
            </c:ext>
          </c:extLst>
        </c:ser>
        <c:ser>
          <c:idx val="1"/>
          <c:order val="1"/>
          <c:tx>
            <c:strRef>
              <c:f>Analises!$D$21:$D$22</c:f>
              <c:strCache>
                <c:ptCount val="1"/>
                <c:pt idx="0">
                  <c:v>baixo risco</c:v>
                </c:pt>
              </c:strCache>
            </c:strRef>
          </c:tx>
          <c:spPr>
            <a:solidFill>
              <a:srgbClr val="26A69A"/>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Analises!$B$23:$B$29</c:f>
              <c:strCache>
                <c:ptCount val="6"/>
                <c:pt idx="0">
                  <c:v>4-15</c:v>
                </c:pt>
                <c:pt idx="1">
                  <c:v>16-27</c:v>
                </c:pt>
                <c:pt idx="2">
                  <c:v>28-39</c:v>
                </c:pt>
                <c:pt idx="3">
                  <c:v>40-51</c:v>
                </c:pt>
                <c:pt idx="4">
                  <c:v>52-63</c:v>
                </c:pt>
                <c:pt idx="5">
                  <c:v>64-75</c:v>
                </c:pt>
              </c:strCache>
            </c:strRef>
          </c:cat>
          <c:val>
            <c:numRef>
              <c:f>Analises!$D$23:$D$29</c:f>
              <c:numCache>
                <c:formatCode>_-[$$-409]* #\ ##0.00_ ;_-[$$-409]* \-#\ ##0.00\ ;_-[$$-409]* "-"??_ ;_-@_ </c:formatCode>
                <c:ptCount val="6"/>
                <c:pt idx="0">
                  <c:v>1817.812865497076</c:v>
                </c:pt>
                <c:pt idx="1">
                  <c:v>3133.9037656903765</c:v>
                </c:pt>
                <c:pt idx="2">
                  <c:v>5298.1358024691363</c:v>
                </c:pt>
                <c:pt idx="3">
                  <c:v>6917.3</c:v>
                </c:pt>
                <c:pt idx="4">
                  <c:v>10307.125</c:v>
                </c:pt>
              </c:numCache>
            </c:numRef>
          </c:val>
          <c:extLst>
            <c:ext xmlns:c16="http://schemas.microsoft.com/office/drawing/2014/chart" uri="{C3380CC4-5D6E-409C-BE32-E72D297353CC}">
              <c16:uniqueId val="{00000002-3BEF-49BD-B850-046F9EE38936}"/>
            </c:ext>
          </c:extLst>
        </c:ser>
        <c:dLbls>
          <c:dLblPos val="outEnd"/>
          <c:showLegendKey val="0"/>
          <c:showVal val="1"/>
          <c:showCatName val="0"/>
          <c:showSerName val="0"/>
          <c:showPercent val="0"/>
          <c:showBubbleSize val="0"/>
        </c:dLbls>
        <c:gapWidth val="444"/>
        <c:overlap val="-90"/>
        <c:axId val="1980228463"/>
        <c:axId val="1980229711"/>
      </c:barChart>
      <c:catAx>
        <c:axId val="1980228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bg1"/>
                </a:solidFill>
                <a:latin typeface="+mn-lt"/>
                <a:ea typeface="+mn-ea"/>
                <a:cs typeface="+mn-cs"/>
              </a:defRPr>
            </a:pPr>
            <a:endParaRPr lang="pt-PT"/>
          </a:p>
        </c:txPr>
        <c:crossAx val="1980229711"/>
        <c:crosses val="autoZero"/>
        <c:auto val="1"/>
        <c:lblAlgn val="ctr"/>
        <c:lblOffset val="100"/>
        <c:noMultiLvlLbl val="0"/>
      </c:catAx>
      <c:valAx>
        <c:axId val="1980229711"/>
        <c:scaling>
          <c:orientation val="minMax"/>
        </c:scaling>
        <c:delete val="1"/>
        <c:axPos val="l"/>
        <c:numFmt formatCode="_-[$$-409]* #\ ##0.00_ ;_-[$$-409]* \-#\ ##0.00\ ;_-[$$-409]* &quot;-&quot;??_ ;_-@_ " sourceLinked="1"/>
        <c:majorTickMark val="none"/>
        <c:minorTickMark val="none"/>
        <c:tickLblPos val="nextTo"/>
        <c:crossAx val="1980228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6213E">
        <a:alpha val="40000"/>
      </a:srgbClr>
    </a:solidFill>
    <a:ln w="9525" cap="flat" cmpd="sng" algn="ctr">
      <a:noFill/>
      <a:round/>
    </a:ln>
    <a:effectLst/>
  </c:spPr>
  <c:txPr>
    <a:bodyPr/>
    <a:lstStyle/>
    <a:p>
      <a:pPr>
        <a:defRPr>
          <a:solidFill>
            <a:schemeClr val="bg1"/>
          </a:solidFill>
        </a:defRPr>
      </a:pPr>
      <a:endParaRPr lang="pt-PT"/>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[Análise de Risco de credito Macro.xlsm]Analises!Tabela dinâmica5</c:name>
    <c:fmtId val="7"/>
  </c:pivotSource>
  <c:chart>
    <c:title>
      <c:tx>
        <c:rich>
          <a:bodyPr rot="0" spcFirstLastPara="1" vertOverflow="ellipsis" vert="horz" wrap="square" anchor="ctr" anchorCtr="1"/>
          <a:lstStyle/>
          <a:p>
            <a:pPr>
              <a:defRPr sz="1600" b="1" i="0" u="none" strike="noStrike" kern="1200" cap="all" spc="120" normalizeH="0" baseline="0">
                <a:solidFill>
                  <a:schemeClr val="bg1"/>
                </a:solidFill>
                <a:latin typeface="+mn-lt"/>
                <a:ea typeface="+mn-ea"/>
                <a:cs typeface="+mn-cs"/>
              </a:defRPr>
            </a:pPr>
            <a:r>
              <a:rPr lang="pt-PT"/>
              <a:t>Risco por faixa etária x moradia </a:t>
            </a:r>
          </a:p>
        </c:rich>
      </c:tx>
      <c:layout>
        <c:manualLayout>
          <c:xMode val="edge"/>
          <c:yMode val="edge"/>
          <c:x val="3.8509239340009618E-2"/>
          <c:y val="0.11399829497016198"/>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bg1"/>
              </a:solidFill>
              <a:latin typeface="+mn-lt"/>
              <a:ea typeface="+mn-ea"/>
              <a:cs typeface="+mn-cs"/>
            </a:defRPr>
          </a:pPr>
          <a:endParaRPr lang="pt-PT"/>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0E6ED"/>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B74D"/>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D4FF"/>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D4FF"/>
          </a:solidFill>
          <a:ln w="0">
            <a:noFill/>
          </a:ln>
          <a:effectLst/>
        </c:spPr>
      </c:pivotFmt>
      <c:pivotFmt>
        <c:idx val="1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Analises!$C$51:$C$52</c:f>
              <c:strCache>
                <c:ptCount val="1"/>
                <c:pt idx="0">
                  <c:v>aluguel</c:v>
                </c:pt>
              </c:strCache>
            </c:strRef>
          </c:tx>
          <c:spPr>
            <a:solidFill>
              <a:srgbClr val="E0E6ED"/>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Analises!$B$53:$B$57</c:f>
              <c:strCache>
                <c:ptCount val="4"/>
                <c:pt idx="0">
                  <c:v>Adulto (26-40)</c:v>
                </c:pt>
                <c:pt idx="1">
                  <c:v>Idoso (60+)</c:v>
                </c:pt>
                <c:pt idx="2">
                  <c:v>Jovem (18-25)</c:v>
                </c:pt>
                <c:pt idx="3">
                  <c:v>Sénior (41-60)</c:v>
                </c:pt>
              </c:strCache>
            </c:strRef>
          </c:cat>
          <c:val>
            <c:numRef>
              <c:f>Analises!$C$53:$C$57</c:f>
              <c:numCache>
                <c:formatCode>General</c:formatCode>
                <c:ptCount val="4"/>
                <c:pt idx="0">
                  <c:v>76</c:v>
                </c:pt>
                <c:pt idx="1">
                  <c:v>3</c:v>
                </c:pt>
                <c:pt idx="2">
                  <c:v>69</c:v>
                </c:pt>
                <c:pt idx="3">
                  <c:v>31</c:v>
                </c:pt>
              </c:numCache>
            </c:numRef>
          </c:val>
          <c:extLst>
            <c:ext xmlns:c16="http://schemas.microsoft.com/office/drawing/2014/chart" uri="{C3380CC4-5D6E-409C-BE32-E72D297353CC}">
              <c16:uniqueId val="{00000000-DC52-43D3-AA63-CCFE2B91E521}"/>
            </c:ext>
          </c:extLst>
        </c:ser>
        <c:ser>
          <c:idx val="1"/>
          <c:order val="1"/>
          <c:tx>
            <c:strRef>
              <c:f>Analises!$D$51:$D$52</c:f>
              <c:strCache>
                <c:ptCount val="1"/>
                <c:pt idx="0">
                  <c:v>gratuita</c:v>
                </c:pt>
              </c:strCache>
            </c:strRef>
          </c:tx>
          <c:spPr>
            <a:solidFill>
              <a:srgbClr val="FFB74D"/>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Analises!$B$53:$B$57</c:f>
              <c:strCache>
                <c:ptCount val="4"/>
                <c:pt idx="0">
                  <c:v>Adulto (26-40)</c:v>
                </c:pt>
                <c:pt idx="1">
                  <c:v>Idoso (60+)</c:v>
                </c:pt>
                <c:pt idx="2">
                  <c:v>Jovem (18-25)</c:v>
                </c:pt>
                <c:pt idx="3">
                  <c:v>Sénior (41-60)</c:v>
                </c:pt>
              </c:strCache>
            </c:strRef>
          </c:cat>
          <c:val>
            <c:numRef>
              <c:f>Analises!$D$53:$D$57</c:f>
              <c:numCache>
                <c:formatCode>General</c:formatCode>
                <c:ptCount val="4"/>
                <c:pt idx="0">
                  <c:v>43</c:v>
                </c:pt>
                <c:pt idx="1">
                  <c:v>14</c:v>
                </c:pt>
                <c:pt idx="2">
                  <c:v>5</c:v>
                </c:pt>
                <c:pt idx="3">
                  <c:v>46</c:v>
                </c:pt>
              </c:numCache>
            </c:numRef>
          </c:val>
          <c:extLst>
            <c:ext xmlns:c16="http://schemas.microsoft.com/office/drawing/2014/chart" uri="{C3380CC4-5D6E-409C-BE32-E72D297353CC}">
              <c16:uniqueId val="{00000009-DFF1-4970-BADB-E26061071529}"/>
            </c:ext>
          </c:extLst>
        </c:ser>
        <c:ser>
          <c:idx val="2"/>
          <c:order val="2"/>
          <c:tx>
            <c:strRef>
              <c:f>Analises!$E$51:$E$52</c:f>
              <c:strCache>
                <c:ptCount val="1"/>
                <c:pt idx="0">
                  <c:v>própria</c:v>
                </c:pt>
              </c:strCache>
            </c:strRef>
          </c:tx>
          <c:spPr>
            <a:solidFill>
              <a:srgbClr val="00D4FF"/>
            </a:solidFill>
            <a:ln>
              <a:noFill/>
            </a:ln>
            <a:effectLst/>
          </c:spPr>
          <c:invertIfNegative val="0"/>
          <c:dPt>
            <c:idx val="0"/>
            <c:invertIfNegative val="0"/>
            <c:bubble3D val="0"/>
            <c:spPr>
              <a:solidFill>
                <a:srgbClr val="00D4FF"/>
              </a:solidFill>
              <a:ln w="0">
                <a:noFill/>
              </a:ln>
              <a:effectLst/>
            </c:spPr>
          </c:dPt>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Analises!$B$53:$B$57</c:f>
              <c:strCache>
                <c:ptCount val="4"/>
                <c:pt idx="0">
                  <c:v>Adulto (26-40)</c:v>
                </c:pt>
                <c:pt idx="1">
                  <c:v>Idoso (60+)</c:v>
                </c:pt>
                <c:pt idx="2">
                  <c:v>Jovem (18-25)</c:v>
                </c:pt>
                <c:pt idx="3">
                  <c:v>Sénior (41-60)</c:v>
                </c:pt>
              </c:strCache>
            </c:strRef>
          </c:cat>
          <c:val>
            <c:numRef>
              <c:f>Analises!$E$53:$E$57</c:f>
              <c:numCache>
                <c:formatCode>General</c:formatCode>
                <c:ptCount val="4"/>
                <c:pt idx="0">
                  <c:v>433</c:v>
                </c:pt>
                <c:pt idx="1">
                  <c:v>34</c:v>
                </c:pt>
                <c:pt idx="2">
                  <c:v>75</c:v>
                </c:pt>
                <c:pt idx="3">
                  <c:v>171</c:v>
                </c:pt>
              </c:numCache>
            </c:numRef>
          </c:val>
          <c:extLst>
            <c:ext xmlns:c16="http://schemas.microsoft.com/office/drawing/2014/chart" uri="{C3380CC4-5D6E-409C-BE32-E72D297353CC}">
              <c16:uniqueId val="{00000004-DFB5-46C4-B91E-D088D0B7B7C5}"/>
            </c:ext>
          </c:extLst>
        </c:ser>
        <c:dLbls>
          <c:dLblPos val="outEnd"/>
          <c:showLegendKey val="0"/>
          <c:showVal val="1"/>
          <c:showCatName val="0"/>
          <c:showSerName val="0"/>
          <c:showPercent val="0"/>
          <c:showBubbleSize val="0"/>
        </c:dLbls>
        <c:gapWidth val="50"/>
        <c:overlap val="-90"/>
        <c:axId val="1983191455"/>
        <c:axId val="1983193951"/>
      </c:barChart>
      <c:catAx>
        <c:axId val="19831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bg1"/>
                </a:solidFill>
                <a:latin typeface="+mn-lt"/>
                <a:ea typeface="+mn-ea"/>
                <a:cs typeface="+mn-cs"/>
              </a:defRPr>
            </a:pPr>
            <a:endParaRPr lang="pt-PT"/>
          </a:p>
        </c:txPr>
        <c:crossAx val="1983193951"/>
        <c:crosses val="autoZero"/>
        <c:auto val="1"/>
        <c:lblAlgn val="ctr"/>
        <c:lblOffset val="100"/>
        <c:noMultiLvlLbl val="0"/>
      </c:catAx>
      <c:valAx>
        <c:axId val="1983193951"/>
        <c:scaling>
          <c:orientation val="minMax"/>
        </c:scaling>
        <c:delete val="1"/>
        <c:axPos val="l"/>
        <c:numFmt formatCode="General" sourceLinked="1"/>
        <c:majorTickMark val="none"/>
        <c:minorTickMark val="none"/>
        <c:tickLblPos val="nextTo"/>
        <c:crossAx val="19831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6213E">
        <a:alpha val="40000"/>
      </a:srgbClr>
    </a:solidFill>
    <a:ln w="9525" cap="flat" cmpd="sng" algn="ctr">
      <a:noFill/>
      <a:round/>
    </a:ln>
    <a:effectLst>
      <a:outerShdw blurRad="50800" dist="38100" dir="2700000" algn="tl" rotWithShape="0">
        <a:prstClr val="black">
          <a:alpha val="40000"/>
        </a:prstClr>
      </a:outerShdw>
    </a:effectLst>
  </c:spPr>
  <c:txPr>
    <a:bodyPr/>
    <a:lstStyle/>
    <a:p>
      <a:pPr>
        <a:defRPr>
          <a:solidFill>
            <a:schemeClr val="bg1"/>
          </a:solidFill>
        </a:defRPr>
      </a:pPr>
      <a:endParaRPr lang="pt-PT"/>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[Análise de Risco de credito Macro.xlsm]Analises!Tabela dinâmica4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PT" sz="1800" b="1" baseline="0">
                <a:solidFill>
                  <a:schemeClr val="bg1"/>
                </a:solidFill>
              </a:rPr>
              <a:t>RISCO POR HISTÓRICO DE PAGAMENTO</a:t>
            </a:r>
            <a:endParaRPr lang="pt-PT" sz="1800" b="1">
              <a:solidFill>
                <a:schemeClr val="bg1"/>
              </a:solidFill>
            </a:endParaRPr>
          </a:p>
        </c:rich>
      </c:tx>
      <c:layout>
        <c:manualLayout>
          <c:xMode val="edge"/>
          <c:yMode val="edge"/>
          <c:x val="3.2705449991589419E-2"/>
          <c:y val="3.60897982381358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B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6A6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Analises!$C$35:$C$36</c:f>
              <c:strCache>
                <c:ptCount val="1"/>
                <c:pt idx="0">
                  <c:v>alto risco</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Analises!$B$37:$B$42</c:f>
              <c:strCache>
                <c:ptCount val="5"/>
                <c:pt idx="0">
                  <c:v>conta critica / dividas com terceiros</c:v>
                </c:pt>
                <c:pt idx="1">
                  <c:v>nenhum/pgto em dia</c:v>
                </c:pt>
                <c:pt idx="2">
                  <c:v>pgto em atraso no passado</c:v>
                </c:pt>
                <c:pt idx="3">
                  <c:v>pgto em dia neste banco (em aberto)</c:v>
                </c:pt>
                <c:pt idx="4">
                  <c:v>pgto em dia neste banco (quitado)</c:v>
                </c:pt>
              </c:strCache>
            </c:strRef>
          </c:cat>
          <c:val>
            <c:numRef>
              <c:f>Analises!$C$37:$C$42</c:f>
              <c:numCache>
                <c:formatCode>0.00%</c:formatCode>
                <c:ptCount val="5"/>
                <c:pt idx="0">
                  <c:v>0.1640699763853796</c:v>
                </c:pt>
                <c:pt idx="1">
                  <c:v>0.63226328567574863</c:v>
                </c:pt>
                <c:pt idx="2">
                  <c:v>0.29408399130335278</c:v>
                </c:pt>
                <c:pt idx="3">
                  <c:v>0.3395819890799458</c:v>
                </c:pt>
                <c:pt idx="4">
                  <c:v>0.58323810884159411</c:v>
                </c:pt>
              </c:numCache>
            </c:numRef>
          </c:val>
          <c:extLst>
            <c:ext xmlns:c16="http://schemas.microsoft.com/office/drawing/2014/chart" uri="{C3380CC4-5D6E-409C-BE32-E72D297353CC}">
              <c16:uniqueId val="{00000000-37B0-4E42-8A57-B1E0CD714501}"/>
            </c:ext>
          </c:extLst>
        </c:ser>
        <c:ser>
          <c:idx val="1"/>
          <c:order val="1"/>
          <c:tx>
            <c:strRef>
              <c:f>Analises!$D$35:$D$36</c:f>
              <c:strCache>
                <c:ptCount val="1"/>
                <c:pt idx="0">
                  <c:v>baixo risco</c:v>
                </c:pt>
              </c:strCache>
            </c:strRef>
          </c:tx>
          <c:spPr>
            <a:solidFill>
              <a:srgbClr val="26A6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Analises!$B$37:$B$42</c:f>
              <c:strCache>
                <c:ptCount val="5"/>
                <c:pt idx="0">
                  <c:v>conta critica / dividas com terceiros</c:v>
                </c:pt>
                <c:pt idx="1">
                  <c:v>nenhum/pgto em dia</c:v>
                </c:pt>
                <c:pt idx="2">
                  <c:v>pgto em atraso no passado</c:v>
                </c:pt>
                <c:pt idx="3">
                  <c:v>pgto em dia neste banco (em aberto)</c:v>
                </c:pt>
                <c:pt idx="4">
                  <c:v>pgto em dia neste banco (quitado)</c:v>
                </c:pt>
              </c:strCache>
            </c:strRef>
          </c:cat>
          <c:val>
            <c:numRef>
              <c:f>Analises!$D$37:$D$42</c:f>
              <c:numCache>
                <c:formatCode>0.00%</c:formatCode>
                <c:ptCount val="5"/>
                <c:pt idx="0">
                  <c:v>0.83593002361462043</c:v>
                </c:pt>
                <c:pt idx="1">
                  <c:v>0.36773671432425142</c:v>
                </c:pt>
                <c:pt idx="2">
                  <c:v>0.70591600869664717</c:v>
                </c:pt>
                <c:pt idx="3">
                  <c:v>0.66041801092005414</c:v>
                </c:pt>
                <c:pt idx="4">
                  <c:v>0.41676189115840595</c:v>
                </c:pt>
              </c:numCache>
            </c:numRef>
          </c:val>
          <c:extLst>
            <c:ext xmlns:c16="http://schemas.microsoft.com/office/drawing/2014/chart" uri="{C3380CC4-5D6E-409C-BE32-E72D297353CC}">
              <c16:uniqueId val="{00000002-ADF5-46F9-9AC8-CBBE92F806B4}"/>
            </c:ext>
          </c:extLst>
        </c:ser>
        <c:dLbls>
          <c:dLblPos val="ctr"/>
          <c:showLegendKey val="0"/>
          <c:showVal val="1"/>
          <c:showCatName val="0"/>
          <c:showSerName val="0"/>
          <c:showPercent val="0"/>
          <c:showBubbleSize val="0"/>
        </c:dLbls>
        <c:gapWidth val="150"/>
        <c:overlap val="100"/>
        <c:axId val="1861867247"/>
        <c:axId val="1861868495"/>
      </c:barChart>
      <c:catAx>
        <c:axId val="186186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crossAx val="1861868495"/>
        <c:crosses val="autoZero"/>
        <c:auto val="1"/>
        <c:lblAlgn val="ctr"/>
        <c:lblOffset val="100"/>
        <c:noMultiLvlLbl val="0"/>
      </c:catAx>
      <c:valAx>
        <c:axId val="1861868495"/>
        <c:scaling>
          <c:orientation val="minMax"/>
        </c:scaling>
        <c:delete val="1"/>
        <c:axPos val="l"/>
        <c:numFmt formatCode="0%" sourceLinked="1"/>
        <c:majorTickMark val="none"/>
        <c:minorTickMark val="none"/>
        <c:tickLblPos val="nextTo"/>
        <c:crossAx val="1861867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6213E">
        <a:alpha val="40000"/>
      </a:srgbClr>
    </a:solidFill>
    <a:ln w="9525" cap="flat" cmpd="sng" algn="ctr">
      <a:noFill/>
      <a:round/>
    </a:ln>
    <a:effectLst>
      <a:outerShdw blurRad="50800" dist="38100" dir="2700000" algn="tl" rotWithShape="0">
        <a:prstClr val="black">
          <a:alpha val="40000"/>
        </a:prstClr>
      </a:outerShdw>
    </a:effectLst>
  </c:spPr>
  <c:txPr>
    <a:bodyPr/>
    <a:lstStyle/>
    <a:p>
      <a:pPr>
        <a:defRPr/>
      </a:pPr>
      <a:endParaRPr lang="pt-PT"/>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[Análise de Risco de credito Macro.xlsm]Analises!Tabela dinâmica6</c:name>
    <c:fmtId val="1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pt-PT" sz="1800" b="1">
                <a:solidFill>
                  <a:schemeClr val="bg1"/>
                </a:solidFill>
              </a:rPr>
              <a:t>RISCO</a:t>
            </a:r>
            <a:r>
              <a:rPr lang="pt-PT" sz="1800" b="1" baseline="0">
                <a:solidFill>
                  <a:schemeClr val="bg1"/>
                </a:solidFill>
              </a:rPr>
              <a:t> POR COMPROMETIMENTO DA RENDA</a:t>
            </a:r>
            <a:endParaRPr lang="pt-PT" sz="1800" b="1">
              <a:solidFill>
                <a:schemeClr val="bg1"/>
              </a:solidFill>
            </a:endParaRPr>
          </a:p>
        </c:rich>
      </c:tx>
      <c:layout>
        <c:manualLayout>
          <c:xMode val="edge"/>
          <c:yMode val="edge"/>
          <c:x val="4.0317802902693933E-2"/>
          <c:y val="2.25561238988348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pt-PT"/>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6B6B"/>
            </a:solidFill>
            <a:round/>
          </a:ln>
          <a:effectLst/>
        </c:spPr>
        <c:marker>
          <c:symbol val="circle"/>
          <c:size val="5"/>
          <c:spPr>
            <a:solidFill>
              <a:srgbClr val="728098"/>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26A69A"/>
            </a:solidFill>
            <a:round/>
          </a:ln>
          <a:effectLst/>
        </c:spPr>
        <c:marker>
          <c:symbol val="circle"/>
          <c:size val="5"/>
          <c:spPr>
            <a:solidFill>
              <a:srgbClr val="728098"/>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Analises!$C$70:$C$71</c:f>
              <c:strCache>
                <c:ptCount val="1"/>
                <c:pt idx="0">
                  <c:v>alto risco</c:v>
                </c:pt>
              </c:strCache>
            </c:strRef>
          </c:tx>
          <c:spPr>
            <a:ln w="28575" cap="rnd">
              <a:solidFill>
                <a:srgbClr val="FF6B6B"/>
              </a:solidFill>
              <a:round/>
            </a:ln>
            <a:effectLst/>
          </c:spPr>
          <c:marker>
            <c:symbol val="circle"/>
            <c:size val="5"/>
            <c:spPr>
              <a:solidFill>
                <a:srgbClr val="728098"/>
              </a:solidFill>
              <a:ln w="9525">
                <a:solidFill>
                  <a:schemeClr val="accent1"/>
                </a:solidFill>
              </a:ln>
              <a:effectLst/>
            </c:spPr>
          </c:marker>
          <c:cat>
            <c:strRef>
              <c:f>Analises!$B$72:$B$76</c:f>
              <c:strCache>
                <c:ptCount val="4"/>
                <c:pt idx="0">
                  <c:v>1</c:v>
                </c:pt>
                <c:pt idx="1">
                  <c:v>2</c:v>
                </c:pt>
                <c:pt idx="2">
                  <c:v>3</c:v>
                </c:pt>
                <c:pt idx="3">
                  <c:v>4</c:v>
                </c:pt>
              </c:strCache>
            </c:strRef>
          </c:cat>
          <c:val>
            <c:numRef>
              <c:f>Analises!$C$72:$C$76</c:f>
              <c:numCache>
                <c:formatCode>0.00%</c:formatCode>
                <c:ptCount val="4"/>
                <c:pt idx="0">
                  <c:v>0.24970830216903514</c:v>
                </c:pt>
                <c:pt idx="1">
                  <c:v>0.30120975116925192</c:v>
                </c:pt>
                <c:pt idx="2">
                  <c:v>0.3068865805378706</c:v>
                </c:pt>
                <c:pt idx="3">
                  <c:v>0.33041350480155801</c:v>
                </c:pt>
              </c:numCache>
            </c:numRef>
          </c:val>
          <c:smooth val="0"/>
          <c:extLst>
            <c:ext xmlns:c16="http://schemas.microsoft.com/office/drawing/2014/chart" uri="{C3380CC4-5D6E-409C-BE32-E72D297353CC}">
              <c16:uniqueId val="{00000000-DEB3-4E86-8164-15246B487EE1}"/>
            </c:ext>
          </c:extLst>
        </c:ser>
        <c:ser>
          <c:idx val="1"/>
          <c:order val="1"/>
          <c:tx>
            <c:strRef>
              <c:f>Analises!$D$70:$D$71</c:f>
              <c:strCache>
                <c:ptCount val="1"/>
                <c:pt idx="0">
                  <c:v>baixo risco</c:v>
                </c:pt>
              </c:strCache>
            </c:strRef>
          </c:tx>
          <c:spPr>
            <a:ln w="28575" cap="rnd">
              <a:solidFill>
                <a:srgbClr val="26A69A"/>
              </a:solidFill>
              <a:round/>
            </a:ln>
            <a:effectLst/>
          </c:spPr>
          <c:marker>
            <c:symbol val="circle"/>
            <c:size val="5"/>
            <c:spPr>
              <a:solidFill>
                <a:srgbClr val="728098"/>
              </a:solidFill>
              <a:ln w="9525">
                <a:solidFill>
                  <a:schemeClr val="accent2"/>
                </a:solidFill>
              </a:ln>
              <a:effectLst/>
            </c:spPr>
          </c:marker>
          <c:cat>
            <c:strRef>
              <c:f>Analises!$B$72:$B$76</c:f>
              <c:strCache>
                <c:ptCount val="4"/>
                <c:pt idx="0">
                  <c:v>1</c:v>
                </c:pt>
                <c:pt idx="1">
                  <c:v>2</c:v>
                </c:pt>
                <c:pt idx="2">
                  <c:v>3</c:v>
                </c:pt>
                <c:pt idx="3">
                  <c:v>4</c:v>
                </c:pt>
              </c:strCache>
            </c:strRef>
          </c:cat>
          <c:val>
            <c:numRef>
              <c:f>Analises!$D$72:$D$76</c:f>
              <c:numCache>
                <c:formatCode>0.00%</c:formatCode>
                <c:ptCount val="4"/>
                <c:pt idx="0">
                  <c:v>0.75029169783096483</c:v>
                </c:pt>
                <c:pt idx="1">
                  <c:v>0.69879024883074803</c:v>
                </c:pt>
                <c:pt idx="2">
                  <c:v>0.69311341946212934</c:v>
                </c:pt>
                <c:pt idx="3">
                  <c:v>0.66958649519844204</c:v>
                </c:pt>
              </c:numCache>
            </c:numRef>
          </c:val>
          <c:smooth val="0"/>
          <c:extLst>
            <c:ext xmlns:c16="http://schemas.microsoft.com/office/drawing/2014/chart" uri="{C3380CC4-5D6E-409C-BE32-E72D297353CC}">
              <c16:uniqueId val="{00000002-C38E-4F7B-B30A-400329BA504F}"/>
            </c:ext>
          </c:extLst>
        </c:ser>
        <c:dLbls>
          <c:showLegendKey val="0"/>
          <c:showVal val="0"/>
          <c:showCatName val="0"/>
          <c:showSerName val="0"/>
          <c:showPercent val="0"/>
          <c:showBubbleSize val="0"/>
        </c:dLbls>
        <c:marker val="1"/>
        <c:smooth val="0"/>
        <c:axId val="15532191"/>
        <c:axId val="15542175"/>
      </c:lineChart>
      <c:catAx>
        <c:axId val="1553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crossAx val="15542175"/>
        <c:crosses val="autoZero"/>
        <c:auto val="1"/>
        <c:lblAlgn val="ctr"/>
        <c:lblOffset val="100"/>
        <c:noMultiLvlLbl val="0"/>
      </c:catAx>
      <c:valAx>
        <c:axId val="155421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crossAx val="15532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6213E">
        <a:alpha val="40000"/>
      </a:srgbClr>
    </a:solidFill>
    <a:ln w="9525" cap="flat" cmpd="sng" algn="ctr">
      <a:noFill/>
      <a:round/>
    </a:ln>
    <a:effectLst>
      <a:outerShdw blurRad="50800" dist="38100" dir="2700000" algn="tl" rotWithShape="0">
        <a:prstClr val="black">
          <a:alpha val="40000"/>
        </a:prstClr>
      </a:outerShdw>
    </a:effectLst>
  </c:spPr>
  <c:txPr>
    <a:bodyPr/>
    <a:lstStyle/>
    <a:p>
      <a:pPr>
        <a:defRPr/>
      </a:pPr>
      <a:endParaRPr lang="pt-PT"/>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304800</xdr:colOff>
      <xdr:row>1</xdr:row>
      <xdr:rowOff>91440</xdr:rowOff>
    </xdr:from>
    <xdr:to>
      <xdr:col>11</xdr:col>
      <xdr:colOff>228600</xdr:colOff>
      <xdr:row>17</xdr:row>
      <xdr:rowOff>137160</xdr:rowOff>
    </xdr:to>
    <xdr:sp macro="" textlink="">
      <xdr:nvSpPr>
        <xdr:cNvPr id="2" name="CaixaDeTexto 1">
          <a:extLst>
            <a:ext uri="{FF2B5EF4-FFF2-40B4-BE49-F238E27FC236}">
              <a16:creationId xmlns:a16="http://schemas.microsoft.com/office/drawing/2014/main" id="{C69D8300-7B5F-4C7A-9D9B-86644D51315C}"/>
            </a:ext>
          </a:extLst>
        </xdr:cNvPr>
        <xdr:cNvSpPr txBox="1"/>
      </xdr:nvSpPr>
      <xdr:spPr>
        <a:xfrm>
          <a:off x="5029200" y="274320"/>
          <a:ext cx="3657600" cy="297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b="1" u="sng"/>
            <a:t>Análise</a:t>
          </a:r>
          <a:r>
            <a:rPr lang="pt-PT" sz="1100" b="1" u="sng" baseline="0"/>
            <a:t> 1: </a:t>
          </a:r>
          <a:r>
            <a:rPr lang="pt-PT" sz="1100" b="1" i="0">
              <a:solidFill>
                <a:schemeClr val="dk1"/>
              </a:solidFill>
              <a:effectLst/>
              <a:latin typeface="+mn-lt"/>
              <a:ea typeface="+mn-ea"/>
              <a:cs typeface="+mn-cs"/>
            </a:rPr>
            <a:t>Quais tipos de empréstimo têm o maior percentual de "Mau Pagadores"?</a:t>
          </a:r>
        </a:p>
        <a:p>
          <a:br>
            <a:rPr lang="pt-PT" sz="1100" b="0" i="0">
              <a:solidFill>
                <a:schemeClr val="dk1"/>
              </a:solidFill>
              <a:effectLst/>
              <a:latin typeface="+mn-lt"/>
              <a:ea typeface="+mn-ea"/>
              <a:cs typeface="+mn-cs"/>
            </a:rPr>
          </a:br>
          <a:r>
            <a:rPr lang="pt-PT" sz="1100" b="1" i="0">
              <a:solidFill>
                <a:schemeClr val="dk1"/>
              </a:solidFill>
              <a:effectLst/>
              <a:latin typeface="+mn-lt"/>
              <a:ea typeface="+mn-ea"/>
              <a:cs typeface="+mn-cs"/>
            </a:rPr>
            <a:t>Educação</a:t>
          </a:r>
          <a:r>
            <a:rPr lang="pt-PT" sz="1100" b="0" i="0">
              <a:solidFill>
                <a:schemeClr val="dk1"/>
              </a:solidFill>
              <a:effectLst/>
              <a:latin typeface="+mn-lt"/>
              <a:ea typeface="+mn-ea"/>
              <a:cs typeface="+mn-cs"/>
            </a:rPr>
            <a:t> (44,0%)</a:t>
          </a:r>
        </a:p>
        <a:p>
          <a:r>
            <a:rPr lang="pt-PT" sz="1100" b="1" i="0">
              <a:solidFill>
                <a:schemeClr val="dk1"/>
              </a:solidFill>
              <a:effectLst/>
              <a:latin typeface="+mn-lt"/>
              <a:ea typeface="+mn-ea"/>
              <a:cs typeface="+mn-cs"/>
            </a:rPr>
            <a:t>Outros</a:t>
          </a:r>
          <a:r>
            <a:rPr lang="pt-PT" sz="1100" b="0" i="0">
              <a:solidFill>
                <a:schemeClr val="dk1"/>
              </a:solidFill>
              <a:effectLst/>
              <a:latin typeface="+mn-lt"/>
              <a:ea typeface="+mn-ea"/>
              <a:cs typeface="+mn-cs"/>
            </a:rPr>
            <a:t> (41,7%)</a:t>
          </a:r>
        </a:p>
        <a:p>
          <a:r>
            <a:rPr lang="pt-PT" sz="1100" b="1" i="0">
              <a:solidFill>
                <a:schemeClr val="dk1"/>
              </a:solidFill>
              <a:effectLst/>
              <a:latin typeface="+mn-lt"/>
              <a:ea typeface="+mn-ea"/>
              <a:cs typeface="+mn-cs"/>
            </a:rPr>
            <a:t>Carro Novo</a:t>
          </a:r>
          <a:r>
            <a:rPr lang="pt-PT" sz="1100" b="0" i="0">
              <a:solidFill>
                <a:schemeClr val="dk1"/>
              </a:solidFill>
              <a:effectLst/>
              <a:latin typeface="+mn-lt"/>
              <a:ea typeface="+mn-ea"/>
              <a:cs typeface="+mn-cs"/>
            </a:rPr>
            <a:t> (38,0%)</a:t>
          </a:r>
        </a:p>
        <a:p>
          <a:endParaRPr lang="pt-PT" sz="1100" b="0" i="0">
            <a:solidFill>
              <a:schemeClr val="dk1"/>
            </a:solidFill>
            <a:effectLst/>
            <a:latin typeface="+mn-lt"/>
            <a:ea typeface="+mn-ea"/>
            <a:cs typeface="+mn-cs"/>
          </a:endParaRPr>
        </a:p>
        <a:p>
          <a:r>
            <a:rPr lang="pt-PT" sz="1100" b="1" i="0">
              <a:solidFill>
                <a:schemeClr val="dk1"/>
              </a:solidFill>
              <a:effectLst/>
              <a:latin typeface="+mn-lt"/>
              <a:ea typeface="+mn-ea"/>
              <a:cs typeface="+mn-cs"/>
            </a:rPr>
            <a:t>Insight:</a:t>
          </a:r>
          <a:r>
            <a:rPr lang="pt-PT" sz="1100" b="0" i="0">
              <a:solidFill>
                <a:schemeClr val="dk1"/>
              </a:solidFill>
              <a:effectLst/>
              <a:latin typeface="+mn-lt"/>
              <a:ea typeface="+mn-ea"/>
              <a:cs typeface="+mn-cs"/>
            </a:rPr>
            <a:t> O elevado índice de inadimplência em Educação sugere que investimentos de longo prazo sem retorno imediato aumentam a vulnerabilidade financeira do cliente. A categoria "Outros" apresenta risco elevado devido à incerteza sobre o destino do capital, enquanto o risco em Carros Novos (superior ao de Carros Usados) indica que parcelas mais altas combinadas com a depreciação do bem impactam diretamente a capacidade de pagamento, exigindo critérios de aprovação mais rigorosos para estes três perfis.</a:t>
          </a:r>
        </a:p>
        <a:p>
          <a:br>
            <a:rPr lang="pt-PT"/>
          </a:br>
          <a:br>
            <a:rPr lang="pt-PT" sz="1100" b="0" i="0">
              <a:solidFill>
                <a:schemeClr val="dk1"/>
              </a:solidFill>
              <a:effectLst/>
              <a:latin typeface="+mn-lt"/>
              <a:ea typeface="+mn-ea"/>
              <a:cs typeface="+mn-cs"/>
            </a:rPr>
          </a:br>
          <a:br>
            <a:rPr lang="pt-PT" sz="1100" b="0" i="0">
              <a:solidFill>
                <a:schemeClr val="dk1"/>
              </a:solidFill>
              <a:effectLst/>
              <a:latin typeface="+mn-lt"/>
              <a:ea typeface="+mn-ea"/>
              <a:cs typeface="+mn-cs"/>
            </a:rPr>
          </a:br>
          <a:endParaRPr lang="pt-PT" sz="1100"/>
        </a:p>
      </xdr:txBody>
    </xdr:sp>
    <xdr:clientData/>
  </xdr:twoCellAnchor>
  <xdr:twoCellAnchor>
    <xdr:from>
      <xdr:col>5</xdr:col>
      <xdr:colOff>198120</xdr:colOff>
      <xdr:row>19</xdr:row>
      <xdr:rowOff>0</xdr:rowOff>
    </xdr:from>
    <xdr:to>
      <xdr:col>11</xdr:col>
      <xdr:colOff>121920</xdr:colOff>
      <xdr:row>32</xdr:row>
      <xdr:rowOff>83820</xdr:rowOff>
    </xdr:to>
    <xdr:sp macro="" textlink="">
      <xdr:nvSpPr>
        <xdr:cNvPr id="7" name="CaixaDeTexto 6">
          <a:extLst>
            <a:ext uri="{FF2B5EF4-FFF2-40B4-BE49-F238E27FC236}">
              <a16:creationId xmlns:a16="http://schemas.microsoft.com/office/drawing/2014/main" id="{BF5397B6-0E28-458E-9AC2-EA23412F6A25}"/>
            </a:ext>
          </a:extLst>
        </xdr:cNvPr>
        <xdr:cNvSpPr txBox="1"/>
      </xdr:nvSpPr>
      <xdr:spPr>
        <a:xfrm>
          <a:off x="5311140" y="3474720"/>
          <a:ext cx="3657600" cy="246126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sng" strike="noStrike" kern="0" cap="none" spc="0" normalizeH="0" baseline="0" noProof="0">
              <a:ln>
                <a:noFill/>
              </a:ln>
              <a:solidFill>
                <a:sysClr val="windowText" lastClr="000000"/>
              </a:solidFill>
              <a:effectLst/>
              <a:uLnTx/>
              <a:uFillTx/>
              <a:latin typeface="Calibri" panose="020F0502020204030204"/>
              <a:ea typeface="+mn-ea"/>
              <a:cs typeface="+mn-cs"/>
            </a:rPr>
            <a:t>Análise 2: </a:t>
          </a:r>
          <a:r>
            <a:rPr lang="pt-PT" sz="1100" b="1" i="0">
              <a:effectLst/>
              <a:latin typeface="+mn-lt"/>
              <a:ea typeface="+mn-ea"/>
              <a:cs typeface="+mn-cs"/>
            </a:rPr>
            <a:t>Empréstimos de longo prazo e valores altos apresentam maior risco ?</a:t>
          </a:r>
          <a:endPar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rPr>
            <a:t>Insight:</a:t>
          </a:r>
          <a: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lang="pt-PT" sz="1100" b="0" i="0">
              <a:effectLst/>
              <a:latin typeface="+mn-lt"/>
              <a:ea typeface="+mn-ea"/>
              <a:cs typeface="+mn-cs"/>
            </a:rPr>
            <a:t>Os dados revelam uma correlação direta entre o tempo de contrato e o prejuízo potencial: quanto maior a duração do empréstimo, maior é o valor médio em risco. Observa-se que, em todas as faixas de tempo, o </a:t>
          </a:r>
          <a:r>
            <a:rPr lang="pt-PT" sz="1100" b="1" i="0">
              <a:effectLst/>
              <a:latin typeface="+mn-lt"/>
              <a:ea typeface="+mn-ea"/>
              <a:cs typeface="+mn-cs"/>
            </a:rPr>
            <a:t>valor médio dos maus pagadores ($ 3.938 )</a:t>
          </a:r>
          <a:r>
            <a:rPr lang="pt-PT" sz="1100" b="0" i="0">
              <a:effectLst/>
              <a:latin typeface="+mn-lt"/>
              <a:ea typeface="+mn-ea"/>
              <a:cs typeface="+mn-cs"/>
            </a:rPr>
            <a:t> é significativamente superior ao dos </a:t>
          </a:r>
          <a:r>
            <a:rPr lang="pt-PT" sz="1100" b="1" i="0">
              <a:effectLst/>
              <a:latin typeface="+mn-lt"/>
              <a:ea typeface="+mn-ea"/>
              <a:cs typeface="+mn-cs"/>
            </a:rPr>
            <a:t>bons pagadores ($ 2.985 )</a:t>
          </a:r>
          <a:r>
            <a:rPr lang="pt-PT" sz="1100" b="0" i="0">
              <a:effectLst/>
              <a:latin typeface="+mn-lt"/>
              <a:ea typeface="+mn-ea"/>
              <a:cs typeface="+mn-cs"/>
            </a:rPr>
            <a:t>. O ponto de maior vulnerabilidade está nos contratos acima de 40 meses, onde o ticket médio ultrapassa os $ 7.000, sugerindo que empréstimos de alto valor e longa duração devem exigir critérios de aprovação muito mais rigorosos para evitar grandes perdas de capital.</a:t>
          </a:r>
          <a:br>
            <a:rPr kumimoji="0" lang="pt-PT" sz="1800" b="0" i="0" u="none" strike="noStrike" kern="0" cap="none" spc="0" normalizeH="0" baseline="0" noProof="0">
              <a:ln>
                <a:noFill/>
              </a:ln>
              <a:solidFill>
                <a:sysClr val="windowText" lastClr="000000"/>
              </a:solidFill>
              <a:effectLst/>
              <a:uLnTx/>
              <a:uFillTx/>
              <a:latin typeface="Calibri" panose="020F0502020204030204"/>
              <a:ea typeface="+mn-ea"/>
              <a:cs typeface="+mn-cs"/>
            </a:rPr>
          </a:br>
          <a:b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br>
          <a:b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b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182880</xdr:colOff>
      <xdr:row>33</xdr:row>
      <xdr:rowOff>7620</xdr:rowOff>
    </xdr:from>
    <xdr:to>
      <xdr:col>11</xdr:col>
      <xdr:colOff>106680</xdr:colOff>
      <xdr:row>46</xdr:row>
      <xdr:rowOff>175260</xdr:rowOff>
    </xdr:to>
    <xdr:sp macro="" textlink="">
      <xdr:nvSpPr>
        <xdr:cNvPr id="17" name="CaixaDeTexto 16">
          <a:extLst>
            <a:ext uri="{FF2B5EF4-FFF2-40B4-BE49-F238E27FC236}">
              <a16:creationId xmlns:a16="http://schemas.microsoft.com/office/drawing/2014/main" id="{3F30B75C-02D9-4B76-B122-5714F9217328}"/>
            </a:ext>
          </a:extLst>
        </xdr:cNvPr>
        <xdr:cNvSpPr txBox="1"/>
      </xdr:nvSpPr>
      <xdr:spPr>
        <a:xfrm>
          <a:off x="4549140" y="6042660"/>
          <a:ext cx="3657600" cy="25450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sng" strike="noStrike" kern="0" cap="none" spc="0" normalizeH="0" baseline="0" noProof="0">
              <a:ln>
                <a:noFill/>
              </a:ln>
              <a:solidFill>
                <a:sysClr val="windowText" lastClr="000000"/>
              </a:solidFill>
              <a:effectLst/>
              <a:uLnTx/>
              <a:uFillTx/>
              <a:latin typeface="Calibri" panose="020F0502020204030204"/>
              <a:ea typeface="+mn-ea"/>
              <a:cs typeface="+mn-cs"/>
            </a:rPr>
            <a:t>Análise 3: </a:t>
          </a:r>
          <a:r>
            <a:rPr lang="pt-PT" sz="1100" b="1" i="0">
              <a:effectLst/>
              <a:latin typeface="+mn-lt"/>
              <a:ea typeface="+mn-ea"/>
              <a:cs typeface="+mn-cs"/>
            </a:rPr>
            <a:t>Clientes com conta crítica falham mais</a:t>
          </a:r>
          <a:r>
            <a:rPr lang="pt-PT" sz="1100" b="1" i="0" baseline="0">
              <a:effectLst/>
              <a:latin typeface="+mn-lt"/>
              <a:ea typeface="+mn-ea"/>
              <a:cs typeface="+mn-cs"/>
            </a:rPr>
            <a:t> </a:t>
          </a:r>
          <a:r>
            <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rPr>
            <a:t>Insight: </a:t>
          </a:r>
          <a:r>
            <a:rPr lang="pt-PT" sz="1100" b="0" i="0">
              <a:effectLst/>
              <a:latin typeface="+mn-lt"/>
              <a:ea typeface="+mn-ea"/>
              <a:cs typeface="+mn-cs"/>
            </a:rPr>
            <a:t>Os dados revelam um padrão contra-intuitivo: clientes com </a:t>
          </a:r>
          <a:r>
            <a:rPr lang="pt-PT" sz="1100" b="1" i="0">
              <a:effectLst/>
              <a:latin typeface="+mn-lt"/>
              <a:ea typeface="+mn-ea"/>
              <a:cs typeface="+mn-cs"/>
            </a:rPr>
            <a:t>'Conta Crítica' (16,4% de risco)</a:t>
          </a:r>
          <a:r>
            <a:rPr lang="pt-PT" sz="1100" b="0" i="0">
              <a:effectLst/>
              <a:latin typeface="+mn-lt"/>
              <a:ea typeface="+mn-ea"/>
              <a:cs typeface="+mn-cs"/>
            </a:rPr>
            <a:t> são mais fiéis aos pagamentos do que aqueles sem histórico anterior (</a:t>
          </a:r>
          <a:r>
            <a:rPr lang="pt-PT" sz="1100" b="1" i="0">
              <a:effectLst/>
              <a:latin typeface="+mn-lt"/>
              <a:ea typeface="+mn-ea"/>
              <a:cs typeface="+mn-cs"/>
            </a:rPr>
            <a:t>63,2% de alto risco</a:t>
          </a:r>
          <a:r>
            <a:rPr lang="pt-PT" sz="1100" b="0" i="0">
              <a:effectLst/>
              <a:latin typeface="+mn-lt"/>
              <a:ea typeface="+mn-ea"/>
              <a:cs typeface="+mn-cs"/>
            </a:rPr>
            <a:t>). Isso indica que a ausência de histórico representa um perigo maior para o banco do que um passado conturbado, possivelmente porque clientes 'críticos' são tomadores recorrentes que o banco já conhece e monitoriza de perto</a:t>
          </a:r>
          <a:r>
            <a:rPr lang="pt-PT" sz="1100" b="1" i="0">
              <a:effectLst/>
              <a:latin typeface="+mn-lt"/>
              <a:ea typeface="+mn-ea"/>
              <a:cs typeface="+mn-cs"/>
            </a:rPr>
            <a:t>.</a:t>
          </a:r>
          <a:r>
            <a:rPr lang="pt-PT" sz="1100" b="0" i="0">
              <a:effectLst/>
              <a:latin typeface="+mn-lt"/>
              <a:ea typeface="+mn-ea"/>
              <a:cs typeface="+mn-cs"/>
            </a:rPr>
            <a:t> O maior risco da instituição não está nos devedores conhecidos, mas nos novos clientes 'limpos' (Desconhecidos), exigindo uma política de entrada muito mais rigorosa para quem não possui histórico de crédito documentado.</a:t>
          </a:r>
          <a:br>
            <a:rPr kumimoji="0" lang="pt-PT" sz="1800" b="0" i="0" u="none" strike="noStrike" kern="0" cap="none" spc="0" normalizeH="0" baseline="0" noProof="0">
              <a:ln>
                <a:noFill/>
              </a:ln>
              <a:solidFill>
                <a:sysClr val="windowText" lastClr="000000"/>
              </a:solidFill>
              <a:effectLst/>
              <a:uLnTx/>
              <a:uFillTx/>
              <a:latin typeface="Calibri" panose="020F0502020204030204"/>
              <a:ea typeface="+mn-ea"/>
              <a:cs typeface="+mn-cs"/>
            </a:rPr>
          </a:br>
          <a:b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br>
          <a:b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b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342900</xdr:colOff>
      <xdr:row>48</xdr:row>
      <xdr:rowOff>7620</xdr:rowOff>
    </xdr:from>
    <xdr:to>
      <xdr:col>12</xdr:col>
      <xdr:colOff>342900</xdr:colOff>
      <xdr:row>61</xdr:row>
      <xdr:rowOff>175260</xdr:rowOff>
    </xdr:to>
    <xdr:sp macro="" textlink="">
      <xdr:nvSpPr>
        <xdr:cNvPr id="20" name="CaixaDeTexto 19">
          <a:extLst>
            <a:ext uri="{FF2B5EF4-FFF2-40B4-BE49-F238E27FC236}">
              <a16:creationId xmlns:a16="http://schemas.microsoft.com/office/drawing/2014/main" id="{5D1CEEDA-E463-4AD8-B6AD-B82804EAB0B8}"/>
            </a:ext>
          </a:extLst>
        </xdr:cNvPr>
        <xdr:cNvSpPr txBox="1"/>
      </xdr:nvSpPr>
      <xdr:spPr>
        <a:xfrm>
          <a:off x="6202680" y="8785860"/>
          <a:ext cx="3657600" cy="25450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sng" strike="noStrike" kern="0" cap="none" spc="0" normalizeH="0" baseline="0" noProof="0">
              <a:ln>
                <a:noFill/>
              </a:ln>
              <a:solidFill>
                <a:sysClr val="windowText" lastClr="000000"/>
              </a:solidFill>
              <a:effectLst/>
              <a:uLnTx/>
              <a:uFillTx/>
              <a:latin typeface="Calibri" panose="020F0502020204030204"/>
              <a:ea typeface="+mn-ea"/>
              <a:cs typeface="+mn-cs"/>
            </a:rPr>
            <a:t>Análise 4: </a:t>
          </a:r>
          <a:r>
            <a:rPr lang="pt-PT" sz="1100" b="1" i="0">
              <a:effectLst/>
              <a:latin typeface="+mn-lt"/>
              <a:ea typeface="+mn-ea"/>
              <a:cs typeface="+mn-cs"/>
            </a:rPr>
            <a:t>Existe um padrão de risco ligado à idade ou ao tipo de moradia</a:t>
          </a:r>
          <a:r>
            <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rPr>
            <a:t>Insight: </a:t>
          </a:r>
          <a:r>
            <a:rPr lang="pt-PT" sz="1100" b="0" i="0">
              <a:effectLst/>
              <a:latin typeface="+mn-lt"/>
              <a:ea typeface="+mn-ea"/>
              <a:cs typeface="+mn-cs"/>
            </a:rPr>
            <a:t>Sim, os dados revelam um padrão de risco surpreendente: a posse de imóvel não é garantia de pagamento. O grupo de </a:t>
          </a:r>
          <a:r>
            <a:rPr lang="pt-PT" sz="1100" b="1" i="0">
              <a:effectLst/>
              <a:latin typeface="+mn-lt"/>
              <a:ea typeface="+mn-ea"/>
              <a:cs typeface="+mn-cs"/>
            </a:rPr>
            <a:t>Adultos (26-40 anos) com casa própria</a:t>
          </a:r>
          <a:r>
            <a:rPr lang="pt-PT" sz="1100" b="0" i="0">
              <a:effectLst/>
              <a:latin typeface="+mn-lt"/>
              <a:ea typeface="+mn-ea"/>
              <a:cs typeface="+mn-cs"/>
            </a:rPr>
            <a:t> é o que mais traz prejuízo ao banco, representando sozinho </a:t>
          </a:r>
          <a:r>
            <a:rPr lang="pt-PT" sz="1100" b="1" i="0">
              <a:effectLst/>
              <a:latin typeface="+mn-lt"/>
              <a:ea typeface="+mn-ea"/>
              <a:cs typeface="+mn-cs"/>
            </a:rPr>
            <a:t>37% de todos os casos de alto risco</a:t>
          </a:r>
          <a:r>
            <a:rPr lang="pt-PT" sz="1100" b="0" i="0">
              <a:effectLst/>
              <a:latin typeface="+mn-lt"/>
              <a:ea typeface="+mn-ea"/>
              <a:cs typeface="+mn-cs"/>
            </a:rPr>
            <a:t> (112 de 300). Isso indica que existe uma 'falsa sensação de segurança' ao emprestar para este perfil, levando à libertação de valores acima da capacidade real de pagamento dos clientes. Recomenda-se que o banco deve ser mais rigoroso e baixar os limites de crédito para o público adulto, mesmo que possuam casa própria.</a:t>
          </a:r>
          <a:b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br>
          <a:br>
            <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rPr>
          </a:b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464820</xdr:colOff>
      <xdr:row>67</xdr:row>
      <xdr:rowOff>91440</xdr:rowOff>
    </xdr:from>
    <xdr:to>
      <xdr:col>11</xdr:col>
      <xdr:colOff>388620</xdr:colOff>
      <xdr:row>81</xdr:row>
      <xdr:rowOff>76200</xdr:rowOff>
    </xdr:to>
    <xdr:sp macro="" textlink="">
      <xdr:nvSpPr>
        <xdr:cNvPr id="22" name="CaixaDeTexto 21">
          <a:extLst>
            <a:ext uri="{FF2B5EF4-FFF2-40B4-BE49-F238E27FC236}">
              <a16:creationId xmlns:a16="http://schemas.microsoft.com/office/drawing/2014/main" id="{9D4336E5-50FB-4F75-937D-95366F1A939C}"/>
            </a:ext>
          </a:extLst>
        </xdr:cNvPr>
        <xdr:cNvSpPr txBox="1"/>
      </xdr:nvSpPr>
      <xdr:spPr>
        <a:xfrm>
          <a:off x="4914900" y="12344400"/>
          <a:ext cx="3657600" cy="25450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sng" strike="noStrike" kern="0" cap="none" spc="0" normalizeH="0" baseline="0" noProof="0">
              <a:ln>
                <a:noFill/>
              </a:ln>
              <a:solidFill>
                <a:sysClr val="windowText" lastClr="000000"/>
              </a:solidFill>
              <a:effectLst/>
              <a:uLnTx/>
              <a:uFillTx/>
              <a:latin typeface="Calibri" panose="020F0502020204030204"/>
              <a:ea typeface="+mn-ea"/>
              <a:cs typeface="+mn-cs"/>
            </a:rPr>
            <a:t>Análise 5: </a:t>
          </a:r>
          <a:r>
            <a:rPr lang="pt-PT" sz="1100" b="1" i="0">
              <a:effectLst/>
              <a:latin typeface="+mn-lt"/>
              <a:ea typeface="+mn-ea"/>
              <a:cs typeface="+mn-cs"/>
            </a:rPr>
            <a:t>Como o nível de comprometimento (1 a 4) afeta a classificação do Target ?</a:t>
          </a:r>
          <a:endPar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PT" sz="1100" b="1" i="0" u="none" strike="noStrike" kern="0" cap="none" spc="0" normalizeH="0" baseline="0" noProof="0">
              <a:ln>
                <a:noFill/>
              </a:ln>
              <a:solidFill>
                <a:sysClr val="windowText" lastClr="000000"/>
              </a:solidFill>
              <a:effectLst/>
              <a:uLnTx/>
              <a:uFillTx/>
              <a:latin typeface="Calibri" panose="020F0502020204030204"/>
              <a:ea typeface="+mn-ea"/>
              <a:cs typeface="+mn-cs"/>
            </a:rPr>
            <a:t>Insight: </a:t>
          </a:r>
          <a:r>
            <a:rPr lang="pt-PT" sz="1100" b="0" i="0">
              <a:effectLst/>
              <a:latin typeface="+mn-lt"/>
              <a:ea typeface="+mn-ea"/>
              <a:cs typeface="+mn-cs"/>
            </a:rPr>
            <a:t>Sim, existe uma relação direta: quanto maior o comprometimento da renda, maior é a chance de inadimplência. Os dados mostram que no </a:t>
          </a:r>
          <a:r>
            <a:rPr lang="pt-PT" sz="1100" b="1" i="0">
              <a:effectLst/>
              <a:latin typeface="+mn-lt"/>
              <a:ea typeface="+mn-ea"/>
              <a:cs typeface="+mn-cs"/>
            </a:rPr>
            <a:t>Nível 1</a:t>
          </a:r>
          <a:r>
            <a:rPr lang="pt-PT" sz="1100" b="0" i="0">
              <a:effectLst/>
              <a:latin typeface="+mn-lt"/>
              <a:ea typeface="+mn-ea"/>
              <a:cs typeface="+mn-cs"/>
            </a:rPr>
            <a:t> (menor peso no salário), o risco é de </a:t>
          </a:r>
          <a:r>
            <a:rPr lang="pt-PT" sz="1100" b="1" i="0">
              <a:effectLst/>
              <a:latin typeface="+mn-lt"/>
              <a:ea typeface="+mn-ea"/>
              <a:cs typeface="+mn-cs"/>
            </a:rPr>
            <a:t>25%</a:t>
          </a:r>
          <a:r>
            <a:rPr lang="pt-PT" sz="1100" b="0" i="0">
              <a:effectLst/>
              <a:latin typeface="+mn-lt"/>
              <a:ea typeface="+mn-ea"/>
              <a:cs typeface="+mn-cs"/>
            </a:rPr>
            <a:t>, mas esse número sobe para </a:t>
          </a:r>
          <a:r>
            <a:rPr lang="pt-PT" sz="1100" b="1" i="0">
              <a:effectLst/>
              <a:latin typeface="+mn-lt"/>
              <a:ea typeface="+mn-ea"/>
              <a:cs typeface="+mn-cs"/>
            </a:rPr>
            <a:t>33% no Nível 4</a:t>
          </a:r>
          <a:r>
            <a:rPr lang="pt-PT" sz="1100" b="0" i="0">
              <a:effectLst/>
              <a:latin typeface="+mn-lt"/>
              <a:ea typeface="+mn-ea"/>
              <a:cs typeface="+mn-cs"/>
            </a:rPr>
            <a:t>. Isso indica que clientes com o orçamento mais 'apertado' têm menos margem para imprevistos, tornando-se mais arriscados para a instituição. Recomenda-se</a:t>
          </a:r>
          <a:r>
            <a:rPr lang="pt-PT" sz="1100" b="0" i="0" baseline="0">
              <a:effectLst/>
              <a:latin typeface="+mn-lt"/>
              <a:ea typeface="+mn-ea"/>
              <a:cs typeface="+mn-cs"/>
            </a:rPr>
            <a:t> que o </a:t>
          </a:r>
          <a:r>
            <a:rPr lang="pt-PT" sz="1100" b="0" i="0">
              <a:effectLst/>
              <a:latin typeface="+mn-lt"/>
              <a:ea typeface="+mn-ea"/>
              <a:cs typeface="+mn-cs"/>
            </a:rPr>
            <a:t>banco deve priorizar a aprovação de clientes nos níveis 1 e 2, e ser muito mais rigoroso nos níveis 3 e 4, onde 1 em cada 3 clientes acaba por falhar no pagamento.</a:t>
          </a:r>
          <a:endParaRPr kumimoji="0" lang="pt-PT"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46892</xdr:rowOff>
    </xdr:from>
    <xdr:to>
      <xdr:col>5</xdr:col>
      <xdr:colOff>46892</xdr:colOff>
      <xdr:row>65</xdr:row>
      <xdr:rowOff>32407</xdr:rowOff>
    </xdr:to>
    <xdr:sp macro="" textlink="">
      <xdr:nvSpPr>
        <xdr:cNvPr id="2" name="Retângulo 1">
          <a:extLst>
            <a:ext uri="{FF2B5EF4-FFF2-40B4-BE49-F238E27FC236}">
              <a16:creationId xmlns:a16="http://schemas.microsoft.com/office/drawing/2014/main" id="{D4E06F2E-E422-43E9-9398-CC2167A78762}"/>
            </a:ext>
          </a:extLst>
        </xdr:cNvPr>
        <xdr:cNvSpPr/>
      </xdr:nvSpPr>
      <xdr:spPr>
        <a:xfrm>
          <a:off x="0" y="234461"/>
          <a:ext cx="3094892" cy="11989946"/>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PT" sz="1100"/>
            <a:t>F</a:t>
          </a:r>
        </a:p>
      </xdr:txBody>
    </xdr:sp>
    <xdr:clientData/>
  </xdr:twoCellAnchor>
  <xdr:twoCellAnchor>
    <xdr:from>
      <xdr:col>0</xdr:col>
      <xdr:colOff>0</xdr:colOff>
      <xdr:row>1</xdr:row>
      <xdr:rowOff>11722</xdr:rowOff>
    </xdr:from>
    <xdr:to>
      <xdr:col>4</xdr:col>
      <xdr:colOff>562708</xdr:colOff>
      <xdr:row>5</xdr:row>
      <xdr:rowOff>0</xdr:rowOff>
    </xdr:to>
    <xdr:sp macro="" textlink="">
      <xdr:nvSpPr>
        <xdr:cNvPr id="3" name="CaixaDeTexto 2">
          <a:extLst>
            <a:ext uri="{FF2B5EF4-FFF2-40B4-BE49-F238E27FC236}">
              <a16:creationId xmlns:a16="http://schemas.microsoft.com/office/drawing/2014/main" id="{535E913D-9F87-443D-848B-8DC82AD45B1D}"/>
            </a:ext>
          </a:extLst>
        </xdr:cNvPr>
        <xdr:cNvSpPr txBox="1"/>
      </xdr:nvSpPr>
      <xdr:spPr>
        <a:xfrm>
          <a:off x="0" y="199291"/>
          <a:ext cx="3001108" cy="738555"/>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PT" sz="2000" b="1">
              <a:solidFill>
                <a:schemeClr val="bg1"/>
              </a:solidFill>
            </a:rPr>
            <a:t>ANÁLISE DE RISCO DE CRÉDITO  </a:t>
          </a:r>
        </a:p>
      </xdr:txBody>
    </xdr:sp>
    <xdr:clientData/>
  </xdr:twoCellAnchor>
  <xdr:twoCellAnchor>
    <xdr:from>
      <xdr:col>6</xdr:col>
      <xdr:colOff>311759</xdr:colOff>
      <xdr:row>6</xdr:row>
      <xdr:rowOff>47551</xdr:rowOff>
    </xdr:from>
    <xdr:to>
      <xdr:col>12</xdr:col>
      <xdr:colOff>185057</xdr:colOff>
      <xdr:row>12</xdr:row>
      <xdr:rowOff>1674</xdr:rowOff>
    </xdr:to>
    <xdr:sp macro="" textlink="">
      <xdr:nvSpPr>
        <xdr:cNvPr id="5" name="Retângulo: Cantos Arredondados 4">
          <a:extLst>
            <a:ext uri="{FF2B5EF4-FFF2-40B4-BE49-F238E27FC236}">
              <a16:creationId xmlns:a16="http://schemas.microsoft.com/office/drawing/2014/main" id="{C5D3154F-E00E-460B-ACD0-C3D1E3626B2D}"/>
            </a:ext>
          </a:extLst>
        </xdr:cNvPr>
        <xdr:cNvSpPr/>
      </xdr:nvSpPr>
      <xdr:spPr>
        <a:xfrm>
          <a:off x="3969359" y="1172966"/>
          <a:ext cx="3530898" cy="1079539"/>
        </a:xfrm>
        <a:prstGeom prst="roundRect">
          <a:avLst/>
        </a:prstGeom>
        <a:gradFill flip="none" rotWithShape="1">
          <a:gsLst>
            <a:gs pos="0">
              <a:srgbClr val="2F5597">
                <a:shade val="30000"/>
                <a:satMod val="115000"/>
              </a:srgbClr>
            </a:gs>
            <a:gs pos="50000">
              <a:srgbClr val="2F5597">
                <a:shade val="67500"/>
                <a:satMod val="115000"/>
              </a:srgbClr>
            </a:gs>
            <a:gs pos="100000">
              <a:srgbClr val="2F5597">
                <a:shade val="100000"/>
                <a:satMod val="115000"/>
              </a:srgb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20</xdr:col>
      <xdr:colOff>160480</xdr:colOff>
      <xdr:row>6</xdr:row>
      <xdr:rowOff>34245</xdr:rowOff>
    </xdr:from>
    <xdr:to>
      <xdr:col>26</xdr:col>
      <xdr:colOff>34480</xdr:colOff>
      <xdr:row>11</xdr:row>
      <xdr:rowOff>177071</xdr:rowOff>
    </xdr:to>
    <xdr:sp macro="" textlink="Analises!$B$101">
      <xdr:nvSpPr>
        <xdr:cNvPr id="8" name="Retângulo: Cantos Arredondados 7">
          <a:extLst>
            <a:ext uri="{FF2B5EF4-FFF2-40B4-BE49-F238E27FC236}">
              <a16:creationId xmlns:a16="http://schemas.microsoft.com/office/drawing/2014/main" id="{E81C7C36-0F22-4488-959F-9B27EE55F972}"/>
            </a:ext>
          </a:extLst>
        </xdr:cNvPr>
        <xdr:cNvSpPr/>
      </xdr:nvSpPr>
      <xdr:spPr>
        <a:xfrm>
          <a:off x="12352480" y="1159660"/>
          <a:ext cx="3531600" cy="1080673"/>
        </a:xfrm>
        <a:prstGeom prst="roundRect">
          <a:avLst/>
        </a:prstGeom>
        <a:gradFill flip="none" rotWithShape="1">
          <a:gsLst>
            <a:gs pos="0">
              <a:srgbClr val="2F5597">
                <a:shade val="30000"/>
                <a:satMod val="115000"/>
              </a:srgbClr>
            </a:gs>
            <a:gs pos="50000">
              <a:srgbClr val="2F5597">
                <a:shade val="67500"/>
                <a:satMod val="115000"/>
              </a:srgbClr>
            </a:gs>
            <a:gs pos="100000">
              <a:srgbClr val="2F5597">
                <a:shade val="100000"/>
                <a:satMod val="115000"/>
              </a:srgb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i="0" u="none" strike="noStrike">
              <a:solidFill>
                <a:schemeClr val="bg1"/>
              </a:solidFill>
              <a:latin typeface="Calibri"/>
              <a:cs typeface="Calibri"/>
            </a:rPr>
            <a:t>VOLUME</a:t>
          </a:r>
          <a:r>
            <a:rPr lang="en-US" sz="1800" b="0" i="0" u="none" strike="noStrike" baseline="0">
              <a:solidFill>
                <a:schemeClr val="bg1"/>
              </a:solidFill>
              <a:latin typeface="Calibri"/>
              <a:cs typeface="Calibri"/>
            </a:rPr>
            <a:t> TOTAL DE CRÉDITO</a:t>
          </a:r>
          <a:endParaRPr lang="en-US" sz="1800" b="0" i="0" u="none" strike="noStrike">
            <a:solidFill>
              <a:schemeClr val="bg1"/>
            </a:solidFill>
            <a:latin typeface="Calibri"/>
            <a:cs typeface="Calibri"/>
          </a:endParaRPr>
        </a:p>
        <a:p>
          <a:pPr algn="ctr"/>
          <a:fld id="{164E7B93-8D8B-4DD0-A7A2-912AEB3CB570}" type="TxLink">
            <a:rPr lang="en-US" sz="2400" b="1" i="0" u="none" strike="noStrike">
              <a:solidFill>
                <a:schemeClr val="bg1"/>
              </a:solidFill>
              <a:latin typeface="Calibri"/>
              <a:cs typeface="Calibri"/>
            </a:rPr>
            <a:pPr algn="ctr"/>
            <a:t> $3 271 258,00 </a:t>
          </a:fld>
          <a:endParaRPr lang="en-US" sz="2400" b="1" i="0" u="none" strike="noStrike">
            <a:solidFill>
              <a:schemeClr val="bg1"/>
            </a:solidFill>
            <a:latin typeface="Calibri"/>
            <a:cs typeface="Calibri"/>
          </a:endParaRPr>
        </a:p>
      </xdr:txBody>
    </xdr:sp>
    <xdr:clientData/>
  </xdr:twoCellAnchor>
  <xdr:twoCellAnchor>
    <xdr:from>
      <xdr:col>13</xdr:col>
      <xdr:colOff>332434</xdr:colOff>
      <xdr:row>6</xdr:row>
      <xdr:rowOff>28077</xdr:rowOff>
    </xdr:from>
    <xdr:to>
      <xdr:col>19</xdr:col>
      <xdr:colOff>206434</xdr:colOff>
      <xdr:row>11</xdr:row>
      <xdr:rowOff>167472</xdr:rowOff>
    </xdr:to>
    <xdr:sp macro="" textlink="">
      <xdr:nvSpPr>
        <xdr:cNvPr id="9" name="Retângulo: Cantos Arredondados 8">
          <a:extLst>
            <a:ext uri="{FF2B5EF4-FFF2-40B4-BE49-F238E27FC236}">
              <a16:creationId xmlns:a16="http://schemas.microsoft.com/office/drawing/2014/main" id="{9E0124D6-752D-415F-B522-CA74615D2C37}"/>
            </a:ext>
          </a:extLst>
        </xdr:cNvPr>
        <xdr:cNvSpPr/>
      </xdr:nvSpPr>
      <xdr:spPr>
        <a:xfrm>
          <a:off x="8257234" y="1153492"/>
          <a:ext cx="3531600" cy="1077242"/>
        </a:xfrm>
        <a:prstGeom prst="roundRect">
          <a:avLst/>
        </a:prstGeom>
        <a:gradFill flip="none" rotWithShape="1">
          <a:gsLst>
            <a:gs pos="0">
              <a:srgbClr val="2F5597">
                <a:shade val="30000"/>
                <a:satMod val="115000"/>
              </a:srgbClr>
            </a:gs>
            <a:gs pos="50000">
              <a:srgbClr val="2F5597">
                <a:shade val="67500"/>
                <a:satMod val="115000"/>
              </a:srgbClr>
            </a:gs>
            <a:gs pos="100000">
              <a:srgbClr val="2F5597">
                <a:shade val="100000"/>
                <a:satMod val="115000"/>
              </a:srgb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TAXA DE INADIMPLÊNCIA</a:t>
          </a:r>
        </a:p>
        <a:p>
          <a:pPr algn="ctr"/>
          <a:r>
            <a:rPr lang="en-US" sz="2400" b="1"/>
            <a:t>30%</a:t>
          </a:r>
        </a:p>
      </xdr:txBody>
    </xdr:sp>
    <xdr:clientData/>
  </xdr:twoCellAnchor>
  <xdr:twoCellAnchor>
    <xdr:from>
      <xdr:col>26</xdr:col>
      <xdr:colOff>541747</xdr:colOff>
      <xdr:row>5</xdr:row>
      <xdr:rowOff>184515</xdr:rowOff>
    </xdr:from>
    <xdr:to>
      <xdr:col>32</xdr:col>
      <xdr:colOff>415747</xdr:colOff>
      <xdr:row>11</xdr:row>
      <xdr:rowOff>139772</xdr:rowOff>
    </xdr:to>
    <xdr:sp macro="" textlink="Analises!$C$101">
      <xdr:nvSpPr>
        <xdr:cNvPr id="10" name="Retângulo: Cantos Arredondados 9">
          <a:extLst>
            <a:ext uri="{FF2B5EF4-FFF2-40B4-BE49-F238E27FC236}">
              <a16:creationId xmlns:a16="http://schemas.microsoft.com/office/drawing/2014/main" id="{7D683665-FBAD-475F-9DC1-F834BD44D5AD}"/>
            </a:ext>
          </a:extLst>
        </xdr:cNvPr>
        <xdr:cNvSpPr/>
      </xdr:nvSpPr>
      <xdr:spPr>
        <a:xfrm>
          <a:off x="16391347" y="1122361"/>
          <a:ext cx="3531600" cy="1080673"/>
        </a:xfrm>
        <a:prstGeom prst="roundRect">
          <a:avLst/>
        </a:prstGeom>
        <a:gradFill flip="none" rotWithShape="1">
          <a:gsLst>
            <a:gs pos="0">
              <a:srgbClr val="2F5597">
                <a:shade val="30000"/>
                <a:satMod val="115000"/>
              </a:srgbClr>
            </a:gs>
            <a:gs pos="50000">
              <a:srgbClr val="2F5597">
                <a:shade val="67500"/>
                <a:satMod val="115000"/>
              </a:srgbClr>
            </a:gs>
            <a:gs pos="100000">
              <a:srgbClr val="2F5597">
                <a:shade val="100000"/>
                <a:satMod val="115000"/>
              </a:srgb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i="0" u="none" strike="noStrike">
              <a:solidFill>
                <a:schemeClr val="bg1"/>
              </a:solidFill>
              <a:latin typeface="Calibri"/>
              <a:cs typeface="Calibri"/>
            </a:rPr>
            <a:t>TICKET</a:t>
          </a:r>
          <a:r>
            <a:rPr lang="en-US" sz="1800" b="0" i="0" u="none" strike="noStrike" baseline="0">
              <a:solidFill>
                <a:schemeClr val="bg1"/>
              </a:solidFill>
              <a:latin typeface="Calibri"/>
              <a:cs typeface="Calibri"/>
            </a:rPr>
            <a:t> MÉDIO</a:t>
          </a:r>
          <a:endParaRPr lang="en-US" sz="1800" b="0" i="0" u="none" strike="noStrike">
            <a:solidFill>
              <a:schemeClr val="bg1"/>
            </a:solidFill>
            <a:latin typeface="Calibri"/>
            <a:cs typeface="Calibri"/>
          </a:endParaRPr>
        </a:p>
        <a:p>
          <a:pPr algn="ctr"/>
          <a:fld id="{D7BFE37A-29EA-4E83-9E57-E7F24475AF8A}" type="TxLink">
            <a:rPr lang="en-US" sz="2400" b="1" i="0" u="none" strike="noStrike">
              <a:solidFill>
                <a:schemeClr val="bg1"/>
              </a:solidFill>
              <a:latin typeface="Calibri"/>
              <a:cs typeface="Calibri"/>
            </a:rPr>
            <a:pPr algn="ctr"/>
            <a:t>3271,258</a:t>
          </a:fld>
          <a:endParaRPr lang="pt-PT" sz="2400" b="1">
            <a:solidFill>
              <a:schemeClr val="bg1"/>
            </a:solidFill>
          </a:endParaRPr>
        </a:p>
      </xdr:txBody>
    </xdr:sp>
    <xdr:clientData/>
  </xdr:twoCellAnchor>
  <xdr:twoCellAnchor>
    <xdr:from>
      <xdr:col>7</xdr:col>
      <xdr:colOff>132486</xdr:colOff>
      <xdr:row>7</xdr:row>
      <xdr:rowOff>7757</xdr:rowOff>
    </xdr:from>
    <xdr:to>
      <xdr:col>11</xdr:col>
      <xdr:colOff>402573</xdr:colOff>
      <xdr:row>11</xdr:row>
      <xdr:rowOff>50998</xdr:rowOff>
    </xdr:to>
    <xdr:sp macro="" textlink="Analises!$B$91">
      <xdr:nvSpPr>
        <xdr:cNvPr id="11" name="CaixaDeTexto 10">
          <a:extLst>
            <a:ext uri="{FF2B5EF4-FFF2-40B4-BE49-F238E27FC236}">
              <a16:creationId xmlns:a16="http://schemas.microsoft.com/office/drawing/2014/main" id="{753FBCF5-501E-40A6-BC70-CB275CF3D6D3}"/>
            </a:ext>
          </a:extLst>
        </xdr:cNvPr>
        <xdr:cNvSpPr txBox="1"/>
      </xdr:nvSpPr>
      <xdr:spPr>
        <a:xfrm>
          <a:off x="4399686" y="1320742"/>
          <a:ext cx="2708487" cy="793518"/>
        </a:xfrm>
        <a:prstGeom prst="rect">
          <a:avLst/>
        </a:prstGeom>
        <a:gradFill flip="none" rotWithShape="1">
          <a:gsLst>
            <a:gs pos="0">
              <a:srgbClr val="2F5597">
                <a:shade val="30000"/>
                <a:satMod val="115000"/>
              </a:srgbClr>
            </a:gs>
            <a:gs pos="50000">
              <a:srgbClr val="2F5597">
                <a:shade val="67500"/>
                <a:satMod val="115000"/>
              </a:srgbClr>
            </a:gs>
            <a:gs pos="100000">
              <a:srgbClr val="2F5597">
                <a:shade val="100000"/>
                <a:satMod val="115000"/>
              </a:srgbClr>
            </a:gs>
          </a:gsLst>
          <a:lin ang="27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bg1"/>
              </a:solidFill>
              <a:effectLst/>
              <a:uLnTx/>
              <a:uFillTx/>
              <a:latin typeface="Calibri"/>
              <a:ea typeface="+mn-ea"/>
              <a:cs typeface="Calibri"/>
            </a:rPr>
            <a:t>TOTAL DE CLIENTES</a:t>
          </a:r>
        </a:p>
        <a:p>
          <a:pPr marL="0" marR="0" lvl="0" indent="0" algn="ctr" defTabSz="914400" eaLnBrk="1" fontAlgn="auto" latinLnBrk="0" hangingPunct="1">
            <a:lnSpc>
              <a:spcPct val="100000"/>
            </a:lnSpc>
            <a:spcBef>
              <a:spcPts val="0"/>
            </a:spcBef>
            <a:spcAft>
              <a:spcPts val="0"/>
            </a:spcAft>
            <a:buClrTx/>
            <a:buSzTx/>
            <a:buFontTx/>
            <a:buNone/>
            <a:tabLst/>
            <a:defRPr/>
          </a:pPr>
          <a:fld id="{2269EAE4-F806-4400-A88A-52E6EF02AC6A}" type="TxLink">
            <a:rPr kumimoji="0" lang="en-US" sz="2400" b="1" i="0" u="none" strike="noStrike" kern="0" cap="none" spc="0" normalizeH="0" baseline="0" noProof="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1000</a:t>
          </a:fld>
          <a:endParaRPr kumimoji="0" lang="en-US" sz="2400" b="1" i="0" u="none" strike="noStrike" kern="0" cap="none" spc="0" normalizeH="0" baseline="0" noProof="0">
            <a:ln>
              <a:noFill/>
            </a:ln>
            <a:solidFill>
              <a:schemeClr val="bg1"/>
            </a:solidFill>
            <a:effectLst/>
            <a:uLnTx/>
            <a:uFillTx/>
            <a:latin typeface="Calibri"/>
            <a:ea typeface="+mn-ea"/>
            <a:cs typeface="Calibri"/>
          </a:endParaRPr>
        </a:p>
      </xdr:txBody>
    </xdr:sp>
    <xdr:clientData/>
  </xdr:twoCellAnchor>
  <xdr:twoCellAnchor>
    <xdr:from>
      <xdr:col>6</xdr:col>
      <xdr:colOff>335434</xdr:colOff>
      <xdr:row>13</xdr:row>
      <xdr:rowOff>92078</xdr:rowOff>
    </xdr:from>
    <xdr:to>
      <xdr:col>19</xdr:col>
      <xdr:colOff>185057</xdr:colOff>
      <xdr:row>28</xdr:row>
      <xdr:rowOff>130628</xdr:rowOff>
    </xdr:to>
    <xdr:graphicFrame macro="">
      <xdr:nvGraphicFramePr>
        <xdr:cNvPr id="18" name="Gráfico 17">
          <a:extLst>
            <a:ext uri="{FF2B5EF4-FFF2-40B4-BE49-F238E27FC236}">
              <a16:creationId xmlns:a16="http://schemas.microsoft.com/office/drawing/2014/main" id="{06F53AFB-95F5-4833-A6B1-4B67A61B4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337457</xdr:colOff>
      <xdr:row>46</xdr:row>
      <xdr:rowOff>70254</xdr:rowOff>
    </xdr:from>
    <xdr:to>
      <xdr:col>32</xdr:col>
      <xdr:colOff>435428</xdr:colOff>
      <xdr:row>57</xdr:row>
      <xdr:rowOff>29935</xdr:rowOff>
    </xdr:to>
    <xdr:graphicFrame macro="">
      <xdr:nvGraphicFramePr>
        <xdr:cNvPr id="21" name="Gráfico 20">
          <a:extLst>
            <a:ext uri="{FF2B5EF4-FFF2-40B4-BE49-F238E27FC236}">
              <a16:creationId xmlns:a16="http://schemas.microsoft.com/office/drawing/2014/main" id="{F82E4A54-CA49-4420-A2DB-D9A058F86C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108856</xdr:colOff>
      <xdr:row>13</xdr:row>
      <xdr:rowOff>87085</xdr:rowOff>
    </xdr:from>
    <xdr:to>
      <xdr:col>32</xdr:col>
      <xdr:colOff>446313</xdr:colOff>
      <xdr:row>28</xdr:row>
      <xdr:rowOff>126428</xdr:rowOff>
    </xdr:to>
    <xdr:graphicFrame macro="">
      <xdr:nvGraphicFramePr>
        <xdr:cNvPr id="24" name="Gráfico 23">
          <a:extLst>
            <a:ext uri="{FF2B5EF4-FFF2-40B4-BE49-F238E27FC236}">
              <a16:creationId xmlns:a16="http://schemas.microsoft.com/office/drawing/2014/main" id="{8BA4940F-48F5-40E9-970D-211566E35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324979</xdr:colOff>
      <xdr:row>30</xdr:row>
      <xdr:rowOff>57527</xdr:rowOff>
    </xdr:from>
    <xdr:to>
      <xdr:col>19</xdr:col>
      <xdr:colOff>217714</xdr:colOff>
      <xdr:row>45</xdr:row>
      <xdr:rowOff>96870</xdr:rowOff>
    </xdr:to>
    <xdr:graphicFrame macro="">
      <xdr:nvGraphicFramePr>
        <xdr:cNvPr id="26" name="Gráfico 25">
          <a:extLst>
            <a:ext uri="{FF2B5EF4-FFF2-40B4-BE49-F238E27FC236}">
              <a16:creationId xmlns:a16="http://schemas.microsoft.com/office/drawing/2014/main" id="{E84483D7-657F-463C-AF48-9A8C4F9BDC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130630</xdr:colOff>
      <xdr:row>30</xdr:row>
      <xdr:rowOff>87086</xdr:rowOff>
    </xdr:from>
    <xdr:to>
      <xdr:col>32</xdr:col>
      <xdr:colOff>438142</xdr:colOff>
      <xdr:row>45</xdr:row>
      <xdr:rowOff>51303</xdr:rowOff>
    </xdr:to>
    <xdr:graphicFrame macro="">
      <xdr:nvGraphicFramePr>
        <xdr:cNvPr id="28" name="Gráfico 27">
          <a:extLst>
            <a:ext uri="{FF2B5EF4-FFF2-40B4-BE49-F238E27FC236}">
              <a16:creationId xmlns:a16="http://schemas.microsoft.com/office/drawing/2014/main" id="{B53D37C3-A708-4401-A926-2335A983C9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35170</xdr:colOff>
      <xdr:row>0</xdr:row>
      <xdr:rowOff>21167</xdr:rowOff>
    </xdr:from>
    <xdr:to>
      <xdr:col>36</xdr:col>
      <xdr:colOff>11724</xdr:colOff>
      <xdr:row>4</xdr:row>
      <xdr:rowOff>152400</xdr:rowOff>
    </xdr:to>
    <xdr:sp macro="" textlink="">
      <xdr:nvSpPr>
        <xdr:cNvPr id="30" name="Retângulo 29">
          <a:extLst>
            <a:ext uri="{FF2B5EF4-FFF2-40B4-BE49-F238E27FC236}">
              <a16:creationId xmlns:a16="http://schemas.microsoft.com/office/drawing/2014/main" id="{88EA66F1-3B02-4C9E-BD30-504EBB53ECC8}"/>
            </a:ext>
          </a:extLst>
        </xdr:cNvPr>
        <xdr:cNvSpPr/>
      </xdr:nvSpPr>
      <xdr:spPr>
        <a:xfrm>
          <a:off x="3083170" y="21167"/>
          <a:ext cx="18874154" cy="881510"/>
        </a:xfrm>
        <a:prstGeom prst="rect">
          <a:avLst/>
        </a:prstGeom>
        <a:solidFill>
          <a:srgbClr val="4472C4">
            <a:lumMod val="75000"/>
          </a:srgbClr>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P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261257</xdr:colOff>
      <xdr:row>29</xdr:row>
      <xdr:rowOff>87087</xdr:rowOff>
    </xdr:from>
    <xdr:to>
      <xdr:col>19</xdr:col>
      <xdr:colOff>228600</xdr:colOff>
      <xdr:row>29</xdr:row>
      <xdr:rowOff>141514</xdr:rowOff>
    </xdr:to>
    <xdr:cxnSp macro="">
      <xdr:nvCxnSpPr>
        <xdr:cNvPr id="6" name="Conector reto 5">
          <a:extLst>
            <a:ext uri="{FF2B5EF4-FFF2-40B4-BE49-F238E27FC236}">
              <a16:creationId xmlns:a16="http://schemas.microsoft.com/office/drawing/2014/main" id="{CD2B390C-EFDE-4B60-B9DC-6820B5F7A505}"/>
            </a:ext>
          </a:extLst>
        </xdr:cNvPr>
        <xdr:cNvCxnSpPr/>
      </xdr:nvCxnSpPr>
      <xdr:spPr>
        <a:xfrm flipV="1">
          <a:off x="3918857" y="5453744"/>
          <a:ext cx="7892143" cy="54427"/>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54429</xdr:colOff>
      <xdr:row>29</xdr:row>
      <xdr:rowOff>76200</xdr:rowOff>
    </xdr:from>
    <xdr:to>
      <xdr:col>32</xdr:col>
      <xdr:colOff>544286</xdr:colOff>
      <xdr:row>29</xdr:row>
      <xdr:rowOff>108857</xdr:rowOff>
    </xdr:to>
    <xdr:cxnSp macro="">
      <xdr:nvCxnSpPr>
        <xdr:cNvPr id="25" name="Conector reto 24">
          <a:extLst>
            <a:ext uri="{FF2B5EF4-FFF2-40B4-BE49-F238E27FC236}">
              <a16:creationId xmlns:a16="http://schemas.microsoft.com/office/drawing/2014/main" id="{B73126CF-23FA-47A8-875A-2CD44780BA92}"/>
            </a:ext>
          </a:extLst>
        </xdr:cNvPr>
        <xdr:cNvCxnSpPr/>
      </xdr:nvCxnSpPr>
      <xdr:spPr>
        <a:xfrm>
          <a:off x="12246429" y="5442857"/>
          <a:ext cx="7805057" cy="32657"/>
        </a:xfrm>
        <a:prstGeom prst="line">
          <a:avLst/>
        </a:prstGeom>
        <a:noFill/>
        <a:ln w="6350" cap="flat" cmpd="sng" algn="ctr">
          <a:solidFill>
            <a:sysClr val="window" lastClr="FFFFFF"/>
          </a:solidFill>
          <a:prstDash val="solid"/>
          <a:miter lim="800000"/>
        </a:ln>
        <a:effectLst/>
      </xdr:spPr>
    </xdr:cxnSp>
    <xdr:clientData/>
  </xdr:twoCellAnchor>
  <xdr:twoCellAnchor>
    <xdr:from>
      <xdr:col>6</xdr:col>
      <xdr:colOff>326571</xdr:colOff>
      <xdr:row>45</xdr:row>
      <xdr:rowOff>152401</xdr:rowOff>
    </xdr:from>
    <xdr:to>
      <xdr:col>19</xdr:col>
      <xdr:colOff>326571</xdr:colOff>
      <xdr:row>46</xdr:row>
      <xdr:rowOff>0</xdr:rowOff>
    </xdr:to>
    <xdr:cxnSp macro="">
      <xdr:nvCxnSpPr>
        <xdr:cNvPr id="33" name="Conector reto 32">
          <a:extLst>
            <a:ext uri="{FF2B5EF4-FFF2-40B4-BE49-F238E27FC236}">
              <a16:creationId xmlns:a16="http://schemas.microsoft.com/office/drawing/2014/main" id="{16BE124B-9C75-4385-A6D7-DE3D1727DBB0}"/>
            </a:ext>
          </a:extLst>
        </xdr:cNvPr>
        <xdr:cNvCxnSpPr/>
      </xdr:nvCxnSpPr>
      <xdr:spPr>
        <a:xfrm flipV="1">
          <a:off x="3984171" y="8479972"/>
          <a:ext cx="7924800" cy="32657"/>
        </a:xfrm>
        <a:prstGeom prst="line">
          <a:avLst/>
        </a:prstGeom>
        <a:noFill/>
        <a:ln w="6350" cap="flat" cmpd="sng" algn="ctr">
          <a:solidFill>
            <a:sysClr val="window" lastClr="FFFFFF"/>
          </a:solidFill>
          <a:prstDash val="solid"/>
          <a:miter lim="800000"/>
        </a:ln>
        <a:effectLst/>
      </xdr:spPr>
    </xdr:cxnSp>
    <xdr:clientData/>
  </xdr:twoCellAnchor>
  <xdr:twoCellAnchor>
    <xdr:from>
      <xdr:col>20</xdr:col>
      <xdr:colOff>87085</xdr:colOff>
      <xdr:row>45</xdr:row>
      <xdr:rowOff>152401</xdr:rowOff>
    </xdr:from>
    <xdr:to>
      <xdr:col>32</xdr:col>
      <xdr:colOff>566057</xdr:colOff>
      <xdr:row>45</xdr:row>
      <xdr:rowOff>152401</xdr:rowOff>
    </xdr:to>
    <xdr:cxnSp macro="">
      <xdr:nvCxnSpPr>
        <xdr:cNvPr id="34" name="Conector reto 33">
          <a:extLst>
            <a:ext uri="{FF2B5EF4-FFF2-40B4-BE49-F238E27FC236}">
              <a16:creationId xmlns:a16="http://schemas.microsoft.com/office/drawing/2014/main" id="{12673DC1-120C-4F96-AD82-E908DF50856F}"/>
            </a:ext>
          </a:extLst>
        </xdr:cNvPr>
        <xdr:cNvCxnSpPr/>
      </xdr:nvCxnSpPr>
      <xdr:spPr>
        <a:xfrm>
          <a:off x="12279085" y="8479972"/>
          <a:ext cx="7794172" cy="0"/>
        </a:xfrm>
        <a:prstGeom prst="line">
          <a:avLst/>
        </a:prstGeom>
        <a:noFill/>
        <a:ln w="6350" cap="flat" cmpd="sng" algn="ctr">
          <a:solidFill>
            <a:sysClr val="window" lastClr="FFFFFF"/>
          </a:solidFill>
          <a:prstDash val="solid"/>
          <a:miter lim="800000"/>
        </a:ln>
        <a:effectLst/>
      </xdr:spPr>
    </xdr:cxnSp>
    <xdr:clientData/>
  </xdr:twoCellAnchor>
  <xdr:twoCellAnchor editAs="oneCell">
    <xdr:from>
      <xdr:col>0</xdr:col>
      <xdr:colOff>0</xdr:colOff>
      <xdr:row>36</xdr:row>
      <xdr:rowOff>97885</xdr:rowOff>
    </xdr:from>
    <xdr:to>
      <xdr:col>5</xdr:col>
      <xdr:colOff>11723</xdr:colOff>
      <xdr:row>48</xdr:row>
      <xdr:rowOff>128953</xdr:rowOff>
    </xdr:to>
    <mc:AlternateContent xmlns:mc="http://schemas.openxmlformats.org/markup-compatibility/2006">
      <mc:Choice xmlns:a14="http://schemas.microsoft.com/office/drawing/2010/main" Requires="a14">
        <xdr:graphicFrame macro="">
          <xdr:nvGraphicFramePr>
            <xdr:cNvPr id="40" name="Emprego">
              <a:extLst>
                <a:ext uri="{FF2B5EF4-FFF2-40B4-BE49-F238E27FC236}">
                  <a16:creationId xmlns:a16="http://schemas.microsoft.com/office/drawing/2014/main" id="{F5037F25-B73D-4D2A-BBEB-33964927E21A}"/>
                </a:ext>
              </a:extLst>
            </xdr:cNvPr>
            <xdr:cNvGraphicFramePr/>
          </xdr:nvGraphicFramePr>
          <xdr:xfrm>
            <a:off x="0" y="0"/>
            <a:ext cx="0" cy="0"/>
          </xdr:xfrm>
          <a:graphic>
            <a:graphicData uri="http://schemas.microsoft.com/office/drawing/2010/slicer">
              <sle:slicer xmlns:sle="http://schemas.microsoft.com/office/drawing/2010/slicer" name="Emprego"/>
            </a:graphicData>
          </a:graphic>
        </xdr:graphicFrame>
      </mc:Choice>
      <mc:Fallback>
        <xdr:sp macro="" textlink="">
          <xdr:nvSpPr>
            <xdr:cNvPr id="0" name=""/>
            <xdr:cNvSpPr>
              <a:spLocks noTextEdit="1"/>
            </xdr:cNvSpPr>
          </xdr:nvSpPr>
          <xdr:spPr>
            <a:xfrm>
              <a:off x="0" y="6850377"/>
              <a:ext cx="3059723" cy="2281899"/>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11722</xdr:colOff>
      <xdr:row>13</xdr:row>
      <xdr:rowOff>74435</xdr:rowOff>
    </xdr:from>
    <xdr:to>
      <xdr:col>5</xdr:col>
      <xdr:colOff>45322</xdr:colOff>
      <xdr:row>20</xdr:row>
      <xdr:rowOff>70338</xdr:rowOff>
    </xdr:to>
    <mc:AlternateContent xmlns:mc="http://schemas.openxmlformats.org/markup-compatibility/2006">
      <mc:Choice xmlns:a14="http://schemas.microsoft.com/office/drawing/2010/main" Requires="a14">
        <xdr:graphicFrame macro="">
          <xdr:nvGraphicFramePr>
            <xdr:cNvPr id="42" name="Status de Risco">
              <a:extLst>
                <a:ext uri="{FF2B5EF4-FFF2-40B4-BE49-F238E27FC236}">
                  <a16:creationId xmlns:a16="http://schemas.microsoft.com/office/drawing/2014/main" id="{8CE06D49-7D03-4B91-A801-2926F5B85E94}"/>
                </a:ext>
              </a:extLst>
            </xdr:cNvPr>
            <xdr:cNvGraphicFramePr/>
          </xdr:nvGraphicFramePr>
          <xdr:xfrm>
            <a:off x="0" y="0"/>
            <a:ext cx="0" cy="0"/>
          </xdr:xfrm>
          <a:graphic>
            <a:graphicData uri="http://schemas.microsoft.com/office/drawing/2010/slicer">
              <sle:slicer xmlns:sle="http://schemas.microsoft.com/office/drawing/2010/slicer" name="Status de Risco"/>
            </a:graphicData>
          </a:graphic>
        </xdr:graphicFrame>
      </mc:Choice>
      <mc:Fallback>
        <xdr:sp macro="" textlink="">
          <xdr:nvSpPr>
            <xdr:cNvPr id="0" name=""/>
            <xdr:cNvSpPr>
              <a:spLocks noTextEdit="1"/>
            </xdr:cNvSpPr>
          </xdr:nvSpPr>
          <xdr:spPr>
            <a:xfrm>
              <a:off x="11722" y="2512835"/>
              <a:ext cx="3081600" cy="1308888"/>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0</xdr:colOff>
      <xdr:row>20</xdr:row>
      <xdr:rowOff>182484</xdr:rowOff>
    </xdr:from>
    <xdr:to>
      <xdr:col>5</xdr:col>
      <xdr:colOff>35170</xdr:colOff>
      <xdr:row>28</xdr:row>
      <xdr:rowOff>35170</xdr:rowOff>
    </xdr:to>
    <mc:AlternateContent xmlns:mc="http://schemas.openxmlformats.org/markup-compatibility/2006">
      <mc:Choice xmlns:a14="http://schemas.microsoft.com/office/drawing/2010/main" Requires="a14">
        <xdr:graphicFrame macro="">
          <xdr:nvGraphicFramePr>
            <xdr:cNvPr id="44" name="Sexo">
              <a:extLst>
                <a:ext uri="{FF2B5EF4-FFF2-40B4-BE49-F238E27FC236}">
                  <a16:creationId xmlns:a16="http://schemas.microsoft.com/office/drawing/2014/main" id="{BAA5BD9B-63B4-4E89-A4DF-AD9C3FBE9C53}"/>
                </a:ext>
              </a:extLst>
            </xdr:cNvPr>
            <xdr:cNvGraphicFramePr/>
          </xdr:nvGraphicFramePr>
          <xdr:xfrm>
            <a:off x="0" y="0"/>
            <a:ext cx="0" cy="0"/>
          </xdr:xfrm>
          <a:graphic>
            <a:graphicData uri="http://schemas.microsoft.com/office/drawing/2010/slicer">
              <sle:slicer xmlns:sle="http://schemas.microsoft.com/office/drawing/2010/slicer" name="Sexo"/>
            </a:graphicData>
          </a:graphic>
        </xdr:graphicFrame>
      </mc:Choice>
      <mc:Fallback>
        <xdr:sp macro="" textlink="">
          <xdr:nvSpPr>
            <xdr:cNvPr id="0" name=""/>
            <xdr:cNvSpPr>
              <a:spLocks noTextEdit="1"/>
            </xdr:cNvSpPr>
          </xdr:nvSpPr>
          <xdr:spPr>
            <a:xfrm>
              <a:off x="0" y="3933869"/>
              <a:ext cx="3083170" cy="1353239"/>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11721</xdr:colOff>
      <xdr:row>28</xdr:row>
      <xdr:rowOff>91239</xdr:rowOff>
    </xdr:from>
    <xdr:to>
      <xdr:col>5</xdr:col>
      <xdr:colOff>23444</xdr:colOff>
      <xdr:row>36</xdr:row>
      <xdr:rowOff>46892</xdr:rowOff>
    </xdr:to>
    <mc:AlternateContent xmlns:mc="http://schemas.openxmlformats.org/markup-compatibility/2006">
      <mc:Choice xmlns:a14="http://schemas.microsoft.com/office/drawing/2010/main" Requires="a14">
        <xdr:graphicFrame macro="">
          <xdr:nvGraphicFramePr>
            <xdr:cNvPr id="46" name="Trabalhador estrangeiro">
              <a:extLst>
                <a:ext uri="{FF2B5EF4-FFF2-40B4-BE49-F238E27FC236}">
                  <a16:creationId xmlns:a16="http://schemas.microsoft.com/office/drawing/2014/main" id="{2562E339-3E9E-4F04-8C0F-9CF6DBC7E68C}"/>
                </a:ext>
              </a:extLst>
            </xdr:cNvPr>
            <xdr:cNvGraphicFramePr/>
          </xdr:nvGraphicFramePr>
          <xdr:xfrm>
            <a:off x="0" y="0"/>
            <a:ext cx="0" cy="0"/>
          </xdr:xfrm>
          <a:graphic>
            <a:graphicData uri="http://schemas.microsoft.com/office/drawing/2010/slicer">
              <sle:slicer xmlns:sle="http://schemas.microsoft.com/office/drawing/2010/slicer" name="Trabalhador estrangeiro"/>
            </a:graphicData>
          </a:graphic>
        </xdr:graphicFrame>
      </mc:Choice>
      <mc:Fallback>
        <xdr:sp macro="" textlink="">
          <xdr:nvSpPr>
            <xdr:cNvPr id="0" name=""/>
            <xdr:cNvSpPr>
              <a:spLocks noTextEdit="1"/>
            </xdr:cNvSpPr>
          </xdr:nvSpPr>
          <xdr:spPr>
            <a:xfrm>
              <a:off x="11721" y="5343177"/>
              <a:ext cx="3059723" cy="1456207"/>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32</xdr:col>
      <xdr:colOff>375139</xdr:colOff>
      <xdr:row>1</xdr:row>
      <xdr:rowOff>128954</xdr:rowOff>
    </xdr:from>
    <xdr:to>
      <xdr:col>35</xdr:col>
      <xdr:colOff>105509</xdr:colOff>
      <xdr:row>4</xdr:row>
      <xdr:rowOff>35169</xdr:rowOff>
    </xdr:to>
    <xdr:sp macro="[0]!LimparTodosOsFiltros" textlink="">
      <xdr:nvSpPr>
        <xdr:cNvPr id="47" name="Retângulo: Cantos Arredondados 46">
          <a:extLst>
            <a:ext uri="{FF2B5EF4-FFF2-40B4-BE49-F238E27FC236}">
              <a16:creationId xmlns:a16="http://schemas.microsoft.com/office/drawing/2014/main" id="{93F52819-7CA1-45EE-9FEE-54D7AF500B11}"/>
            </a:ext>
          </a:extLst>
        </xdr:cNvPr>
        <xdr:cNvSpPr/>
      </xdr:nvSpPr>
      <xdr:spPr>
        <a:xfrm>
          <a:off x="19882339" y="316523"/>
          <a:ext cx="1559170" cy="468923"/>
        </a:xfrm>
        <a:prstGeom prst="roundRect">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PT" sz="1600">
              <a:solidFill>
                <a:schemeClr val="bg1"/>
              </a:solidFill>
            </a:rPr>
            <a:t>Limpar</a:t>
          </a:r>
          <a:r>
            <a:rPr lang="pt-PT" sz="1600" baseline="0">
              <a:solidFill>
                <a:schemeClr val="bg1"/>
              </a:solidFill>
            </a:rPr>
            <a:t> Filtros</a:t>
          </a:r>
          <a:endParaRPr lang="pt-PT" sz="1600">
            <a:solidFill>
              <a:schemeClr val="bg1"/>
            </a:solidFill>
          </a:endParaRPr>
        </a:p>
      </xdr:txBody>
    </xdr:sp>
    <xdr:clientData/>
  </xdr:twoCellAnchor>
  <xdr:twoCellAnchor>
    <xdr:from>
      <xdr:col>0</xdr:col>
      <xdr:colOff>515816</xdr:colOff>
      <xdr:row>10</xdr:row>
      <xdr:rowOff>74438</xdr:rowOff>
    </xdr:from>
    <xdr:to>
      <xdr:col>4</xdr:col>
      <xdr:colOff>234462</xdr:colOff>
      <xdr:row>12</xdr:row>
      <xdr:rowOff>97884</xdr:rowOff>
    </xdr:to>
    <xdr:sp macro="" textlink="">
      <xdr:nvSpPr>
        <xdr:cNvPr id="48" name="CaixaDeTexto 47">
          <a:extLst>
            <a:ext uri="{FF2B5EF4-FFF2-40B4-BE49-F238E27FC236}">
              <a16:creationId xmlns:a16="http://schemas.microsoft.com/office/drawing/2014/main" id="{768F7F4F-0FF9-462B-8CC8-BCEFF22456D3}"/>
            </a:ext>
          </a:extLst>
        </xdr:cNvPr>
        <xdr:cNvSpPr txBox="1"/>
      </xdr:nvSpPr>
      <xdr:spPr>
        <a:xfrm>
          <a:off x="515816" y="1950130"/>
          <a:ext cx="2157046" cy="398585"/>
        </a:xfrm>
        <a:prstGeom prst="rect">
          <a:avLst/>
        </a:prstGeom>
        <a:solidFill>
          <a:srgbClr val="2F559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PT" sz="1800" b="1" u="sng">
              <a:solidFill>
                <a:schemeClr val="bg1"/>
              </a:solidFill>
            </a:rPr>
            <a:t>FILTROS</a:t>
          </a:r>
        </a:p>
      </xdr:txBody>
    </xdr:sp>
    <xdr:clientData/>
  </xdr:twoCellAnchor>
  <xdr:twoCellAnchor>
    <xdr:from>
      <xdr:col>0</xdr:col>
      <xdr:colOff>128954</xdr:colOff>
      <xdr:row>7</xdr:row>
      <xdr:rowOff>93784</xdr:rowOff>
    </xdr:from>
    <xdr:to>
      <xdr:col>4</xdr:col>
      <xdr:colOff>480646</xdr:colOff>
      <xdr:row>7</xdr:row>
      <xdr:rowOff>101320</xdr:rowOff>
    </xdr:to>
    <xdr:cxnSp macro="">
      <xdr:nvCxnSpPr>
        <xdr:cNvPr id="29" name="Conector reto 28">
          <a:extLst>
            <a:ext uri="{FF2B5EF4-FFF2-40B4-BE49-F238E27FC236}">
              <a16:creationId xmlns:a16="http://schemas.microsoft.com/office/drawing/2014/main" id="{A5090E29-BC99-43D5-92D2-28766BE9B25B}"/>
            </a:ext>
          </a:extLst>
        </xdr:cNvPr>
        <xdr:cNvCxnSpPr/>
      </xdr:nvCxnSpPr>
      <xdr:spPr>
        <a:xfrm flipV="1">
          <a:off x="128954" y="1406769"/>
          <a:ext cx="2790092" cy="7536"/>
        </a:xfrm>
        <a:prstGeom prst="line">
          <a:avLst/>
        </a:prstGeom>
        <a:noFill/>
        <a:ln w="6350" cap="flat" cmpd="sng" algn="ctr">
          <a:solidFill>
            <a:sysClr val="window" lastClr="FFFFFF"/>
          </a:solidFill>
          <a:prstDash val="solid"/>
          <a:miter lim="800000"/>
        </a:ln>
        <a:effectLst/>
      </xdr:spPr>
    </xdr:cxnSp>
    <xdr:clientData/>
  </xdr:twoCellAnchor>
  <xdr:twoCellAnchor>
    <xdr:from>
      <xdr:col>5</xdr:col>
      <xdr:colOff>398584</xdr:colOff>
      <xdr:row>1</xdr:row>
      <xdr:rowOff>70339</xdr:rowOff>
    </xdr:from>
    <xdr:to>
      <xdr:col>5</xdr:col>
      <xdr:colOff>398584</xdr:colOff>
      <xdr:row>4</xdr:row>
      <xdr:rowOff>35170</xdr:rowOff>
    </xdr:to>
    <xdr:cxnSp macro="">
      <xdr:nvCxnSpPr>
        <xdr:cNvPr id="35" name="Conector reto 34">
          <a:extLst>
            <a:ext uri="{FF2B5EF4-FFF2-40B4-BE49-F238E27FC236}">
              <a16:creationId xmlns:a16="http://schemas.microsoft.com/office/drawing/2014/main" id="{3DCB9D85-8156-4D56-BDA4-64D7BD55A12A}"/>
            </a:ext>
          </a:extLst>
        </xdr:cNvPr>
        <xdr:cNvCxnSpPr/>
      </xdr:nvCxnSpPr>
      <xdr:spPr>
        <a:xfrm flipV="1">
          <a:off x="3446584" y="257908"/>
          <a:ext cx="0" cy="527539"/>
        </a:xfrm>
        <a:prstGeom prst="line">
          <a:avLst/>
        </a:prstGeom>
        <a:noFill/>
        <a:ln w="6350" cap="flat" cmpd="sng" algn="ctr">
          <a:solidFill>
            <a:sysClr val="window" lastClr="FFFFFF"/>
          </a:solidFill>
          <a:prstDash val="solid"/>
          <a:miter lim="800000"/>
        </a:ln>
        <a:effectLst/>
      </xdr:spPr>
    </xdr:cxnSp>
    <xdr:clientData/>
  </xdr:twoCellAnchor>
  <xdr:twoCellAnchor>
    <xdr:from>
      <xdr:col>5</xdr:col>
      <xdr:colOff>492369</xdr:colOff>
      <xdr:row>1</xdr:row>
      <xdr:rowOff>152400</xdr:rowOff>
    </xdr:from>
    <xdr:to>
      <xdr:col>9</xdr:col>
      <xdr:colOff>211015</xdr:colOff>
      <xdr:row>3</xdr:row>
      <xdr:rowOff>175846</xdr:rowOff>
    </xdr:to>
    <xdr:sp macro="" textlink="">
      <xdr:nvSpPr>
        <xdr:cNvPr id="39" name="CaixaDeTexto 38">
          <a:extLst>
            <a:ext uri="{FF2B5EF4-FFF2-40B4-BE49-F238E27FC236}">
              <a16:creationId xmlns:a16="http://schemas.microsoft.com/office/drawing/2014/main" id="{2C3609B6-220A-45CA-A7D9-36BA3C35C68C}"/>
            </a:ext>
          </a:extLst>
        </xdr:cNvPr>
        <xdr:cNvSpPr txBox="1"/>
      </xdr:nvSpPr>
      <xdr:spPr>
        <a:xfrm>
          <a:off x="3540369" y="339969"/>
          <a:ext cx="2157046" cy="398585"/>
        </a:xfrm>
        <a:prstGeom prst="rect">
          <a:avLst/>
        </a:prstGeom>
        <a:solidFill>
          <a:srgbClr val="2F5597"/>
        </a:solidFill>
        <a:ln w="9525" cmpd="sng">
          <a:no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pt-PT" sz="1800" b="1" i="0" u="none" strike="noStrike" kern="0" cap="none" spc="0" normalizeH="0" baseline="0" noProof="0">
              <a:ln>
                <a:noFill/>
              </a:ln>
              <a:solidFill>
                <a:sysClr val="window" lastClr="FFFFFF"/>
              </a:solidFill>
              <a:effectLst/>
              <a:uLnTx/>
              <a:uFillTx/>
              <a:latin typeface="Calibri" panose="020F0502020204030204"/>
              <a:ea typeface="+mn-ea"/>
              <a:cs typeface="+mn-cs"/>
            </a:rPr>
            <a:t>VISTA GERAL</a:t>
          </a:r>
        </a:p>
      </xdr:txBody>
    </xdr:sp>
    <xdr:clientData/>
  </xdr:twoCellAnchor>
  <xdr:twoCellAnchor editAs="oneCell">
    <xdr:from>
      <xdr:col>31</xdr:col>
      <xdr:colOff>504093</xdr:colOff>
      <xdr:row>2</xdr:row>
      <xdr:rowOff>35171</xdr:rowOff>
    </xdr:from>
    <xdr:to>
      <xdr:col>32</xdr:col>
      <xdr:colOff>199255</xdr:colOff>
      <xdr:row>3</xdr:row>
      <xdr:rowOff>152363</xdr:rowOff>
    </xdr:to>
    <xdr:pic>
      <xdr:nvPicPr>
        <xdr:cNvPr id="16" name="Imagem 15" descr="Análise de Risco de Crédito">
          <a:extLst>
            <a:ext uri="{FF2B5EF4-FFF2-40B4-BE49-F238E27FC236}">
              <a16:creationId xmlns:a16="http://schemas.microsoft.com/office/drawing/2014/main" id="{AB5C61E7-5BC0-44F7-A769-9B375BABEF4C}"/>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6">
          <a:lum bright="70000" contrast="-70000"/>
          <a:extLst>
            <a:ext uri="{28A0092B-C50C-407E-A947-70E740481C1C}">
              <a14:useLocalDpi xmlns:a14="http://schemas.microsoft.com/office/drawing/2010/main" val="0"/>
            </a:ext>
          </a:extLst>
        </a:blip>
        <a:stretch>
          <a:fillRect/>
        </a:stretch>
      </xdr:blipFill>
      <xdr:spPr>
        <a:xfrm>
          <a:off x="19401693" y="410309"/>
          <a:ext cx="304762" cy="30476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Casseca" refreshedDate="46075.985965162035" createdVersion="7" refreshedVersion="7" minRefreshableVersion="3" recordCount="1000" xr:uid="{CE5610EF-2457-4430-8C53-C689EF53F647}">
  <cacheSource type="worksheet">
    <worksheetSource name="risco_de_credito_alemao_traduzido_ptgues"/>
  </cacheSource>
  <cacheFields count="28">
    <cacheField name="ID_Cliente" numFmtId="0">
      <sharedItems containsSemiMixedTypes="0" containsString="0" containsNumber="1" containsInteger="1" minValue="1" maxValue="1000"/>
    </cacheField>
    <cacheField name="Status de Risco" numFmtId="0">
      <sharedItems count="2">
        <s v="baixo risco"/>
        <s v="alto risco"/>
      </sharedItems>
    </cacheField>
    <cacheField name="Movimentação na conta" numFmtId="0">
      <sharedItems/>
    </cacheField>
    <cacheField name="Status conta corrente" numFmtId="0">
      <sharedItems/>
    </cacheField>
    <cacheField name="Duração em meses" numFmtId="0">
      <sharedItems containsSemiMixedTypes="0" containsString="0" containsNumber="1" containsInteger="1" minValue="4" maxValue="72" count="33">
        <n v="6"/>
        <n v="48"/>
        <n v="12"/>
        <n v="42"/>
        <n v="24"/>
        <n v="36"/>
        <n v="30"/>
        <n v="15"/>
        <n v="9"/>
        <n v="10"/>
        <n v="7"/>
        <n v="60"/>
        <n v="18"/>
        <n v="45"/>
        <n v="11"/>
        <n v="27"/>
        <n v="8"/>
        <n v="54"/>
        <n v="20"/>
        <n v="14"/>
        <n v="33"/>
        <n v="21"/>
        <n v="16"/>
        <n v="4"/>
        <n v="47"/>
        <n v="13"/>
        <n v="22"/>
        <n v="39"/>
        <n v="28"/>
        <n v="5"/>
        <n v="26"/>
        <n v="72"/>
        <n v="40"/>
      </sharedItems>
      <fieldGroup base="4">
        <rangePr startNum="4" endNum="72" groupInterval="12"/>
        <groupItems count="8">
          <s v="&lt;4"/>
          <s v="4-15"/>
          <s v="16-27"/>
          <s v="28-39"/>
          <s v="40-51"/>
          <s v="52-63"/>
          <s v="64-75"/>
          <s v="&gt;76"/>
        </groupItems>
      </fieldGroup>
    </cacheField>
    <cacheField name="Histórico de pagamentos" numFmtId="0">
      <sharedItems count="5">
        <s v="conta critica / dividas com terceiros"/>
        <s v="pgto em dia neste banco (em aberto)"/>
        <s v="pgto em atraso no passado"/>
        <s v="nenhum/pgto em dia"/>
        <s v="pgto em dia neste banco (quitado)"/>
      </sharedItems>
    </cacheField>
    <cacheField name="Finalidade do crédito" numFmtId="0">
      <sharedItems count="10">
        <s v="radio ou televisao"/>
        <s v="educacao"/>
        <s v="moveis e equipamentos"/>
        <s v="carro novo"/>
        <s v="carro usado"/>
        <s v="negocios"/>
        <s v="eletrodomesticos"/>
        <s v="reparos"/>
        <s v="outros"/>
        <s v="reciclagem profissional"/>
      </sharedItems>
    </cacheField>
    <cacheField name="Valor do crédito" numFmtId="0">
      <sharedItems containsSemiMixedTypes="0" containsString="0" containsNumber="1" containsInteger="1" minValue="250" maxValue="18424"/>
    </cacheField>
    <cacheField name="Saldo em conta poupança/títulos" numFmtId="0">
      <sharedItems/>
    </cacheField>
    <cacheField name="Status poupança" numFmtId="0">
      <sharedItems/>
    </cacheField>
    <cacheField name="Emprego atual desde" numFmtId="0">
      <sharedItems/>
    </cacheField>
    <cacheField name="Status emprego" numFmtId="0">
      <sharedItems/>
    </cacheField>
    <cacheField name="Comprometimento de Renda" numFmtId="0">
      <sharedItems containsSemiMixedTypes="0" containsString="0" containsNumber="1" containsInteger="1" minValue="1" maxValue="4" count="4">
        <n v="4"/>
        <n v="2"/>
        <n v="3"/>
        <n v="1"/>
      </sharedItems>
    </cacheField>
    <cacheField name="Sexo" numFmtId="0">
      <sharedItems count="2">
        <s v="masculino"/>
        <s v="feminino"/>
      </sharedItems>
    </cacheField>
    <cacheField name="Estado civil" numFmtId="0">
      <sharedItems/>
    </cacheField>
    <cacheField name="Outros devedores/garantidores" numFmtId="0">
      <sharedItems count="3">
        <s v="nenhum"/>
        <s v="garantidor"/>
        <s v="codevedor"/>
      </sharedItems>
    </cacheField>
    <cacheField name="Residência atual desde" numFmtId="0">
      <sharedItems containsSemiMixedTypes="0" containsString="0" containsNumber="1" containsInteger="1" minValue="1" maxValue="4"/>
    </cacheField>
    <cacheField name="Bem/Propriedade Principal" numFmtId="0">
      <sharedItems/>
    </cacheField>
    <cacheField name="Idade em anos" numFmtId="0">
      <sharedItems containsSemiMixedTypes="0" containsString="0" containsNumber="1" containsInteger="1" minValue="19" maxValue="75"/>
    </cacheField>
    <cacheField name="Faixa Etária" numFmtId="0">
      <sharedItems count="4">
        <s v="Idoso (60+)"/>
        <s v="Jovem (18-25)"/>
        <s v="Sénior (41-60)"/>
        <s v="Adulto (26-40)"/>
      </sharedItems>
    </cacheField>
    <cacheField name="Parcelamento com terceiros" numFmtId="0">
      <sharedItems/>
    </cacheField>
    <cacheField name="Forma de Moradia" numFmtId="0">
      <sharedItems count="3">
        <s v="própria"/>
        <s v="gratuita"/>
        <s v="aluguel"/>
      </sharedItems>
    </cacheField>
    <cacheField name="Número de créditos existentes neste banco" numFmtId="0">
      <sharedItems containsSemiMixedTypes="0" containsString="0" containsNumber="1" containsInteger="1" minValue="1" maxValue="4"/>
    </cacheField>
    <cacheField name="Emprego" numFmtId="0">
      <sharedItems count="4">
        <s v="Func. Público/Qualificado"/>
        <s v="Empregado Comum"/>
        <s v="Executivo/Empresário"/>
        <s v="Não qualificado/Desempregado"/>
      </sharedItems>
    </cacheField>
    <cacheField name="Número de dependentes" numFmtId="0">
      <sharedItems containsSemiMixedTypes="0" containsString="0" containsNumber="1" containsInteger="1" minValue="1" maxValue="2"/>
    </cacheField>
    <cacheField name="Possui Telefone" numFmtId="0">
      <sharedItems/>
    </cacheField>
    <cacheField name="Trabalhador estrangeiro" numFmtId="0">
      <sharedItems count="2">
        <s v="sim"/>
        <s v="não"/>
      </sharedItems>
    </cacheField>
    <cacheField name="Target" numFmtId="0">
      <sharedItems containsSemiMixedTypes="0" containsString="0" containsNumber="1" containsInteger="1" minValue="1" maxValue="2"/>
    </cacheField>
  </cacheFields>
  <extLst>
    <ext xmlns:x14="http://schemas.microsoft.com/office/spreadsheetml/2009/9/main" uri="{725AE2AE-9491-48be-B2B4-4EB974FC3084}">
      <x14:pivotCacheDefinition pivotCacheId="152941403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Casseca" refreshedDate="46076.087181249997" createdVersion="7" refreshedVersion="7" minRefreshableVersion="3" recordCount="1001" xr:uid="{7217F2CC-D4F5-4E0A-8167-4A967E0627FA}">
  <cacheSource type="worksheet">
    <worksheetSource ref="A1:AB1048576" sheet="dataset"/>
  </cacheSource>
  <cacheFields count="28">
    <cacheField name="ID_Cliente" numFmtId="0">
      <sharedItems containsString="0" containsBlank="1" containsNumber="1" containsInteger="1" minValue="1" maxValue="1000"/>
    </cacheField>
    <cacheField name="Status de Risco" numFmtId="0">
      <sharedItems containsBlank="1" count="3">
        <s v="baixo risco"/>
        <s v="alto risco"/>
        <m/>
      </sharedItems>
    </cacheField>
    <cacheField name="Movimentação na conta" numFmtId="0">
      <sharedItems containsBlank="1"/>
    </cacheField>
    <cacheField name="Status conta corrente" numFmtId="0">
      <sharedItems containsBlank="1"/>
    </cacheField>
    <cacheField name="Duração em meses" numFmtId="0">
      <sharedItems containsString="0" containsBlank="1" containsNumber="1" containsInteger="1" minValue="4" maxValue="72"/>
    </cacheField>
    <cacheField name="Histórico de pagamentos" numFmtId="0">
      <sharedItems containsBlank="1"/>
    </cacheField>
    <cacheField name="Finalidade do crédito" numFmtId="0">
      <sharedItems containsBlank="1"/>
    </cacheField>
    <cacheField name="Valor do crédito" numFmtId="0">
      <sharedItems containsString="0" containsBlank="1" containsNumber="1" containsInteger="1" minValue="250" maxValue="18424"/>
    </cacheField>
    <cacheField name="Saldo em conta poupança/títulos" numFmtId="0">
      <sharedItems containsBlank="1"/>
    </cacheField>
    <cacheField name="Status poupança" numFmtId="0">
      <sharedItems containsBlank="1"/>
    </cacheField>
    <cacheField name="Emprego atual desde" numFmtId="0">
      <sharedItems containsBlank="1"/>
    </cacheField>
    <cacheField name="Status emprego" numFmtId="0">
      <sharedItems containsBlank="1"/>
    </cacheField>
    <cacheField name="Comprometimento de Renda" numFmtId="0">
      <sharedItems containsString="0" containsBlank="1" containsNumber="1" containsInteger="1" minValue="1" maxValue="4"/>
    </cacheField>
    <cacheField name="Sexo" numFmtId="0">
      <sharedItems containsBlank="1"/>
    </cacheField>
    <cacheField name="Estado civil" numFmtId="0">
      <sharedItems containsBlank="1"/>
    </cacheField>
    <cacheField name="Outros devedores/garantidores" numFmtId="0">
      <sharedItems containsBlank="1"/>
    </cacheField>
    <cacheField name="Residência atual desde" numFmtId="0">
      <sharedItems containsString="0" containsBlank="1" containsNumber="1" containsInteger="1" minValue="1" maxValue="4"/>
    </cacheField>
    <cacheField name="Bem/Propriedade Principal" numFmtId="0">
      <sharedItems containsBlank="1"/>
    </cacheField>
    <cacheField name="Idade em anos" numFmtId="0">
      <sharedItems containsString="0" containsBlank="1" containsNumber="1" containsInteger="1" minValue="19" maxValue="75"/>
    </cacheField>
    <cacheField name="Faixa Etária" numFmtId="0">
      <sharedItems containsBlank="1"/>
    </cacheField>
    <cacheField name="Parcelamento com terceiros" numFmtId="0">
      <sharedItems containsBlank="1"/>
    </cacheField>
    <cacheField name="Forma de Moradia" numFmtId="0">
      <sharedItems containsBlank="1"/>
    </cacheField>
    <cacheField name="Número de créditos existentes neste banco" numFmtId="0">
      <sharedItems containsString="0" containsBlank="1" containsNumber="1" containsInteger="1" minValue="1" maxValue="4"/>
    </cacheField>
    <cacheField name="Emprego" numFmtId="0">
      <sharedItems containsBlank="1"/>
    </cacheField>
    <cacheField name="Número de dependentes" numFmtId="0">
      <sharedItems containsString="0" containsBlank="1" containsNumber="1" containsInteger="1" minValue="1" maxValue="2"/>
    </cacheField>
    <cacheField name="Possui Telefone" numFmtId="0">
      <sharedItems containsBlank="1"/>
    </cacheField>
    <cacheField name="Trabalhador estrangeiro" numFmtId="0">
      <sharedItems containsBlank="1"/>
    </cacheField>
    <cacheField name="Target" numFmtId="0">
      <sharedItems containsString="0" containsBlank="1" containsNumber="1" containsInteger="1" minValue="1" maxValu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s v="&lt; 0 $"/>
    <s v="negativo/devedor"/>
    <x v="0"/>
    <x v="0"/>
    <x v="0"/>
    <n v="1169"/>
    <s v="sem poupança"/>
    <s v="sem poupança"/>
    <s v="&gt;= 7 anos"/>
    <s v="Muito Estável (&gt; 7 anos)"/>
    <x v="0"/>
    <x v="0"/>
    <s v="solteiro"/>
    <x v="0"/>
    <n v="4"/>
    <s v="imovel"/>
    <n v="67"/>
    <x v="0"/>
    <s v="nenhum"/>
    <x v="0"/>
    <n v="2"/>
    <x v="0"/>
    <n v="1"/>
    <s v="sim"/>
    <x v="0"/>
    <n v="1"/>
  </r>
  <r>
    <n v="2"/>
    <x v="1"/>
    <s v="&gt;= 0 &lt; 200 $"/>
    <s v="saldo baixo"/>
    <x v="1"/>
    <x v="1"/>
    <x v="0"/>
    <n v="5951"/>
    <s v="&lt; 100 $"/>
    <s v="Baixo (&lt; 100 $)"/>
    <s v="&lt; 4 anos"/>
    <s v="Intermediário (1-4 anos)"/>
    <x v="1"/>
    <x v="1"/>
    <s v="divorciada/casada"/>
    <x v="0"/>
    <n v="2"/>
    <s v="imovel"/>
    <n v="22"/>
    <x v="1"/>
    <s v="nenhum"/>
    <x v="0"/>
    <n v="1"/>
    <x v="0"/>
    <n v="1"/>
    <s v="não"/>
    <x v="0"/>
    <n v="2"/>
  </r>
  <r>
    <n v="3"/>
    <x v="0"/>
    <s v="sem conta corrente"/>
    <s v="sem conta no banco"/>
    <x v="2"/>
    <x v="0"/>
    <x v="1"/>
    <n v="2096"/>
    <s v="&lt; 100 $"/>
    <s v="Baixo (&lt; 100 $)"/>
    <s v="&lt; 7 anos"/>
    <s v="Estável (4-7 anos)"/>
    <x v="1"/>
    <x v="0"/>
    <s v="solteiro"/>
    <x v="0"/>
    <n v="3"/>
    <s v="imovel"/>
    <n v="49"/>
    <x v="2"/>
    <s v="nenhum"/>
    <x v="0"/>
    <n v="1"/>
    <x v="1"/>
    <n v="2"/>
    <s v="não"/>
    <x v="0"/>
    <n v="1"/>
  </r>
  <r>
    <n v="4"/>
    <x v="0"/>
    <s v="&lt; 0 $"/>
    <s v="negativo/devedor"/>
    <x v="3"/>
    <x v="1"/>
    <x v="2"/>
    <n v="7882"/>
    <s v="&lt; 100 $"/>
    <s v="Baixo (&lt; 100 $)"/>
    <s v="&lt; 7 anos"/>
    <s v="Estável (4-7 anos)"/>
    <x v="1"/>
    <x v="0"/>
    <s v="solteiro"/>
    <x v="1"/>
    <n v="4"/>
    <s v="poupança ou seguro de vida"/>
    <n v="45"/>
    <x v="2"/>
    <s v="nenhum"/>
    <x v="1"/>
    <n v="1"/>
    <x v="0"/>
    <n v="2"/>
    <s v="não"/>
    <x v="0"/>
    <n v="1"/>
  </r>
  <r>
    <n v="5"/>
    <x v="1"/>
    <s v="&lt; 0 $"/>
    <s v="negativo/devedor"/>
    <x v="4"/>
    <x v="2"/>
    <x v="3"/>
    <n v="4870"/>
    <s v="&lt; 100 $"/>
    <s v="Baixo (&lt; 100 $)"/>
    <s v="&lt; 4 anos"/>
    <s v="Intermediário (1-4 anos)"/>
    <x v="2"/>
    <x v="0"/>
    <s v="solteiro"/>
    <x v="0"/>
    <n v="4"/>
    <s v="sem bens"/>
    <n v="53"/>
    <x v="2"/>
    <s v="nenhum"/>
    <x v="1"/>
    <n v="2"/>
    <x v="0"/>
    <n v="2"/>
    <s v="não"/>
    <x v="0"/>
    <n v="2"/>
  </r>
  <r>
    <n v="6"/>
    <x v="0"/>
    <s v="sem conta corrente"/>
    <s v="sem conta no banco"/>
    <x v="5"/>
    <x v="1"/>
    <x v="1"/>
    <n v="9055"/>
    <s v="sem poupança"/>
    <s v="sem poupança"/>
    <s v="&lt; 4 anos"/>
    <s v="Intermediário (1-4 anos)"/>
    <x v="1"/>
    <x v="0"/>
    <s v="solteiro"/>
    <x v="0"/>
    <n v="4"/>
    <s v="sem bens"/>
    <n v="35"/>
    <x v="3"/>
    <s v="nenhum"/>
    <x v="1"/>
    <n v="1"/>
    <x v="1"/>
    <n v="2"/>
    <s v="sim"/>
    <x v="0"/>
    <n v="1"/>
  </r>
  <r>
    <n v="7"/>
    <x v="0"/>
    <s v="sem conta corrente"/>
    <s v="sem conta no banco"/>
    <x v="4"/>
    <x v="1"/>
    <x v="2"/>
    <n v="2835"/>
    <s v="&gt;= 500 &lt; 1000 $"/>
    <s v="Alto (500-1000 $)"/>
    <s v="&gt;= 7 anos"/>
    <s v="Muito Estável (&gt; 7 anos)"/>
    <x v="2"/>
    <x v="0"/>
    <s v="solteiro"/>
    <x v="0"/>
    <n v="4"/>
    <s v="poupança ou seguro de vida"/>
    <n v="53"/>
    <x v="2"/>
    <s v="nenhum"/>
    <x v="0"/>
    <n v="1"/>
    <x v="0"/>
    <n v="1"/>
    <s v="não"/>
    <x v="0"/>
    <n v="1"/>
  </r>
  <r>
    <n v="8"/>
    <x v="0"/>
    <s v="&gt;= 0 &lt; 200 $"/>
    <s v="saldo baixo"/>
    <x v="5"/>
    <x v="1"/>
    <x v="4"/>
    <n v="6948"/>
    <s v="&lt; 100 $"/>
    <s v="Baixo (&lt; 100 $)"/>
    <s v="&lt; 4 anos"/>
    <s v="Intermediário (1-4 anos)"/>
    <x v="1"/>
    <x v="0"/>
    <s v="solteiro"/>
    <x v="0"/>
    <n v="2"/>
    <s v="carro ou outros-quitado"/>
    <n v="35"/>
    <x v="3"/>
    <s v="nenhum"/>
    <x v="2"/>
    <n v="1"/>
    <x v="2"/>
    <n v="1"/>
    <s v="sim"/>
    <x v="0"/>
    <n v="1"/>
  </r>
  <r>
    <n v="9"/>
    <x v="0"/>
    <s v="sem conta corrente"/>
    <s v="sem conta no banco"/>
    <x v="2"/>
    <x v="1"/>
    <x v="0"/>
    <n v="3059"/>
    <s v="&gt;= 1000 $"/>
    <s v="Muito alto (&gt;1000$)"/>
    <s v="&lt; 7 anos"/>
    <s v="Estável (4-7 anos)"/>
    <x v="1"/>
    <x v="0"/>
    <s v="divorciado"/>
    <x v="0"/>
    <n v="4"/>
    <s v="imovel"/>
    <n v="61"/>
    <x v="0"/>
    <s v="nenhum"/>
    <x v="0"/>
    <n v="1"/>
    <x v="1"/>
    <n v="1"/>
    <s v="não"/>
    <x v="0"/>
    <n v="1"/>
  </r>
  <r>
    <n v="10"/>
    <x v="1"/>
    <s v="&gt;= 0 &lt; 200 $"/>
    <s v="saldo baixo"/>
    <x v="6"/>
    <x v="0"/>
    <x v="3"/>
    <n v="5234"/>
    <s v="&lt; 100 $"/>
    <s v="Baixo (&lt; 100 $)"/>
    <s v="desempregado"/>
    <s v="desempregado"/>
    <x v="0"/>
    <x v="0"/>
    <s v="casado/viuvo"/>
    <x v="0"/>
    <n v="2"/>
    <s v="carro ou outros-quitado"/>
    <n v="28"/>
    <x v="3"/>
    <s v="nenhum"/>
    <x v="0"/>
    <n v="2"/>
    <x v="2"/>
    <n v="1"/>
    <s v="não"/>
    <x v="0"/>
    <n v="2"/>
  </r>
  <r>
    <n v="11"/>
    <x v="1"/>
    <s v="&gt;= 0 &lt; 200 $"/>
    <s v="saldo baixo"/>
    <x v="2"/>
    <x v="1"/>
    <x v="3"/>
    <n v="1295"/>
    <s v="&lt; 100 $"/>
    <s v="Baixo (&lt; 100 $)"/>
    <s v="&lt; 1 ano"/>
    <s v="Iniciante (&lt; 1 ano)"/>
    <x v="2"/>
    <x v="1"/>
    <s v="divorciada/casada"/>
    <x v="0"/>
    <n v="1"/>
    <s v="carro ou outros-quitado"/>
    <n v="25"/>
    <x v="3"/>
    <s v="nenhum"/>
    <x v="2"/>
    <n v="1"/>
    <x v="0"/>
    <n v="1"/>
    <s v="não"/>
    <x v="0"/>
    <n v="2"/>
  </r>
  <r>
    <n v="12"/>
    <x v="1"/>
    <s v="&lt; 0 $"/>
    <s v="negativo/devedor"/>
    <x v="1"/>
    <x v="1"/>
    <x v="5"/>
    <n v="4308"/>
    <s v="&lt; 100 $"/>
    <s v="Baixo (&lt; 100 $)"/>
    <s v="&lt; 1 ano"/>
    <s v="Iniciante (&lt; 1 ano)"/>
    <x v="2"/>
    <x v="1"/>
    <s v="divorciada/casada"/>
    <x v="0"/>
    <n v="4"/>
    <s v="poupança ou seguro de vida"/>
    <n v="24"/>
    <x v="1"/>
    <s v="nenhum"/>
    <x v="2"/>
    <n v="1"/>
    <x v="0"/>
    <n v="1"/>
    <s v="não"/>
    <x v="0"/>
    <n v="2"/>
  </r>
  <r>
    <n v="13"/>
    <x v="0"/>
    <s v="&gt;= 0 &lt; 200 $"/>
    <s v="saldo baixo"/>
    <x v="2"/>
    <x v="1"/>
    <x v="0"/>
    <n v="1567"/>
    <s v="&lt; 100 $"/>
    <s v="Baixo (&lt; 100 $)"/>
    <s v="&lt; 4 anos"/>
    <s v="Intermediário (1-4 anos)"/>
    <x v="3"/>
    <x v="1"/>
    <s v="divorciada/casada"/>
    <x v="0"/>
    <n v="1"/>
    <s v="carro ou outros-quitado"/>
    <n v="22"/>
    <x v="1"/>
    <s v="nenhum"/>
    <x v="0"/>
    <n v="1"/>
    <x v="0"/>
    <n v="1"/>
    <s v="sim"/>
    <x v="0"/>
    <n v="1"/>
  </r>
  <r>
    <n v="14"/>
    <x v="1"/>
    <s v="&lt; 0 $"/>
    <s v="negativo/devedor"/>
    <x v="4"/>
    <x v="0"/>
    <x v="3"/>
    <n v="1199"/>
    <s v="&lt; 100 $"/>
    <s v="Baixo (&lt; 100 $)"/>
    <s v="&gt;= 7 anos"/>
    <s v="Muito Estável (&gt; 7 anos)"/>
    <x v="0"/>
    <x v="0"/>
    <s v="solteiro"/>
    <x v="0"/>
    <n v="4"/>
    <s v="carro ou outros-quitado"/>
    <n v="60"/>
    <x v="0"/>
    <s v="nenhum"/>
    <x v="0"/>
    <n v="2"/>
    <x v="1"/>
    <n v="1"/>
    <s v="não"/>
    <x v="0"/>
    <n v="2"/>
  </r>
  <r>
    <n v="15"/>
    <x v="0"/>
    <s v="&lt; 0 $"/>
    <s v="negativo/devedor"/>
    <x v="7"/>
    <x v="1"/>
    <x v="3"/>
    <n v="1403"/>
    <s v="&lt; 100 $"/>
    <s v="Baixo (&lt; 100 $)"/>
    <s v="&lt; 4 anos"/>
    <s v="Intermediário (1-4 anos)"/>
    <x v="1"/>
    <x v="1"/>
    <s v="divorciada/casada"/>
    <x v="0"/>
    <n v="4"/>
    <s v="carro ou outros-quitado"/>
    <n v="28"/>
    <x v="3"/>
    <s v="nenhum"/>
    <x v="2"/>
    <n v="1"/>
    <x v="0"/>
    <n v="1"/>
    <s v="não"/>
    <x v="0"/>
    <n v="1"/>
  </r>
  <r>
    <n v="16"/>
    <x v="1"/>
    <s v="&lt; 0 $"/>
    <s v="negativo/devedor"/>
    <x v="4"/>
    <x v="1"/>
    <x v="0"/>
    <n v="1282"/>
    <s v="&gt;= 100 &lt; 500 $"/>
    <s v="Médio (100-500$)"/>
    <s v="&lt; 4 anos"/>
    <s v="Intermediário (1-4 anos)"/>
    <x v="0"/>
    <x v="1"/>
    <s v="divorciada/casada"/>
    <x v="0"/>
    <n v="2"/>
    <s v="carro ou outros-quitado"/>
    <n v="32"/>
    <x v="3"/>
    <s v="nenhum"/>
    <x v="0"/>
    <n v="1"/>
    <x v="1"/>
    <n v="1"/>
    <s v="não"/>
    <x v="0"/>
    <n v="2"/>
  </r>
  <r>
    <n v="17"/>
    <x v="0"/>
    <s v="sem conta corrente"/>
    <s v="sem conta no banco"/>
    <x v="4"/>
    <x v="0"/>
    <x v="0"/>
    <n v="2424"/>
    <s v="sem poupança"/>
    <s v="sem poupança"/>
    <s v="&gt;= 7 anos"/>
    <s v="Muito Estável (&gt; 7 anos)"/>
    <x v="0"/>
    <x v="0"/>
    <s v="solteiro"/>
    <x v="0"/>
    <n v="4"/>
    <s v="poupança ou seguro de vida"/>
    <n v="53"/>
    <x v="2"/>
    <s v="nenhum"/>
    <x v="0"/>
    <n v="2"/>
    <x v="0"/>
    <n v="1"/>
    <s v="não"/>
    <x v="0"/>
    <n v="1"/>
  </r>
  <r>
    <n v="18"/>
    <x v="0"/>
    <s v="&lt; 0 $"/>
    <s v="negativo/devedor"/>
    <x v="6"/>
    <x v="3"/>
    <x v="5"/>
    <n v="8072"/>
    <s v="sem poupança"/>
    <s v="sem poupança"/>
    <s v="&lt; 1 ano"/>
    <s v="Iniciante (&lt; 1 ano)"/>
    <x v="1"/>
    <x v="0"/>
    <s v="solteiro"/>
    <x v="0"/>
    <n v="3"/>
    <s v="carro ou outros-quitado"/>
    <n v="25"/>
    <x v="3"/>
    <s v="banco"/>
    <x v="0"/>
    <n v="3"/>
    <x v="0"/>
    <n v="1"/>
    <s v="não"/>
    <x v="0"/>
    <n v="1"/>
  </r>
  <r>
    <n v="19"/>
    <x v="1"/>
    <s v="&gt;= 0 &lt; 200 $"/>
    <s v="saldo baixo"/>
    <x v="4"/>
    <x v="1"/>
    <x v="4"/>
    <n v="12579"/>
    <s v="&lt; 100 $"/>
    <s v="Baixo (&lt; 100 $)"/>
    <s v="&gt;= 7 anos"/>
    <s v="Muito Estável (&gt; 7 anos)"/>
    <x v="0"/>
    <x v="1"/>
    <s v="divorciada/casada"/>
    <x v="0"/>
    <n v="2"/>
    <s v="sem bens"/>
    <n v="44"/>
    <x v="2"/>
    <s v="nenhum"/>
    <x v="1"/>
    <n v="1"/>
    <x v="2"/>
    <n v="1"/>
    <s v="sim"/>
    <x v="0"/>
    <n v="2"/>
  </r>
  <r>
    <n v="20"/>
    <x v="0"/>
    <s v="sem conta corrente"/>
    <s v="sem conta no banco"/>
    <x v="4"/>
    <x v="1"/>
    <x v="0"/>
    <n v="3430"/>
    <s v="&gt;= 500 &lt; 1000 $"/>
    <s v="Alto (500-1000 $)"/>
    <s v="&gt;= 7 anos"/>
    <s v="Muito Estável (&gt; 7 anos)"/>
    <x v="2"/>
    <x v="0"/>
    <s v="solteiro"/>
    <x v="0"/>
    <n v="2"/>
    <s v="carro ou outros-quitado"/>
    <n v="31"/>
    <x v="3"/>
    <s v="nenhum"/>
    <x v="0"/>
    <n v="1"/>
    <x v="0"/>
    <n v="2"/>
    <s v="sim"/>
    <x v="0"/>
    <n v="1"/>
  </r>
  <r>
    <n v="21"/>
    <x v="0"/>
    <s v="sem conta corrente"/>
    <s v="sem conta no banco"/>
    <x v="8"/>
    <x v="0"/>
    <x v="3"/>
    <n v="2134"/>
    <s v="&lt; 100 $"/>
    <s v="Baixo (&lt; 100 $)"/>
    <s v="&lt; 4 anos"/>
    <s v="Intermediário (1-4 anos)"/>
    <x v="0"/>
    <x v="0"/>
    <s v="solteiro"/>
    <x v="0"/>
    <n v="4"/>
    <s v="carro ou outros-quitado"/>
    <n v="48"/>
    <x v="2"/>
    <s v="nenhum"/>
    <x v="0"/>
    <n v="3"/>
    <x v="0"/>
    <n v="1"/>
    <s v="sim"/>
    <x v="0"/>
    <n v="1"/>
  </r>
  <r>
    <n v="22"/>
    <x v="0"/>
    <s v="&lt; 0 $"/>
    <s v="negativo/devedor"/>
    <x v="0"/>
    <x v="1"/>
    <x v="0"/>
    <n v="2647"/>
    <s v="&gt;= 500 &lt; 1000 $"/>
    <s v="Alto (500-1000 $)"/>
    <s v="&lt; 4 anos"/>
    <s v="Intermediário (1-4 anos)"/>
    <x v="1"/>
    <x v="0"/>
    <s v="solteiro"/>
    <x v="0"/>
    <n v="3"/>
    <s v="imovel"/>
    <n v="44"/>
    <x v="2"/>
    <s v="nenhum"/>
    <x v="2"/>
    <n v="1"/>
    <x v="0"/>
    <n v="2"/>
    <s v="não"/>
    <x v="0"/>
    <n v="1"/>
  </r>
  <r>
    <n v="23"/>
    <x v="0"/>
    <s v="&lt; 0 $"/>
    <s v="negativo/devedor"/>
    <x v="9"/>
    <x v="0"/>
    <x v="3"/>
    <n v="2241"/>
    <s v="&lt; 100 $"/>
    <s v="Baixo (&lt; 100 $)"/>
    <s v="&lt; 1 ano"/>
    <s v="Iniciante (&lt; 1 ano)"/>
    <x v="3"/>
    <x v="0"/>
    <s v="solteiro"/>
    <x v="0"/>
    <n v="3"/>
    <s v="imovel"/>
    <n v="48"/>
    <x v="2"/>
    <s v="nenhum"/>
    <x v="2"/>
    <n v="2"/>
    <x v="1"/>
    <n v="2"/>
    <s v="não"/>
    <x v="1"/>
    <n v="1"/>
  </r>
  <r>
    <n v="24"/>
    <x v="0"/>
    <s v="&gt;= 0 &lt; 200 $"/>
    <s v="saldo baixo"/>
    <x v="2"/>
    <x v="0"/>
    <x v="4"/>
    <n v="1804"/>
    <s v="&gt;= 100 &lt; 500 $"/>
    <s v="Médio (100-500$)"/>
    <s v="&lt; 1 ano"/>
    <s v="Iniciante (&lt; 1 ano)"/>
    <x v="2"/>
    <x v="0"/>
    <s v="solteiro"/>
    <x v="0"/>
    <n v="4"/>
    <s v="poupança ou seguro de vida"/>
    <n v="44"/>
    <x v="2"/>
    <s v="nenhum"/>
    <x v="0"/>
    <n v="1"/>
    <x v="0"/>
    <n v="1"/>
    <s v="não"/>
    <x v="0"/>
    <n v="1"/>
  </r>
  <r>
    <n v="25"/>
    <x v="0"/>
    <s v="sem conta corrente"/>
    <s v="sem conta no banco"/>
    <x v="9"/>
    <x v="0"/>
    <x v="2"/>
    <n v="2069"/>
    <s v="sem poupança"/>
    <s v="sem poupança"/>
    <s v="&lt; 4 anos"/>
    <s v="Intermediário (1-4 anos)"/>
    <x v="1"/>
    <x v="0"/>
    <s v="casado/viuvo"/>
    <x v="0"/>
    <n v="1"/>
    <s v="carro ou outros-quitado"/>
    <n v="26"/>
    <x v="3"/>
    <s v="nenhum"/>
    <x v="0"/>
    <n v="2"/>
    <x v="0"/>
    <n v="1"/>
    <s v="não"/>
    <x v="1"/>
    <n v="1"/>
  </r>
  <r>
    <n v="26"/>
    <x v="0"/>
    <s v="&lt; 0 $"/>
    <s v="negativo/devedor"/>
    <x v="0"/>
    <x v="1"/>
    <x v="2"/>
    <n v="1374"/>
    <s v="&lt; 100 $"/>
    <s v="Baixo (&lt; 100 $)"/>
    <s v="&lt; 4 anos"/>
    <s v="Intermediário (1-4 anos)"/>
    <x v="3"/>
    <x v="0"/>
    <s v="solteiro"/>
    <x v="0"/>
    <n v="2"/>
    <s v="imovel"/>
    <n v="36"/>
    <x v="3"/>
    <s v="banco"/>
    <x v="0"/>
    <n v="1"/>
    <x v="1"/>
    <n v="1"/>
    <s v="sim"/>
    <x v="0"/>
    <n v="1"/>
  </r>
  <r>
    <n v="27"/>
    <x v="0"/>
    <s v="sem conta corrente"/>
    <s v="sem conta no banco"/>
    <x v="0"/>
    <x v="3"/>
    <x v="0"/>
    <n v="426"/>
    <s v="&lt; 100 $"/>
    <s v="Baixo (&lt; 100 $)"/>
    <s v="&gt;= 7 anos"/>
    <s v="Muito Estável (&gt; 7 anos)"/>
    <x v="0"/>
    <x v="0"/>
    <s v="casado/viuvo"/>
    <x v="0"/>
    <n v="4"/>
    <s v="carro ou outros-quitado"/>
    <n v="39"/>
    <x v="3"/>
    <s v="nenhum"/>
    <x v="0"/>
    <n v="1"/>
    <x v="1"/>
    <n v="1"/>
    <s v="não"/>
    <x v="0"/>
    <n v="1"/>
  </r>
  <r>
    <n v="28"/>
    <x v="0"/>
    <s v="&gt;= 200 $"/>
    <s v="saldo saudável"/>
    <x v="2"/>
    <x v="4"/>
    <x v="0"/>
    <n v="409"/>
    <s v="&gt;= 1000 $"/>
    <s v="Muito alto (&gt;1000$)"/>
    <s v="&lt; 4 anos"/>
    <s v="Intermediário (1-4 anos)"/>
    <x v="2"/>
    <x v="1"/>
    <s v="divorciada/casada"/>
    <x v="0"/>
    <n v="3"/>
    <s v="imovel"/>
    <n v="42"/>
    <x v="2"/>
    <s v="nenhum"/>
    <x v="2"/>
    <n v="2"/>
    <x v="0"/>
    <n v="1"/>
    <s v="não"/>
    <x v="0"/>
    <n v="1"/>
  </r>
  <r>
    <n v="29"/>
    <x v="0"/>
    <s v="&gt;= 0 &lt; 200 $"/>
    <s v="saldo baixo"/>
    <x v="10"/>
    <x v="1"/>
    <x v="0"/>
    <n v="2415"/>
    <s v="&lt; 100 $"/>
    <s v="Baixo (&lt; 100 $)"/>
    <s v="&lt; 4 anos"/>
    <s v="Intermediário (1-4 anos)"/>
    <x v="2"/>
    <x v="0"/>
    <s v="solteiro"/>
    <x v="1"/>
    <n v="2"/>
    <s v="imovel"/>
    <n v="34"/>
    <x v="3"/>
    <s v="nenhum"/>
    <x v="0"/>
    <n v="1"/>
    <x v="0"/>
    <n v="1"/>
    <s v="não"/>
    <x v="0"/>
    <n v="1"/>
  </r>
  <r>
    <n v="30"/>
    <x v="1"/>
    <s v="&lt; 0 $"/>
    <s v="negativo/devedor"/>
    <x v="11"/>
    <x v="2"/>
    <x v="5"/>
    <n v="6836"/>
    <s v="&lt; 100 $"/>
    <s v="Baixo (&lt; 100 $)"/>
    <s v="&gt;= 7 anos"/>
    <s v="Muito Estável (&gt; 7 anos)"/>
    <x v="2"/>
    <x v="0"/>
    <s v="solteiro"/>
    <x v="0"/>
    <n v="4"/>
    <s v="sem bens"/>
    <n v="63"/>
    <x v="0"/>
    <s v="nenhum"/>
    <x v="0"/>
    <n v="2"/>
    <x v="0"/>
    <n v="1"/>
    <s v="sim"/>
    <x v="0"/>
    <n v="2"/>
  </r>
  <r>
    <n v="31"/>
    <x v="0"/>
    <s v="&gt;= 0 &lt; 200 $"/>
    <s v="saldo baixo"/>
    <x v="12"/>
    <x v="1"/>
    <x v="5"/>
    <n v="1913"/>
    <s v="&gt;= 1000 $"/>
    <s v="Muito alto (&gt;1000$)"/>
    <s v="&lt; 1 ano"/>
    <s v="Iniciante (&lt; 1 ano)"/>
    <x v="2"/>
    <x v="0"/>
    <s v="casado/viuvo"/>
    <x v="0"/>
    <n v="3"/>
    <s v="imovel"/>
    <n v="36"/>
    <x v="3"/>
    <s v="banco"/>
    <x v="0"/>
    <n v="1"/>
    <x v="0"/>
    <n v="1"/>
    <s v="sim"/>
    <x v="0"/>
    <n v="1"/>
  </r>
  <r>
    <n v="32"/>
    <x v="0"/>
    <s v="&lt; 0 $"/>
    <s v="negativo/devedor"/>
    <x v="4"/>
    <x v="1"/>
    <x v="2"/>
    <n v="4020"/>
    <s v="&lt; 100 $"/>
    <s v="Baixo (&lt; 100 $)"/>
    <s v="&lt; 4 anos"/>
    <s v="Intermediário (1-4 anos)"/>
    <x v="1"/>
    <x v="0"/>
    <s v="solteiro"/>
    <x v="0"/>
    <n v="2"/>
    <s v="carro ou outros-quitado"/>
    <n v="27"/>
    <x v="3"/>
    <s v="loja"/>
    <x v="0"/>
    <n v="1"/>
    <x v="0"/>
    <n v="1"/>
    <s v="não"/>
    <x v="0"/>
    <n v="1"/>
  </r>
  <r>
    <n v="33"/>
    <x v="0"/>
    <s v="&gt;= 0 &lt; 200 $"/>
    <s v="saldo baixo"/>
    <x v="12"/>
    <x v="1"/>
    <x v="3"/>
    <n v="5866"/>
    <s v="&gt;= 100 &lt; 500 $"/>
    <s v="Médio (100-500$)"/>
    <s v="&lt; 4 anos"/>
    <s v="Intermediário (1-4 anos)"/>
    <x v="1"/>
    <x v="0"/>
    <s v="solteiro"/>
    <x v="0"/>
    <n v="2"/>
    <s v="carro ou outros-quitado"/>
    <n v="30"/>
    <x v="3"/>
    <s v="nenhum"/>
    <x v="0"/>
    <n v="2"/>
    <x v="0"/>
    <n v="1"/>
    <s v="sim"/>
    <x v="0"/>
    <n v="1"/>
  </r>
  <r>
    <n v="34"/>
    <x v="0"/>
    <s v="sem conta corrente"/>
    <s v="sem conta no banco"/>
    <x v="2"/>
    <x v="0"/>
    <x v="5"/>
    <n v="1264"/>
    <s v="sem poupança"/>
    <s v="sem poupança"/>
    <s v="&gt;= 7 anos"/>
    <s v="Muito Estável (&gt; 7 anos)"/>
    <x v="0"/>
    <x v="0"/>
    <s v="solteiro"/>
    <x v="0"/>
    <n v="4"/>
    <s v="sem bens"/>
    <n v="57"/>
    <x v="2"/>
    <s v="nenhum"/>
    <x v="2"/>
    <n v="1"/>
    <x v="1"/>
    <n v="1"/>
    <s v="não"/>
    <x v="0"/>
    <n v="1"/>
  </r>
  <r>
    <n v="35"/>
    <x v="0"/>
    <s v="&gt;= 200 $"/>
    <s v="saldo saudável"/>
    <x v="2"/>
    <x v="1"/>
    <x v="2"/>
    <n v="1474"/>
    <s v="&lt; 100 $"/>
    <s v="Baixo (&lt; 100 $)"/>
    <s v="&lt; 1 ano"/>
    <s v="Iniciante (&lt; 1 ano)"/>
    <x v="0"/>
    <x v="1"/>
    <s v="divorciada/casada"/>
    <x v="0"/>
    <n v="1"/>
    <s v="poupança ou seguro de vida"/>
    <n v="33"/>
    <x v="3"/>
    <s v="banco"/>
    <x v="0"/>
    <n v="1"/>
    <x v="2"/>
    <n v="1"/>
    <s v="sim"/>
    <x v="0"/>
    <n v="1"/>
  </r>
  <r>
    <n v="36"/>
    <x v="1"/>
    <s v="&gt;= 0 &lt; 200 $"/>
    <s v="saldo baixo"/>
    <x v="13"/>
    <x v="0"/>
    <x v="0"/>
    <n v="4746"/>
    <s v="&lt; 100 $"/>
    <s v="Baixo (&lt; 100 $)"/>
    <s v="&lt; 1 ano"/>
    <s v="Iniciante (&lt; 1 ano)"/>
    <x v="0"/>
    <x v="0"/>
    <s v="solteiro"/>
    <x v="0"/>
    <n v="2"/>
    <s v="poupança ou seguro de vida"/>
    <n v="25"/>
    <x v="3"/>
    <s v="nenhum"/>
    <x v="0"/>
    <n v="2"/>
    <x v="1"/>
    <n v="1"/>
    <s v="não"/>
    <x v="0"/>
    <n v="2"/>
  </r>
  <r>
    <n v="37"/>
    <x v="0"/>
    <s v="sem conta corrente"/>
    <s v="sem conta no banco"/>
    <x v="1"/>
    <x v="0"/>
    <x v="1"/>
    <n v="6110"/>
    <s v="&lt; 100 $"/>
    <s v="Baixo (&lt; 100 $)"/>
    <s v="&lt; 4 anos"/>
    <s v="Intermediário (1-4 anos)"/>
    <x v="3"/>
    <x v="0"/>
    <s v="solteiro"/>
    <x v="0"/>
    <n v="3"/>
    <s v="sem bens"/>
    <n v="31"/>
    <x v="3"/>
    <s v="banco"/>
    <x v="1"/>
    <n v="1"/>
    <x v="0"/>
    <n v="1"/>
    <s v="sim"/>
    <x v="0"/>
    <n v="1"/>
  </r>
  <r>
    <n v="38"/>
    <x v="1"/>
    <s v="&gt;= 200 $"/>
    <s v="saldo saudável"/>
    <x v="12"/>
    <x v="1"/>
    <x v="0"/>
    <n v="2100"/>
    <s v="&lt; 100 $"/>
    <s v="Baixo (&lt; 100 $)"/>
    <s v="&lt; 4 anos"/>
    <s v="Intermediário (1-4 anos)"/>
    <x v="0"/>
    <x v="0"/>
    <s v="solteiro"/>
    <x v="2"/>
    <n v="2"/>
    <s v="imovel"/>
    <n v="37"/>
    <x v="3"/>
    <s v="loja"/>
    <x v="0"/>
    <n v="1"/>
    <x v="0"/>
    <n v="1"/>
    <s v="não"/>
    <x v="0"/>
    <n v="2"/>
  </r>
  <r>
    <n v="39"/>
    <x v="0"/>
    <s v="&gt;= 200 $"/>
    <s v="saldo saudável"/>
    <x v="9"/>
    <x v="1"/>
    <x v="6"/>
    <n v="1225"/>
    <s v="&lt; 100 $"/>
    <s v="Baixo (&lt; 100 $)"/>
    <s v="&lt; 4 anos"/>
    <s v="Intermediário (1-4 anos)"/>
    <x v="1"/>
    <x v="0"/>
    <s v="solteiro"/>
    <x v="0"/>
    <n v="2"/>
    <s v="carro ou outros-quitado"/>
    <n v="37"/>
    <x v="3"/>
    <s v="nenhum"/>
    <x v="0"/>
    <n v="1"/>
    <x v="0"/>
    <n v="1"/>
    <s v="sim"/>
    <x v="0"/>
    <n v="1"/>
  </r>
  <r>
    <n v="40"/>
    <x v="0"/>
    <s v="&gt;= 0 &lt; 200 $"/>
    <s v="saldo baixo"/>
    <x v="8"/>
    <x v="1"/>
    <x v="0"/>
    <n v="458"/>
    <s v="&lt; 100 $"/>
    <s v="Baixo (&lt; 100 $)"/>
    <s v="&lt; 4 anos"/>
    <s v="Intermediário (1-4 anos)"/>
    <x v="0"/>
    <x v="0"/>
    <s v="solteiro"/>
    <x v="0"/>
    <n v="3"/>
    <s v="imovel"/>
    <n v="24"/>
    <x v="1"/>
    <s v="nenhum"/>
    <x v="0"/>
    <n v="1"/>
    <x v="0"/>
    <n v="1"/>
    <s v="não"/>
    <x v="0"/>
    <n v="1"/>
  </r>
  <r>
    <n v="41"/>
    <x v="0"/>
    <s v="sem conta corrente"/>
    <s v="sem conta no banco"/>
    <x v="6"/>
    <x v="1"/>
    <x v="0"/>
    <n v="2333"/>
    <s v="&gt;= 500 &lt; 1000 $"/>
    <s v="Alto (500-1000 $)"/>
    <s v="&gt;= 7 anos"/>
    <s v="Muito Estável (&gt; 7 anos)"/>
    <x v="0"/>
    <x v="0"/>
    <s v="solteiro"/>
    <x v="0"/>
    <n v="2"/>
    <s v="carro ou outros-quitado"/>
    <n v="30"/>
    <x v="3"/>
    <s v="banco"/>
    <x v="0"/>
    <n v="1"/>
    <x v="2"/>
    <n v="1"/>
    <s v="não"/>
    <x v="0"/>
    <n v="1"/>
  </r>
  <r>
    <n v="42"/>
    <x v="0"/>
    <s v="&gt;= 0 &lt; 200 $"/>
    <s v="saldo baixo"/>
    <x v="2"/>
    <x v="1"/>
    <x v="0"/>
    <n v="1158"/>
    <s v="&gt;= 500 &lt; 1000 $"/>
    <s v="Alto (500-1000 $)"/>
    <s v="&lt; 4 anos"/>
    <s v="Intermediário (1-4 anos)"/>
    <x v="2"/>
    <x v="0"/>
    <s v="divorciado"/>
    <x v="0"/>
    <n v="1"/>
    <s v="carro ou outros-quitado"/>
    <n v="26"/>
    <x v="3"/>
    <s v="nenhum"/>
    <x v="0"/>
    <n v="1"/>
    <x v="0"/>
    <n v="1"/>
    <s v="sim"/>
    <x v="0"/>
    <n v="1"/>
  </r>
  <r>
    <n v="43"/>
    <x v="0"/>
    <s v="&gt;= 0 &lt; 200 $"/>
    <s v="saldo baixo"/>
    <x v="12"/>
    <x v="2"/>
    <x v="7"/>
    <n v="6204"/>
    <s v="&lt; 100 $"/>
    <s v="Baixo (&lt; 100 $)"/>
    <s v="&lt; 4 anos"/>
    <s v="Intermediário (1-4 anos)"/>
    <x v="1"/>
    <x v="0"/>
    <s v="solteiro"/>
    <x v="0"/>
    <n v="4"/>
    <s v="imovel"/>
    <n v="44"/>
    <x v="2"/>
    <s v="nenhum"/>
    <x v="0"/>
    <n v="1"/>
    <x v="1"/>
    <n v="2"/>
    <s v="sim"/>
    <x v="0"/>
    <n v="1"/>
  </r>
  <r>
    <n v="44"/>
    <x v="0"/>
    <s v="&lt; 0 $"/>
    <s v="negativo/devedor"/>
    <x v="6"/>
    <x v="0"/>
    <x v="4"/>
    <n v="6187"/>
    <s v="&gt;= 100 &lt; 500 $"/>
    <s v="Médio (100-500$)"/>
    <s v="&lt; 7 anos"/>
    <s v="Estável (4-7 anos)"/>
    <x v="3"/>
    <x v="0"/>
    <s v="casado/viuvo"/>
    <x v="0"/>
    <n v="4"/>
    <s v="carro ou outros-quitado"/>
    <n v="24"/>
    <x v="1"/>
    <s v="nenhum"/>
    <x v="2"/>
    <n v="2"/>
    <x v="0"/>
    <n v="1"/>
    <s v="não"/>
    <x v="0"/>
    <n v="1"/>
  </r>
  <r>
    <n v="45"/>
    <x v="1"/>
    <s v="&lt; 0 $"/>
    <s v="negativo/devedor"/>
    <x v="1"/>
    <x v="0"/>
    <x v="4"/>
    <n v="6143"/>
    <s v="&lt; 100 $"/>
    <s v="Baixo (&lt; 100 $)"/>
    <s v="&gt;= 7 anos"/>
    <s v="Muito Estável (&gt; 7 anos)"/>
    <x v="0"/>
    <x v="1"/>
    <s v="divorciada/casada"/>
    <x v="0"/>
    <n v="4"/>
    <s v="sem bens"/>
    <n v="58"/>
    <x v="2"/>
    <s v="loja"/>
    <x v="1"/>
    <n v="2"/>
    <x v="1"/>
    <n v="1"/>
    <s v="não"/>
    <x v="0"/>
    <n v="2"/>
  </r>
  <r>
    <n v="46"/>
    <x v="0"/>
    <s v="sem conta corrente"/>
    <s v="sem conta no banco"/>
    <x v="14"/>
    <x v="0"/>
    <x v="3"/>
    <n v="1393"/>
    <s v="&lt; 100 $"/>
    <s v="Baixo (&lt; 100 $)"/>
    <s v="&lt; 1 ano"/>
    <s v="Iniciante (&lt; 1 ano)"/>
    <x v="0"/>
    <x v="1"/>
    <s v="divorciada/casada"/>
    <x v="0"/>
    <n v="4"/>
    <s v="carro ou outros-quitado"/>
    <n v="35"/>
    <x v="3"/>
    <s v="nenhum"/>
    <x v="0"/>
    <n v="2"/>
    <x v="2"/>
    <n v="1"/>
    <s v="não"/>
    <x v="0"/>
    <n v="1"/>
  </r>
  <r>
    <n v="47"/>
    <x v="0"/>
    <s v="sem conta corrente"/>
    <s v="sem conta no banco"/>
    <x v="5"/>
    <x v="1"/>
    <x v="0"/>
    <n v="2299"/>
    <s v="&gt;= 500 &lt; 1000 $"/>
    <s v="Alto (500-1000 $)"/>
    <s v="&gt;= 7 anos"/>
    <s v="Muito Estável (&gt; 7 anos)"/>
    <x v="0"/>
    <x v="0"/>
    <s v="solteiro"/>
    <x v="0"/>
    <n v="4"/>
    <s v="carro ou outros-quitado"/>
    <n v="39"/>
    <x v="3"/>
    <s v="nenhum"/>
    <x v="0"/>
    <n v="1"/>
    <x v="0"/>
    <n v="1"/>
    <s v="não"/>
    <x v="0"/>
    <n v="1"/>
  </r>
  <r>
    <n v="48"/>
    <x v="0"/>
    <s v="&lt; 0 $"/>
    <s v="negativo/devedor"/>
    <x v="0"/>
    <x v="1"/>
    <x v="4"/>
    <n v="1352"/>
    <s v="&gt;= 500 &lt; 1000 $"/>
    <s v="Alto (500-1000 $)"/>
    <s v="desempregado"/>
    <s v="desempregado"/>
    <x v="3"/>
    <x v="1"/>
    <s v="divorciada/casada"/>
    <x v="0"/>
    <n v="2"/>
    <s v="poupança ou seguro de vida"/>
    <n v="23"/>
    <x v="1"/>
    <s v="nenhum"/>
    <x v="2"/>
    <n v="1"/>
    <x v="3"/>
    <n v="1"/>
    <s v="sim"/>
    <x v="0"/>
    <n v="1"/>
  </r>
  <r>
    <n v="49"/>
    <x v="0"/>
    <s v="sem conta corrente"/>
    <s v="sem conta no banco"/>
    <x v="14"/>
    <x v="0"/>
    <x v="3"/>
    <n v="7228"/>
    <s v="&lt; 100 $"/>
    <s v="Baixo (&lt; 100 $)"/>
    <s v="&lt; 4 anos"/>
    <s v="Intermediário (1-4 anos)"/>
    <x v="3"/>
    <x v="0"/>
    <s v="solteiro"/>
    <x v="0"/>
    <n v="4"/>
    <s v="poupança ou seguro de vida"/>
    <n v="39"/>
    <x v="3"/>
    <s v="nenhum"/>
    <x v="0"/>
    <n v="2"/>
    <x v="1"/>
    <n v="1"/>
    <s v="não"/>
    <x v="0"/>
    <n v="1"/>
  </r>
  <r>
    <n v="50"/>
    <x v="0"/>
    <s v="sem conta corrente"/>
    <s v="sem conta no banco"/>
    <x v="2"/>
    <x v="1"/>
    <x v="0"/>
    <n v="2073"/>
    <s v="&gt;= 100 &lt; 500 $"/>
    <s v="Médio (100-500$)"/>
    <s v="&lt; 4 anos"/>
    <s v="Intermediário (1-4 anos)"/>
    <x v="0"/>
    <x v="1"/>
    <s v="divorciada/casada"/>
    <x v="2"/>
    <n v="2"/>
    <s v="imovel"/>
    <n v="28"/>
    <x v="3"/>
    <s v="nenhum"/>
    <x v="0"/>
    <n v="1"/>
    <x v="0"/>
    <n v="1"/>
    <s v="não"/>
    <x v="0"/>
    <n v="1"/>
  </r>
  <r>
    <n v="51"/>
    <x v="0"/>
    <s v="&gt;= 0 &lt; 200 $"/>
    <s v="saldo baixo"/>
    <x v="4"/>
    <x v="2"/>
    <x v="2"/>
    <n v="2333"/>
    <s v="sem poupança"/>
    <s v="sem poupança"/>
    <s v="&lt; 1 ano"/>
    <s v="Iniciante (&lt; 1 ano)"/>
    <x v="0"/>
    <x v="0"/>
    <s v="solteiro"/>
    <x v="0"/>
    <n v="2"/>
    <s v="poupança ou seguro de vida"/>
    <n v="29"/>
    <x v="3"/>
    <s v="banco"/>
    <x v="0"/>
    <n v="1"/>
    <x v="1"/>
    <n v="1"/>
    <s v="não"/>
    <x v="0"/>
    <n v="1"/>
  </r>
  <r>
    <n v="52"/>
    <x v="0"/>
    <s v="&gt;= 0 &lt; 200 $"/>
    <s v="saldo baixo"/>
    <x v="15"/>
    <x v="2"/>
    <x v="4"/>
    <n v="5965"/>
    <s v="&lt; 100 $"/>
    <s v="Baixo (&lt; 100 $)"/>
    <s v="&gt;= 7 anos"/>
    <s v="Muito Estável (&gt; 7 anos)"/>
    <x v="3"/>
    <x v="0"/>
    <s v="solteiro"/>
    <x v="0"/>
    <n v="2"/>
    <s v="carro ou outros-quitado"/>
    <n v="30"/>
    <x v="3"/>
    <s v="nenhum"/>
    <x v="0"/>
    <n v="2"/>
    <x v="2"/>
    <n v="1"/>
    <s v="sim"/>
    <x v="0"/>
    <n v="1"/>
  </r>
  <r>
    <n v="53"/>
    <x v="0"/>
    <s v="sem conta corrente"/>
    <s v="sem conta no banco"/>
    <x v="2"/>
    <x v="1"/>
    <x v="0"/>
    <n v="1262"/>
    <s v="&lt; 100 $"/>
    <s v="Baixo (&lt; 100 $)"/>
    <s v="&lt; 4 anos"/>
    <s v="Intermediário (1-4 anos)"/>
    <x v="2"/>
    <x v="0"/>
    <s v="solteiro"/>
    <x v="0"/>
    <n v="2"/>
    <s v="carro ou outros-quitado"/>
    <n v="25"/>
    <x v="3"/>
    <s v="nenhum"/>
    <x v="0"/>
    <n v="1"/>
    <x v="0"/>
    <n v="1"/>
    <s v="não"/>
    <x v="0"/>
    <n v="1"/>
  </r>
  <r>
    <n v="54"/>
    <x v="0"/>
    <s v="sem conta corrente"/>
    <s v="sem conta no banco"/>
    <x v="12"/>
    <x v="1"/>
    <x v="4"/>
    <n v="3378"/>
    <s v="sem poupança"/>
    <s v="sem poupança"/>
    <s v="&lt; 4 anos"/>
    <s v="Intermediário (1-4 anos)"/>
    <x v="1"/>
    <x v="0"/>
    <s v="solteiro"/>
    <x v="0"/>
    <n v="1"/>
    <s v="poupança ou seguro de vida"/>
    <n v="31"/>
    <x v="3"/>
    <s v="nenhum"/>
    <x v="0"/>
    <n v="1"/>
    <x v="0"/>
    <n v="1"/>
    <s v="sim"/>
    <x v="0"/>
    <n v="1"/>
  </r>
  <r>
    <n v="55"/>
    <x v="1"/>
    <s v="&gt;= 0 &lt; 200 $"/>
    <s v="saldo baixo"/>
    <x v="5"/>
    <x v="2"/>
    <x v="3"/>
    <n v="2225"/>
    <s v="&lt; 100 $"/>
    <s v="Baixo (&lt; 100 $)"/>
    <s v="&gt;= 7 anos"/>
    <s v="Muito Estável (&gt; 7 anos)"/>
    <x v="0"/>
    <x v="0"/>
    <s v="solteiro"/>
    <x v="0"/>
    <n v="4"/>
    <s v="sem bens"/>
    <n v="57"/>
    <x v="2"/>
    <s v="banco"/>
    <x v="1"/>
    <n v="2"/>
    <x v="0"/>
    <n v="1"/>
    <s v="sim"/>
    <x v="0"/>
    <n v="2"/>
  </r>
  <r>
    <n v="56"/>
    <x v="0"/>
    <s v="sem conta corrente"/>
    <s v="sem conta no banco"/>
    <x v="0"/>
    <x v="4"/>
    <x v="3"/>
    <n v="783"/>
    <s v="sem poupança"/>
    <s v="sem poupança"/>
    <s v="&lt; 4 anos"/>
    <s v="Intermediário (1-4 anos)"/>
    <x v="3"/>
    <x v="0"/>
    <s v="solteiro"/>
    <x v="1"/>
    <n v="2"/>
    <s v="imovel"/>
    <n v="26"/>
    <x v="3"/>
    <s v="loja"/>
    <x v="0"/>
    <n v="1"/>
    <x v="1"/>
    <n v="2"/>
    <s v="não"/>
    <x v="0"/>
    <n v="1"/>
  </r>
  <r>
    <n v="57"/>
    <x v="1"/>
    <s v="&gt;= 0 &lt; 200 $"/>
    <s v="saldo baixo"/>
    <x v="2"/>
    <x v="1"/>
    <x v="0"/>
    <n v="6468"/>
    <s v="sem poupança"/>
    <s v="sem poupança"/>
    <s v="desempregado"/>
    <s v="desempregado"/>
    <x v="1"/>
    <x v="0"/>
    <s v="solteiro"/>
    <x v="0"/>
    <n v="1"/>
    <s v="sem bens"/>
    <n v="52"/>
    <x v="2"/>
    <s v="nenhum"/>
    <x v="0"/>
    <n v="1"/>
    <x v="2"/>
    <n v="1"/>
    <s v="sim"/>
    <x v="0"/>
    <n v="2"/>
  </r>
  <r>
    <n v="58"/>
    <x v="0"/>
    <s v="sem conta corrente"/>
    <s v="sem conta no banco"/>
    <x v="5"/>
    <x v="0"/>
    <x v="0"/>
    <n v="9566"/>
    <s v="&lt; 100 $"/>
    <s v="Baixo (&lt; 100 $)"/>
    <s v="&lt; 4 anos"/>
    <s v="Intermediário (1-4 anos)"/>
    <x v="1"/>
    <x v="1"/>
    <s v="divorciada/casada"/>
    <x v="0"/>
    <n v="2"/>
    <s v="carro ou outros-quitado"/>
    <n v="31"/>
    <x v="3"/>
    <s v="loja"/>
    <x v="0"/>
    <n v="2"/>
    <x v="0"/>
    <n v="1"/>
    <s v="não"/>
    <x v="0"/>
    <n v="1"/>
  </r>
  <r>
    <n v="59"/>
    <x v="0"/>
    <s v="&gt;= 200 $"/>
    <s v="saldo saudável"/>
    <x v="12"/>
    <x v="1"/>
    <x v="3"/>
    <n v="1961"/>
    <s v="&lt; 100 $"/>
    <s v="Baixo (&lt; 100 $)"/>
    <s v="&gt;= 7 anos"/>
    <s v="Muito Estável (&gt; 7 anos)"/>
    <x v="2"/>
    <x v="1"/>
    <s v="divorciada/casada"/>
    <x v="0"/>
    <n v="2"/>
    <s v="carro ou outros-quitado"/>
    <n v="23"/>
    <x v="1"/>
    <s v="nenhum"/>
    <x v="0"/>
    <n v="1"/>
    <x v="2"/>
    <n v="1"/>
    <s v="não"/>
    <x v="0"/>
    <n v="1"/>
  </r>
  <r>
    <n v="60"/>
    <x v="1"/>
    <s v="&lt; 0 $"/>
    <s v="negativo/devedor"/>
    <x v="5"/>
    <x v="0"/>
    <x v="2"/>
    <n v="6229"/>
    <s v="&lt; 100 $"/>
    <s v="Baixo (&lt; 100 $)"/>
    <s v="&lt; 1 ano"/>
    <s v="Iniciante (&lt; 1 ano)"/>
    <x v="0"/>
    <x v="1"/>
    <s v="divorciada/casada"/>
    <x v="2"/>
    <n v="4"/>
    <s v="sem bens"/>
    <n v="23"/>
    <x v="1"/>
    <s v="nenhum"/>
    <x v="2"/>
    <n v="2"/>
    <x v="1"/>
    <n v="1"/>
    <s v="sim"/>
    <x v="0"/>
    <n v="2"/>
  </r>
  <r>
    <n v="61"/>
    <x v="0"/>
    <s v="&gt;= 0 &lt; 200 $"/>
    <s v="saldo baixo"/>
    <x v="8"/>
    <x v="1"/>
    <x v="5"/>
    <n v="1391"/>
    <s v="&lt; 100 $"/>
    <s v="Baixo (&lt; 100 $)"/>
    <s v="&lt; 4 anos"/>
    <s v="Intermediário (1-4 anos)"/>
    <x v="1"/>
    <x v="0"/>
    <s v="casado/viuvo"/>
    <x v="0"/>
    <n v="1"/>
    <s v="imovel"/>
    <n v="27"/>
    <x v="3"/>
    <s v="banco"/>
    <x v="0"/>
    <n v="1"/>
    <x v="0"/>
    <n v="1"/>
    <s v="sim"/>
    <x v="0"/>
    <n v="1"/>
  </r>
  <r>
    <n v="62"/>
    <x v="0"/>
    <s v="&gt;= 0 &lt; 200 $"/>
    <s v="saldo baixo"/>
    <x v="7"/>
    <x v="0"/>
    <x v="0"/>
    <n v="1537"/>
    <s v="sem poupança"/>
    <s v="sem poupança"/>
    <s v="&gt;= 7 anos"/>
    <s v="Muito Estável (&gt; 7 anos)"/>
    <x v="0"/>
    <x v="0"/>
    <s v="solteiro"/>
    <x v="1"/>
    <n v="4"/>
    <s v="imovel"/>
    <n v="50"/>
    <x v="2"/>
    <s v="nenhum"/>
    <x v="0"/>
    <n v="2"/>
    <x v="0"/>
    <n v="1"/>
    <s v="sim"/>
    <x v="0"/>
    <n v="1"/>
  </r>
  <r>
    <n v="63"/>
    <x v="1"/>
    <s v="&gt;= 0 &lt; 200 $"/>
    <s v="saldo baixo"/>
    <x v="5"/>
    <x v="3"/>
    <x v="5"/>
    <n v="1953"/>
    <s v="&lt; 100 $"/>
    <s v="Baixo (&lt; 100 $)"/>
    <s v="&gt;= 7 anos"/>
    <s v="Muito Estável (&gt; 7 anos)"/>
    <x v="0"/>
    <x v="0"/>
    <s v="solteiro"/>
    <x v="0"/>
    <n v="4"/>
    <s v="sem bens"/>
    <n v="61"/>
    <x v="0"/>
    <s v="nenhum"/>
    <x v="1"/>
    <n v="1"/>
    <x v="2"/>
    <n v="1"/>
    <s v="sim"/>
    <x v="0"/>
    <n v="2"/>
  </r>
  <r>
    <n v="64"/>
    <x v="1"/>
    <s v="&gt;= 0 &lt; 200 $"/>
    <s v="saldo baixo"/>
    <x v="1"/>
    <x v="3"/>
    <x v="5"/>
    <n v="14421"/>
    <s v="&lt; 100 $"/>
    <s v="Baixo (&lt; 100 $)"/>
    <s v="&lt; 4 anos"/>
    <s v="Intermediário (1-4 anos)"/>
    <x v="1"/>
    <x v="0"/>
    <s v="solteiro"/>
    <x v="0"/>
    <n v="2"/>
    <s v="carro ou outros-quitado"/>
    <n v="25"/>
    <x v="3"/>
    <s v="nenhum"/>
    <x v="0"/>
    <n v="1"/>
    <x v="0"/>
    <n v="1"/>
    <s v="sim"/>
    <x v="0"/>
    <n v="2"/>
  </r>
  <r>
    <n v="65"/>
    <x v="0"/>
    <s v="sem conta corrente"/>
    <s v="sem conta no banco"/>
    <x v="4"/>
    <x v="1"/>
    <x v="0"/>
    <n v="3181"/>
    <s v="&lt; 100 $"/>
    <s v="Baixo (&lt; 100 $)"/>
    <s v="&lt; 1 ano"/>
    <s v="Iniciante (&lt; 1 ano)"/>
    <x v="0"/>
    <x v="1"/>
    <s v="divorciada/casada"/>
    <x v="0"/>
    <n v="4"/>
    <s v="poupança ou seguro de vida"/>
    <n v="26"/>
    <x v="3"/>
    <s v="nenhum"/>
    <x v="0"/>
    <n v="1"/>
    <x v="0"/>
    <n v="1"/>
    <s v="sim"/>
    <x v="0"/>
    <n v="1"/>
  </r>
  <r>
    <n v="66"/>
    <x v="0"/>
    <s v="sem conta corrente"/>
    <s v="sem conta no banco"/>
    <x v="15"/>
    <x v="1"/>
    <x v="7"/>
    <n v="5190"/>
    <s v="sem poupança"/>
    <s v="sem poupança"/>
    <s v="&gt;= 7 anos"/>
    <s v="Muito Estável (&gt; 7 anos)"/>
    <x v="0"/>
    <x v="0"/>
    <s v="solteiro"/>
    <x v="0"/>
    <n v="4"/>
    <s v="poupança ou seguro de vida"/>
    <n v="48"/>
    <x v="2"/>
    <s v="nenhum"/>
    <x v="0"/>
    <n v="4"/>
    <x v="0"/>
    <n v="2"/>
    <s v="sim"/>
    <x v="0"/>
    <n v="1"/>
  </r>
  <r>
    <n v="67"/>
    <x v="0"/>
    <s v="sem conta corrente"/>
    <s v="sem conta no banco"/>
    <x v="2"/>
    <x v="1"/>
    <x v="0"/>
    <n v="2171"/>
    <s v="&lt; 100 $"/>
    <s v="Baixo (&lt; 100 $)"/>
    <s v="&lt; 1 ano"/>
    <s v="Iniciante (&lt; 1 ano)"/>
    <x v="1"/>
    <x v="1"/>
    <s v="divorciada/casada"/>
    <x v="0"/>
    <n v="2"/>
    <s v="carro ou outros-quitado"/>
    <n v="29"/>
    <x v="3"/>
    <s v="banco"/>
    <x v="0"/>
    <n v="1"/>
    <x v="0"/>
    <n v="1"/>
    <s v="não"/>
    <x v="0"/>
    <n v="1"/>
  </r>
  <r>
    <n v="68"/>
    <x v="0"/>
    <s v="&gt;= 0 &lt; 200 $"/>
    <s v="saldo baixo"/>
    <x v="2"/>
    <x v="1"/>
    <x v="3"/>
    <n v="1007"/>
    <s v="&gt;= 1000 $"/>
    <s v="Muito alto (&gt;1000$)"/>
    <s v="&lt; 4 anos"/>
    <s v="Intermediário (1-4 anos)"/>
    <x v="0"/>
    <x v="0"/>
    <s v="casado/viuvo"/>
    <x v="0"/>
    <n v="1"/>
    <s v="imovel"/>
    <n v="22"/>
    <x v="1"/>
    <s v="nenhum"/>
    <x v="0"/>
    <n v="1"/>
    <x v="0"/>
    <n v="1"/>
    <s v="não"/>
    <x v="0"/>
    <n v="1"/>
  </r>
  <r>
    <n v="69"/>
    <x v="1"/>
    <s v="sem conta corrente"/>
    <s v="sem conta no banco"/>
    <x v="5"/>
    <x v="1"/>
    <x v="1"/>
    <n v="1819"/>
    <s v="&lt; 100 $"/>
    <s v="Baixo (&lt; 100 $)"/>
    <s v="&lt; 4 anos"/>
    <s v="Intermediário (1-4 anos)"/>
    <x v="0"/>
    <x v="0"/>
    <s v="solteiro"/>
    <x v="0"/>
    <n v="4"/>
    <s v="sem bens"/>
    <n v="37"/>
    <x v="3"/>
    <s v="loja"/>
    <x v="1"/>
    <n v="1"/>
    <x v="0"/>
    <n v="1"/>
    <s v="sim"/>
    <x v="0"/>
    <n v="2"/>
  </r>
  <r>
    <n v="70"/>
    <x v="0"/>
    <s v="sem conta corrente"/>
    <s v="sem conta no banco"/>
    <x v="5"/>
    <x v="1"/>
    <x v="0"/>
    <n v="2394"/>
    <s v="sem poupança"/>
    <s v="sem poupança"/>
    <s v="&lt; 4 anos"/>
    <s v="Intermediário (1-4 anos)"/>
    <x v="0"/>
    <x v="1"/>
    <s v="divorciada/casada"/>
    <x v="0"/>
    <n v="4"/>
    <s v="carro ou outros-quitado"/>
    <n v="25"/>
    <x v="3"/>
    <s v="nenhum"/>
    <x v="0"/>
    <n v="1"/>
    <x v="0"/>
    <n v="1"/>
    <s v="não"/>
    <x v="0"/>
    <n v="1"/>
  </r>
  <r>
    <n v="71"/>
    <x v="0"/>
    <s v="sem conta corrente"/>
    <s v="sem conta no banco"/>
    <x v="5"/>
    <x v="1"/>
    <x v="4"/>
    <n v="8133"/>
    <s v="&lt; 100 $"/>
    <s v="Baixo (&lt; 100 $)"/>
    <s v="&lt; 4 anos"/>
    <s v="Intermediário (1-4 anos)"/>
    <x v="3"/>
    <x v="1"/>
    <s v="divorciada/casada"/>
    <x v="0"/>
    <n v="2"/>
    <s v="poupança ou seguro de vida"/>
    <n v="30"/>
    <x v="3"/>
    <s v="banco"/>
    <x v="0"/>
    <n v="1"/>
    <x v="0"/>
    <n v="1"/>
    <s v="não"/>
    <x v="0"/>
    <n v="1"/>
  </r>
  <r>
    <n v="72"/>
    <x v="0"/>
    <s v="sem conta corrente"/>
    <s v="sem conta no banco"/>
    <x v="10"/>
    <x v="0"/>
    <x v="0"/>
    <n v="730"/>
    <s v="sem poupança"/>
    <s v="sem poupança"/>
    <s v="&gt;= 7 anos"/>
    <s v="Muito Estável (&gt; 7 anos)"/>
    <x v="0"/>
    <x v="0"/>
    <s v="solteiro"/>
    <x v="0"/>
    <n v="2"/>
    <s v="poupança ou seguro de vida"/>
    <n v="46"/>
    <x v="2"/>
    <s v="nenhum"/>
    <x v="2"/>
    <n v="2"/>
    <x v="1"/>
    <n v="1"/>
    <s v="sim"/>
    <x v="0"/>
    <n v="1"/>
  </r>
  <r>
    <n v="73"/>
    <x v="0"/>
    <s v="&lt; 0 $"/>
    <s v="negativo/devedor"/>
    <x v="16"/>
    <x v="0"/>
    <x v="8"/>
    <n v="1164"/>
    <s v="&lt; 100 $"/>
    <s v="Baixo (&lt; 100 $)"/>
    <s v="&gt;= 7 anos"/>
    <s v="Muito Estável (&gt; 7 anos)"/>
    <x v="2"/>
    <x v="0"/>
    <s v="solteiro"/>
    <x v="0"/>
    <n v="4"/>
    <s v="sem bens"/>
    <n v="51"/>
    <x v="2"/>
    <s v="banco"/>
    <x v="1"/>
    <n v="2"/>
    <x v="2"/>
    <n v="2"/>
    <s v="sim"/>
    <x v="0"/>
    <n v="1"/>
  </r>
  <r>
    <n v="74"/>
    <x v="0"/>
    <s v="&gt;= 0 &lt; 200 $"/>
    <s v="saldo baixo"/>
    <x v="3"/>
    <x v="0"/>
    <x v="5"/>
    <n v="5954"/>
    <s v="&lt; 100 $"/>
    <s v="Baixo (&lt; 100 $)"/>
    <s v="&lt; 7 anos"/>
    <s v="Estável (4-7 anos)"/>
    <x v="1"/>
    <x v="1"/>
    <s v="divorciada/casada"/>
    <x v="0"/>
    <n v="1"/>
    <s v="imovel"/>
    <n v="41"/>
    <x v="2"/>
    <s v="banco"/>
    <x v="0"/>
    <n v="2"/>
    <x v="1"/>
    <n v="1"/>
    <s v="não"/>
    <x v="0"/>
    <n v="1"/>
  </r>
  <r>
    <n v="75"/>
    <x v="1"/>
    <s v="&lt; 0 $"/>
    <s v="negativo/devedor"/>
    <x v="5"/>
    <x v="1"/>
    <x v="1"/>
    <n v="1977"/>
    <s v="sem poupança"/>
    <s v="sem poupança"/>
    <s v="&gt;= 7 anos"/>
    <s v="Muito Estável (&gt; 7 anos)"/>
    <x v="0"/>
    <x v="0"/>
    <s v="solteiro"/>
    <x v="0"/>
    <n v="4"/>
    <s v="sem bens"/>
    <n v="40"/>
    <x v="2"/>
    <s v="nenhum"/>
    <x v="0"/>
    <n v="1"/>
    <x v="2"/>
    <n v="1"/>
    <s v="sim"/>
    <x v="0"/>
    <n v="2"/>
  </r>
  <r>
    <n v="76"/>
    <x v="0"/>
    <s v="&lt; 0 $"/>
    <s v="negativo/devedor"/>
    <x v="2"/>
    <x v="0"/>
    <x v="4"/>
    <n v="1526"/>
    <s v="&lt; 100 $"/>
    <s v="Baixo (&lt; 100 $)"/>
    <s v="&gt;= 7 anos"/>
    <s v="Muito Estável (&gt; 7 anos)"/>
    <x v="0"/>
    <x v="0"/>
    <s v="solteiro"/>
    <x v="0"/>
    <n v="4"/>
    <s v="sem bens"/>
    <n v="66"/>
    <x v="0"/>
    <s v="nenhum"/>
    <x v="1"/>
    <n v="2"/>
    <x v="2"/>
    <n v="1"/>
    <s v="não"/>
    <x v="0"/>
    <n v="1"/>
  </r>
  <r>
    <n v="77"/>
    <x v="1"/>
    <s v="&lt; 0 $"/>
    <s v="negativo/devedor"/>
    <x v="3"/>
    <x v="1"/>
    <x v="0"/>
    <n v="3965"/>
    <s v="&lt; 100 $"/>
    <s v="Baixo (&lt; 100 $)"/>
    <s v="&lt; 1 ano"/>
    <s v="Iniciante (&lt; 1 ano)"/>
    <x v="0"/>
    <x v="0"/>
    <s v="solteiro"/>
    <x v="0"/>
    <n v="3"/>
    <s v="carro ou outros-quitado"/>
    <n v="34"/>
    <x v="3"/>
    <s v="nenhum"/>
    <x v="0"/>
    <n v="1"/>
    <x v="0"/>
    <n v="1"/>
    <s v="não"/>
    <x v="0"/>
    <n v="2"/>
  </r>
  <r>
    <n v="78"/>
    <x v="0"/>
    <s v="&gt;= 0 &lt; 200 $"/>
    <s v="saldo baixo"/>
    <x v="14"/>
    <x v="2"/>
    <x v="0"/>
    <n v="4771"/>
    <s v="&lt; 100 $"/>
    <s v="Baixo (&lt; 100 $)"/>
    <s v="&lt; 7 anos"/>
    <s v="Estável (4-7 anos)"/>
    <x v="1"/>
    <x v="0"/>
    <s v="solteiro"/>
    <x v="0"/>
    <n v="4"/>
    <s v="poupança ou seguro de vida"/>
    <n v="51"/>
    <x v="2"/>
    <s v="nenhum"/>
    <x v="0"/>
    <n v="1"/>
    <x v="0"/>
    <n v="1"/>
    <s v="não"/>
    <x v="0"/>
    <n v="1"/>
  </r>
  <r>
    <n v="79"/>
    <x v="0"/>
    <s v="sem conta corrente"/>
    <s v="sem conta no banco"/>
    <x v="17"/>
    <x v="3"/>
    <x v="4"/>
    <n v="9436"/>
    <s v="sem poupança"/>
    <s v="sem poupança"/>
    <s v="&lt; 4 anos"/>
    <s v="Intermediário (1-4 anos)"/>
    <x v="1"/>
    <x v="0"/>
    <s v="solteiro"/>
    <x v="0"/>
    <n v="2"/>
    <s v="poupança ou seguro de vida"/>
    <n v="39"/>
    <x v="3"/>
    <s v="nenhum"/>
    <x v="0"/>
    <n v="1"/>
    <x v="1"/>
    <n v="2"/>
    <s v="não"/>
    <x v="0"/>
    <n v="1"/>
  </r>
  <r>
    <n v="80"/>
    <x v="0"/>
    <s v="&gt;= 0 &lt; 200 $"/>
    <s v="saldo baixo"/>
    <x v="6"/>
    <x v="1"/>
    <x v="2"/>
    <n v="3832"/>
    <s v="&lt; 100 $"/>
    <s v="Baixo (&lt; 100 $)"/>
    <s v="&lt; 1 ano"/>
    <s v="Iniciante (&lt; 1 ano)"/>
    <x v="1"/>
    <x v="0"/>
    <s v="casado/viuvo"/>
    <x v="0"/>
    <n v="1"/>
    <s v="poupança ou seguro de vida"/>
    <n v="22"/>
    <x v="1"/>
    <s v="nenhum"/>
    <x v="0"/>
    <n v="1"/>
    <x v="0"/>
    <n v="1"/>
    <s v="não"/>
    <x v="0"/>
    <n v="1"/>
  </r>
  <r>
    <n v="81"/>
    <x v="1"/>
    <s v="sem conta corrente"/>
    <s v="sem conta no banco"/>
    <x v="4"/>
    <x v="1"/>
    <x v="0"/>
    <n v="5943"/>
    <s v="sem poupança"/>
    <s v="sem poupança"/>
    <s v="&lt; 1 ano"/>
    <s v="Iniciante (&lt; 1 ano)"/>
    <x v="3"/>
    <x v="1"/>
    <s v="divorciada/casada"/>
    <x v="0"/>
    <n v="1"/>
    <s v="carro ou outros-quitado"/>
    <n v="44"/>
    <x v="2"/>
    <s v="nenhum"/>
    <x v="0"/>
    <n v="2"/>
    <x v="0"/>
    <n v="1"/>
    <s v="sim"/>
    <x v="0"/>
    <n v="2"/>
  </r>
  <r>
    <n v="82"/>
    <x v="0"/>
    <s v="sem conta corrente"/>
    <s v="sem conta no banco"/>
    <x v="7"/>
    <x v="1"/>
    <x v="0"/>
    <n v="1213"/>
    <s v="&gt;= 500 &lt; 1000 $"/>
    <s v="Alto (500-1000 $)"/>
    <s v="&gt;= 7 anos"/>
    <s v="Muito Estável (&gt; 7 anos)"/>
    <x v="0"/>
    <x v="0"/>
    <s v="solteiro"/>
    <x v="0"/>
    <n v="3"/>
    <s v="poupança ou seguro de vida"/>
    <n v="47"/>
    <x v="2"/>
    <s v="loja"/>
    <x v="0"/>
    <n v="1"/>
    <x v="0"/>
    <n v="1"/>
    <s v="sim"/>
    <x v="0"/>
    <n v="1"/>
  </r>
  <r>
    <n v="83"/>
    <x v="0"/>
    <s v="sem conta corrente"/>
    <s v="sem conta no banco"/>
    <x v="12"/>
    <x v="1"/>
    <x v="5"/>
    <n v="1568"/>
    <s v="&gt;= 100 &lt; 500 $"/>
    <s v="Médio (100-500$)"/>
    <s v="&lt; 4 anos"/>
    <s v="Intermediário (1-4 anos)"/>
    <x v="2"/>
    <x v="1"/>
    <s v="divorciada/casada"/>
    <x v="0"/>
    <n v="4"/>
    <s v="poupança ou seguro de vida"/>
    <n v="24"/>
    <x v="1"/>
    <s v="nenhum"/>
    <x v="2"/>
    <n v="1"/>
    <x v="1"/>
    <n v="1"/>
    <s v="não"/>
    <x v="0"/>
    <n v="1"/>
  </r>
  <r>
    <n v="84"/>
    <x v="0"/>
    <s v="&lt; 0 $"/>
    <s v="negativo/devedor"/>
    <x v="4"/>
    <x v="1"/>
    <x v="8"/>
    <n v="1755"/>
    <s v="&lt; 100 $"/>
    <s v="Baixo (&lt; 100 $)"/>
    <s v="&gt;= 7 anos"/>
    <s v="Muito Estável (&gt; 7 anos)"/>
    <x v="0"/>
    <x v="1"/>
    <s v="divorciada/casada"/>
    <x v="1"/>
    <n v="4"/>
    <s v="imovel"/>
    <n v="58"/>
    <x v="2"/>
    <s v="nenhum"/>
    <x v="0"/>
    <n v="1"/>
    <x v="1"/>
    <n v="1"/>
    <s v="sim"/>
    <x v="0"/>
    <n v="1"/>
  </r>
  <r>
    <n v="85"/>
    <x v="0"/>
    <s v="&lt; 0 $"/>
    <s v="negativo/devedor"/>
    <x v="9"/>
    <x v="1"/>
    <x v="0"/>
    <n v="2315"/>
    <s v="&lt; 100 $"/>
    <s v="Baixo (&lt; 100 $)"/>
    <s v="&gt;= 7 anos"/>
    <s v="Muito Estável (&gt; 7 anos)"/>
    <x v="2"/>
    <x v="0"/>
    <s v="solteiro"/>
    <x v="0"/>
    <n v="4"/>
    <s v="imovel"/>
    <n v="52"/>
    <x v="2"/>
    <s v="nenhum"/>
    <x v="0"/>
    <n v="1"/>
    <x v="1"/>
    <n v="1"/>
    <s v="não"/>
    <x v="0"/>
    <n v="1"/>
  </r>
  <r>
    <n v="86"/>
    <x v="0"/>
    <s v="sem conta corrente"/>
    <s v="sem conta no banco"/>
    <x v="2"/>
    <x v="0"/>
    <x v="5"/>
    <n v="1412"/>
    <s v="&lt; 100 $"/>
    <s v="Baixo (&lt; 100 $)"/>
    <s v="&lt; 4 anos"/>
    <s v="Intermediário (1-4 anos)"/>
    <x v="0"/>
    <x v="1"/>
    <s v="divorciada/casada"/>
    <x v="1"/>
    <n v="2"/>
    <s v="imovel"/>
    <n v="29"/>
    <x v="3"/>
    <s v="nenhum"/>
    <x v="0"/>
    <n v="2"/>
    <x v="2"/>
    <n v="1"/>
    <s v="sim"/>
    <x v="0"/>
    <n v="1"/>
  </r>
  <r>
    <n v="87"/>
    <x v="0"/>
    <s v="&gt;= 0 &lt; 200 $"/>
    <s v="saldo baixo"/>
    <x v="12"/>
    <x v="0"/>
    <x v="2"/>
    <n v="1295"/>
    <s v="&lt; 100 $"/>
    <s v="Baixo (&lt; 100 $)"/>
    <s v="&lt; 1 ano"/>
    <s v="Iniciante (&lt; 1 ano)"/>
    <x v="0"/>
    <x v="1"/>
    <s v="divorciada/casada"/>
    <x v="0"/>
    <n v="1"/>
    <s v="poupança ou seguro de vida"/>
    <n v="27"/>
    <x v="3"/>
    <s v="nenhum"/>
    <x v="0"/>
    <n v="2"/>
    <x v="0"/>
    <n v="1"/>
    <s v="não"/>
    <x v="0"/>
    <n v="1"/>
  </r>
  <r>
    <n v="88"/>
    <x v="1"/>
    <s v="&gt;= 0 &lt; 200 $"/>
    <s v="saldo baixo"/>
    <x v="5"/>
    <x v="1"/>
    <x v="1"/>
    <n v="12612"/>
    <s v="&gt;= 100 &lt; 500 $"/>
    <s v="Médio (100-500$)"/>
    <s v="&lt; 4 anos"/>
    <s v="Intermediário (1-4 anos)"/>
    <x v="3"/>
    <x v="0"/>
    <s v="solteiro"/>
    <x v="0"/>
    <n v="4"/>
    <s v="sem bens"/>
    <n v="47"/>
    <x v="2"/>
    <s v="nenhum"/>
    <x v="1"/>
    <n v="1"/>
    <x v="0"/>
    <n v="2"/>
    <s v="sim"/>
    <x v="0"/>
    <n v="2"/>
  </r>
  <r>
    <n v="89"/>
    <x v="0"/>
    <s v="&lt; 0 $"/>
    <s v="negativo/devedor"/>
    <x v="12"/>
    <x v="1"/>
    <x v="3"/>
    <n v="2249"/>
    <s v="&gt;= 100 &lt; 500 $"/>
    <s v="Médio (100-500$)"/>
    <s v="&lt; 7 anos"/>
    <s v="Estável (4-7 anos)"/>
    <x v="0"/>
    <x v="0"/>
    <s v="solteiro"/>
    <x v="0"/>
    <n v="3"/>
    <s v="carro ou outros-quitado"/>
    <n v="30"/>
    <x v="3"/>
    <s v="nenhum"/>
    <x v="0"/>
    <n v="1"/>
    <x v="2"/>
    <n v="2"/>
    <s v="sim"/>
    <x v="0"/>
    <n v="1"/>
  </r>
  <r>
    <n v="90"/>
    <x v="1"/>
    <s v="&lt; 0 $"/>
    <s v="negativo/devedor"/>
    <x v="2"/>
    <x v="3"/>
    <x v="7"/>
    <n v="1108"/>
    <s v="&lt; 100 $"/>
    <s v="Baixo (&lt; 100 $)"/>
    <s v="&lt; 7 anos"/>
    <s v="Estável (4-7 anos)"/>
    <x v="0"/>
    <x v="0"/>
    <s v="solteiro"/>
    <x v="0"/>
    <n v="3"/>
    <s v="imovel"/>
    <n v="28"/>
    <x v="3"/>
    <s v="nenhum"/>
    <x v="0"/>
    <n v="2"/>
    <x v="0"/>
    <n v="1"/>
    <s v="não"/>
    <x v="0"/>
    <n v="2"/>
  </r>
  <r>
    <n v="91"/>
    <x v="0"/>
    <s v="sem conta corrente"/>
    <s v="sem conta no banco"/>
    <x v="2"/>
    <x v="0"/>
    <x v="0"/>
    <n v="618"/>
    <s v="&lt; 100 $"/>
    <s v="Baixo (&lt; 100 $)"/>
    <s v="&gt;= 7 anos"/>
    <s v="Muito Estável (&gt; 7 anos)"/>
    <x v="0"/>
    <x v="0"/>
    <s v="solteiro"/>
    <x v="0"/>
    <n v="4"/>
    <s v="imovel"/>
    <n v="56"/>
    <x v="2"/>
    <s v="nenhum"/>
    <x v="0"/>
    <n v="1"/>
    <x v="0"/>
    <n v="1"/>
    <s v="não"/>
    <x v="0"/>
    <n v="1"/>
  </r>
  <r>
    <n v="92"/>
    <x v="0"/>
    <s v="&lt; 0 $"/>
    <s v="negativo/devedor"/>
    <x v="2"/>
    <x v="0"/>
    <x v="4"/>
    <n v="1409"/>
    <s v="&lt; 100 $"/>
    <s v="Baixo (&lt; 100 $)"/>
    <s v="&gt;= 7 anos"/>
    <s v="Muito Estável (&gt; 7 anos)"/>
    <x v="0"/>
    <x v="0"/>
    <s v="solteiro"/>
    <x v="0"/>
    <n v="3"/>
    <s v="imovel"/>
    <n v="54"/>
    <x v="2"/>
    <s v="nenhum"/>
    <x v="0"/>
    <n v="1"/>
    <x v="0"/>
    <n v="1"/>
    <s v="não"/>
    <x v="0"/>
    <n v="1"/>
  </r>
  <r>
    <n v="93"/>
    <x v="1"/>
    <s v="sem conta corrente"/>
    <s v="sem conta no banco"/>
    <x v="2"/>
    <x v="0"/>
    <x v="0"/>
    <n v="797"/>
    <s v="sem poupança"/>
    <s v="sem poupança"/>
    <s v="&gt;= 7 anos"/>
    <s v="Muito Estável (&gt; 7 anos)"/>
    <x v="0"/>
    <x v="1"/>
    <s v="divorciada/casada"/>
    <x v="0"/>
    <n v="3"/>
    <s v="poupança ou seguro de vida"/>
    <n v="33"/>
    <x v="3"/>
    <s v="banco"/>
    <x v="0"/>
    <n v="1"/>
    <x v="1"/>
    <n v="2"/>
    <s v="não"/>
    <x v="0"/>
    <n v="2"/>
  </r>
  <r>
    <n v="94"/>
    <x v="0"/>
    <s v="&gt;= 200 $"/>
    <s v="saldo saudável"/>
    <x v="4"/>
    <x v="0"/>
    <x v="2"/>
    <n v="3617"/>
    <s v="sem poupança"/>
    <s v="sem poupança"/>
    <s v="&gt;= 7 anos"/>
    <s v="Muito Estável (&gt; 7 anos)"/>
    <x v="0"/>
    <x v="0"/>
    <s v="solteiro"/>
    <x v="2"/>
    <n v="4"/>
    <s v="sem bens"/>
    <n v="20"/>
    <x v="1"/>
    <s v="nenhum"/>
    <x v="2"/>
    <n v="2"/>
    <x v="0"/>
    <n v="1"/>
    <s v="não"/>
    <x v="0"/>
    <n v="1"/>
  </r>
  <r>
    <n v="95"/>
    <x v="0"/>
    <s v="&gt;= 0 &lt; 200 $"/>
    <s v="saldo baixo"/>
    <x v="2"/>
    <x v="1"/>
    <x v="3"/>
    <n v="1318"/>
    <s v="&gt;= 1000 $"/>
    <s v="Muito alto (&gt;1000$)"/>
    <s v="&gt;= 7 anos"/>
    <s v="Muito Estável (&gt; 7 anos)"/>
    <x v="0"/>
    <x v="0"/>
    <s v="solteiro"/>
    <x v="0"/>
    <n v="4"/>
    <s v="imovel"/>
    <n v="54"/>
    <x v="2"/>
    <s v="nenhum"/>
    <x v="0"/>
    <n v="1"/>
    <x v="0"/>
    <n v="1"/>
    <s v="sim"/>
    <x v="0"/>
    <n v="1"/>
  </r>
  <r>
    <n v="96"/>
    <x v="1"/>
    <s v="&gt;= 0 &lt; 200 $"/>
    <s v="saldo baixo"/>
    <x v="17"/>
    <x v="3"/>
    <x v="5"/>
    <n v="15945"/>
    <s v="&lt; 100 $"/>
    <s v="Baixo (&lt; 100 $)"/>
    <s v="&lt; 1 ano"/>
    <s v="Iniciante (&lt; 1 ano)"/>
    <x v="2"/>
    <x v="0"/>
    <s v="solteiro"/>
    <x v="0"/>
    <n v="4"/>
    <s v="sem bens"/>
    <n v="58"/>
    <x v="2"/>
    <s v="nenhum"/>
    <x v="2"/>
    <n v="1"/>
    <x v="0"/>
    <n v="1"/>
    <s v="sim"/>
    <x v="0"/>
    <n v="2"/>
  </r>
  <r>
    <n v="97"/>
    <x v="0"/>
    <s v="sem conta corrente"/>
    <s v="sem conta no banco"/>
    <x v="2"/>
    <x v="0"/>
    <x v="1"/>
    <n v="2012"/>
    <s v="sem poupança"/>
    <s v="sem poupança"/>
    <s v="&lt; 7 anos"/>
    <s v="Estável (4-7 anos)"/>
    <x v="0"/>
    <x v="1"/>
    <s v="divorciada/casada"/>
    <x v="0"/>
    <n v="2"/>
    <s v="carro ou outros-quitado"/>
    <n v="61"/>
    <x v="0"/>
    <s v="nenhum"/>
    <x v="0"/>
    <n v="1"/>
    <x v="0"/>
    <n v="1"/>
    <s v="não"/>
    <x v="0"/>
    <n v="1"/>
  </r>
  <r>
    <n v="98"/>
    <x v="0"/>
    <s v="&gt;= 0 &lt; 200 $"/>
    <s v="saldo baixo"/>
    <x v="12"/>
    <x v="1"/>
    <x v="5"/>
    <n v="2622"/>
    <s v="&gt;= 100 &lt; 500 $"/>
    <s v="Médio (100-500$)"/>
    <s v="&lt; 4 anos"/>
    <s v="Intermediário (1-4 anos)"/>
    <x v="0"/>
    <x v="0"/>
    <s v="solteiro"/>
    <x v="0"/>
    <n v="4"/>
    <s v="carro ou outros-quitado"/>
    <n v="34"/>
    <x v="3"/>
    <s v="nenhum"/>
    <x v="0"/>
    <n v="1"/>
    <x v="0"/>
    <n v="1"/>
    <s v="não"/>
    <x v="0"/>
    <n v="1"/>
  </r>
  <r>
    <n v="99"/>
    <x v="0"/>
    <s v="&gt;= 0 &lt; 200 $"/>
    <s v="saldo baixo"/>
    <x v="5"/>
    <x v="0"/>
    <x v="0"/>
    <n v="2337"/>
    <s v="&lt; 100 $"/>
    <s v="Baixo (&lt; 100 $)"/>
    <s v="&gt;= 7 anos"/>
    <s v="Muito Estável (&gt; 7 anos)"/>
    <x v="0"/>
    <x v="0"/>
    <s v="solteiro"/>
    <x v="0"/>
    <n v="4"/>
    <s v="imovel"/>
    <n v="36"/>
    <x v="3"/>
    <s v="nenhum"/>
    <x v="0"/>
    <n v="1"/>
    <x v="0"/>
    <n v="1"/>
    <s v="não"/>
    <x v="0"/>
    <n v="1"/>
  </r>
  <r>
    <n v="100"/>
    <x v="0"/>
    <s v="&gt;= 0 &lt; 200 $"/>
    <s v="saldo baixo"/>
    <x v="18"/>
    <x v="2"/>
    <x v="4"/>
    <n v="7057"/>
    <s v="sem poupança"/>
    <s v="sem poupança"/>
    <s v="&lt; 7 anos"/>
    <s v="Estável (4-7 anos)"/>
    <x v="2"/>
    <x v="0"/>
    <s v="solteiro"/>
    <x v="0"/>
    <n v="4"/>
    <s v="poupança ou seguro de vida"/>
    <n v="36"/>
    <x v="3"/>
    <s v="banco"/>
    <x v="2"/>
    <n v="2"/>
    <x v="2"/>
    <n v="2"/>
    <s v="sim"/>
    <x v="0"/>
    <n v="1"/>
  </r>
  <r>
    <n v="101"/>
    <x v="0"/>
    <s v="sem conta corrente"/>
    <s v="sem conta no banco"/>
    <x v="4"/>
    <x v="1"/>
    <x v="3"/>
    <n v="1469"/>
    <s v="&gt;= 100 &lt; 500 $"/>
    <s v="Médio (100-500$)"/>
    <s v="&gt;= 7 anos"/>
    <s v="Muito Estável (&gt; 7 anos)"/>
    <x v="0"/>
    <x v="0"/>
    <s v="casado/viuvo"/>
    <x v="0"/>
    <n v="4"/>
    <s v="imovel"/>
    <n v="41"/>
    <x v="2"/>
    <s v="nenhum"/>
    <x v="2"/>
    <n v="1"/>
    <x v="1"/>
    <n v="1"/>
    <s v="não"/>
    <x v="0"/>
    <n v="1"/>
  </r>
  <r>
    <n v="102"/>
    <x v="0"/>
    <s v="&gt;= 0 &lt; 200 $"/>
    <s v="saldo baixo"/>
    <x v="5"/>
    <x v="1"/>
    <x v="0"/>
    <n v="2323"/>
    <s v="&lt; 100 $"/>
    <s v="Baixo (&lt; 100 $)"/>
    <s v="&lt; 7 anos"/>
    <s v="Estável (4-7 anos)"/>
    <x v="0"/>
    <x v="0"/>
    <s v="solteiro"/>
    <x v="0"/>
    <n v="4"/>
    <s v="carro ou outros-quitado"/>
    <n v="24"/>
    <x v="1"/>
    <s v="nenhum"/>
    <x v="2"/>
    <n v="1"/>
    <x v="0"/>
    <n v="1"/>
    <s v="não"/>
    <x v="0"/>
    <n v="1"/>
  </r>
  <r>
    <n v="103"/>
    <x v="0"/>
    <s v="sem conta corrente"/>
    <s v="sem conta no banco"/>
    <x v="0"/>
    <x v="2"/>
    <x v="0"/>
    <n v="932"/>
    <s v="&lt; 100 $"/>
    <s v="Baixo (&lt; 100 $)"/>
    <s v="&lt; 4 anos"/>
    <s v="Intermediário (1-4 anos)"/>
    <x v="2"/>
    <x v="1"/>
    <s v="divorciada/casada"/>
    <x v="0"/>
    <n v="2"/>
    <s v="imovel"/>
    <n v="24"/>
    <x v="1"/>
    <s v="nenhum"/>
    <x v="0"/>
    <n v="1"/>
    <x v="0"/>
    <n v="1"/>
    <s v="não"/>
    <x v="0"/>
    <n v="1"/>
  </r>
  <r>
    <n v="104"/>
    <x v="0"/>
    <s v="&gt;= 0 &lt; 200 $"/>
    <s v="saldo baixo"/>
    <x v="8"/>
    <x v="0"/>
    <x v="2"/>
    <n v="1919"/>
    <s v="&lt; 100 $"/>
    <s v="Baixo (&lt; 100 $)"/>
    <s v="&lt; 7 anos"/>
    <s v="Estável (4-7 anos)"/>
    <x v="0"/>
    <x v="0"/>
    <s v="solteiro"/>
    <x v="0"/>
    <n v="3"/>
    <s v="carro ou outros-quitado"/>
    <n v="35"/>
    <x v="3"/>
    <s v="nenhum"/>
    <x v="2"/>
    <n v="1"/>
    <x v="0"/>
    <n v="1"/>
    <s v="sim"/>
    <x v="0"/>
    <n v="1"/>
  </r>
  <r>
    <n v="105"/>
    <x v="0"/>
    <s v="sem conta corrente"/>
    <s v="sem conta no banco"/>
    <x v="2"/>
    <x v="1"/>
    <x v="4"/>
    <n v="2445"/>
    <s v="sem poupança"/>
    <s v="sem poupança"/>
    <s v="&lt; 1 ano"/>
    <s v="Iniciante (&lt; 1 ano)"/>
    <x v="1"/>
    <x v="0"/>
    <s v="casado/viuvo"/>
    <x v="0"/>
    <n v="4"/>
    <s v="carro ou outros-quitado"/>
    <n v="26"/>
    <x v="3"/>
    <s v="nenhum"/>
    <x v="2"/>
    <n v="1"/>
    <x v="0"/>
    <n v="1"/>
    <s v="sim"/>
    <x v="0"/>
    <n v="1"/>
  </r>
  <r>
    <n v="106"/>
    <x v="1"/>
    <s v="&gt;= 0 &lt; 200 $"/>
    <s v="saldo baixo"/>
    <x v="4"/>
    <x v="0"/>
    <x v="8"/>
    <n v="11938"/>
    <s v="&lt; 100 $"/>
    <s v="Baixo (&lt; 100 $)"/>
    <s v="&lt; 4 anos"/>
    <s v="Intermediário (1-4 anos)"/>
    <x v="1"/>
    <x v="0"/>
    <s v="solteiro"/>
    <x v="2"/>
    <n v="3"/>
    <s v="carro ou outros-quitado"/>
    <n v="39"/>
    <x v="3"/>
    <s v="nenhum"/>
    <x v="0"/>
    <n v="2"/>
    <x v="2"/>
    <n v="2"/>
    <s v="sim"/>
    <x v="0"/>
    <n v="2"/>
  </r>
  <r>
    <n v="107"/>
    <x v="1"/>
    <s v="sem conta corrente"/>
    <s v="sem conta no banco"/>
    <x v="12"/>
    <x v="4"/>
    <x v="3"/>
    <n v="6458"/>
    <s v="&lt; 100 $"/>
    <s v="Baixo (&lt; 100 $)"/>
    <s v="&gt;= 7 anos"/>
    <s v="Muito Estável (&gt; 7 anos)"/>
    <x v="1"/>
    <x v="0"/>
    <s v="solteiro"/>
    <x v="0"/>
    <n v="4"/>
    <s v="sem bens"/>
    <n v="39"/>
    <x v="3"/>
    <s v="banco"/>
    <x v="0"/>
    <n v="2"/>
    <x v="2"/>
    <n v="2"/>
    <s v="sim"/>
    <x v="0"/>
    <n v="2"/>
  </r>
  <r>
    <n v="108"/>
    <x v="0"/>
    <s v="&gt;= 0 &lt; 200 $"/>
    <s v="saldo baixo"/>
    <x v="2"/>
    <x v="1"/>
    <x v="3"/>
    <n v="6078"/>
    <s v="&lt; 100 $"/>
    <s v="Baixo (&lt; 100 $)"/>
    <s v="&lt; 7 anos"/>
    <s v="Estável (4-7 anos)"/>
    <x v="1"/>
    <x v="0"/>
    <s v="solteiro"/>
    <x v="0"/>
    <n v="2"/>
    <s v="carro ou outros-quitado"/>
    <n v="32"/>
    <x v="3"/>
    <s v="nenhum"/>
    <x v="0"/>
    <n v="1"/>
    <x v="0"/>
    <n v="1"/>
    <s v="não"/>
    <x v="0"/>
    <n v="1"/>
  </r>
  <r>
    <n v="109"/>
    <x v="0"/>
    <s v="&lt; 0 $"/>
    <s v="negativo/devedor"/>
    <x v="4"/>
    <x v="1"/>
    <x v="2"/>
    <n v="7721"/>
    <s v="sem poupança"/>
    <s v="sem poupança"/>
    <s v="&lt; 1 ano"/>
    <s v="Iniciante (&lt; 1 ano)"/>
    <x v="3"/>
    <x v="1"/>
    <s v="divorciada/casada"/>
    <x v="0"/>
    <n v="2"/>
    <s v="poupança ou seguro de vida"/>
    <n v="30"/>
    <x v="3"/>
    <s v="nenhum"/>
    <x v="0"/>
    <n v="1"/>
    <x v="0"/>
    <n v="1"/>
    <s v="sim"/>
    <x v="1"/>
    <n v="1"/>
  </r>
  <r>
    <n v="110"/>
    <x v="0"/>
    <s v="&gt;= 0 &lt; 200 $"/>
    <s v="saldo baixo"/>
    <x v="19"/>
    <x v="1"/>
    <x v="5"/>
    <n v="1410"/>
    <s v="&gt;= 500 &lt; 1000 $"/>
    <s v="Alto (500-1000 $)"/>
    <s v="&gt;= 7 anos"/>
    <s v="Muito Estável (&gt; 7 anos)"/>
    <x v="3"/>
    <x v="0"/>
    <s v="casado/viuvo"/>
    <x v="0"/>
    <n v="2"/>
    <s v="imovel"/>
    <n v="35"/>
    <x v="3"/>
    <s v="nenhum"/>
    <x v="0"/>
    <n v="1"/>
    <x v="0"/>
    <n v="1"/>
    <s v="sim"/>
    <x v="0"/>
    <n v="1"/>
  </r>
  <r>
    <n v="111"/>
    <x v="0"/>
    <s v="&gt;= 0 &lt; 200 $"/>
    <s v="saldo baixo"/>
    <x v="0"/>
    <x v="2"/>
    <x v="5"/>
    <n v="1449"/>
    <s v="&gt;= 100 &lt; 500 $"/>
    <s v="Médio (100-500$)"/>
    <s v="&gt;= 7 anos"/>
    <s v="Muito Estável (&gt; 7 anos)"/>
    <x v="3"/>
    <x v="0"/>
    <s v="divorciado"/>
    <x v="0"/>
    <n v="2"/>
    <s v="carro ou outros-quitado"/>
    <n v="31"/>
    <x v="3"/>
    <s v="banco"/>
    <x v="0"/>
    <n v="2"/>
    <x v="0"/>
    <n v="2"/>
    <s v="não"/>
    <x v="0"/>
    <n v="1"/>
  </r>
  <r>
    <n v="112"/>
    <x v="0"/>
    <s v="&gt;= 200 $"/>
    <s v="saldo saudável"/>
    <x v="7"/>
    <x v="1"/>
    <x v="1"/>
    <n v="392"/>
    <s v="&lt; 100 $"/>
    <s v="Baixo (&lt; 100 $)"/>
    <s v="&lt; 1 ano"/>
    <s v="Iniciante (&lt; 1 ano)"/>
    <x v="0"/>
    <x v="1"/>
    <s v="divorciada/casada"/>
    <x v="0"/>
    <n v="4"/>
    <s v="poupança ou seguro de vida"/>
    <n v="23"/>
    <x v="1"/>
    <s v="nenhum"/>
    <x v="2"/>
    <n v="1"/>
    <x v="0"/>
    <n v="1"/>
    <s v="sim"/>
    <x v="0"/>
    <n v="1"/>
  </r>
  <r>
    <n v="113"/>
    <x v="0"/>
    <s v="&gt;= 0 &lt; 200 $"/>
    <s v="saldo baixo"/>
    <x v="12"/>
    <x v="1"/>
    <x v="3"/>
    <n v="6260"/>
    <s v="&lt; 100 $"/>
    <s v="Baixo (&lt; 100 $)"/>
    <s v="&lt; 7 anos"/>
    <s v="Estável (4-7 anos)"/>
    <x v="2"/>
    <x v="0"/>
    <s v="solteiro"/>
    <x v="0"/>
    <n v="3"/>
    <s v="imovel"/>
    <n v="28"/>
    <x v="3"/>
    <s v="nenhum"/>
    <x v="2"/>
    <n v="1"/>
    <x v="1"/>
    <n v="1"/>
    <s v="não"/>
    <x v="0"/>
    <n v="1"/>
  </r>
  <r>
    <n v="114"/>
    <x v="1"/>
    <s v="sem conta corrente"/>
    <s v="sem conta no banco"/>
    <x v="5"/>
    <x v="0"/>
    <x v="3"/>
    <n v="7855"/>
    <s v="&lt; 100 $"/>
    <s v="Baixo (&lt; 100 $)"/>
    <s v="&lt; 4 anos"/>
    <s v="Intermediário (1-4 anos)"/>
    <x v="0"/>
    <x v="1"/>
    <s v="divorciada/casada"/>
    <x v="0"/>
    <n v="2"/>
    <s v="imovel"/>
    <n v="25"/>
    <x v="3"/>
    <s v="loja"/>
    <x v="0"/>
    <n v="2"/>
    <x v="0"/>
    <n v="1"/>
    <s v="sim"/>
    <x v="0"/>
    <n v="2"/>
  </r>
  <r>
    <n v="115"/>
    <x v="0"/>
    <s v="&lt; 0 $"/>
    <s v="negativo/devedor"/>
    <x v="2"/>
    <x v="1"/>
    <x v="0"/>
    <n v="1680"/>
    <s v="&gt;= 500 &lt; 1000 $"/>
    <s v="Alto (500-1000 $)"/>
    <s v="&gt;= 7 anos"/>
    <s v="Muito Estável (&gt; 7 anos)"/>
    <x v="2"/>
    <x v="0"/>
    <s v="casado/viuvo"/>
    <x v="0"/>
    <n v="1"/>
    <s v="imovel"/>
    <n v="35"/>
    <x v="3"/>
    <s v="nenhum"/>
    <x v="0"/>
    <n v="1"/>
    <x v="0"/>
    <n v="1"/>
    <s v="não"/>
    <x v="0"/>
    <n v="1"/>
  </r>
  <r>
    <n v="116"/>
    <x v="0"/>
    <s v="sem conta corrente"/>
    <s v="sem conta no banco"/>
    <x v="1"/>
    <x v="0"/>
    <x v="0"/>
    <n v="3578"/>
    <s v="sem poupança"/>
    <s v="sem poupança"/>
    <s v="&gt;= 7 anos"/>
    <s v="Muito Estável (&gt; 7 anos)"/>
    <x v="0"/>
    <x v="0"/>
    <s v="solteiro"/>
    <x v="0"/>
    <n v="1"/>
    <s v="imovel"/>
    <n v="47"/>
    <x v="2"/>
    <s v="nenhum"/>
    <x v="0"/>
    <n v="1"/>
    <x v="0"/>
    <n v="1"/>
    <s v="sim"/>
    <x v="0"/>
    <n v="1"/>
  </r>
  <r>
    <n v="117"/>
    <x v="1"/>
    <s v="&lt; 0 $"/>
    <s v="negativo/devedor"/>
    <x v="3"/>
    <x v="1"/>
    <x v="0"/>
    <n v="7174"/>
    <s v="sem poupança"/>
    <s v="sem poupança"/>
    <s v="&lt; 7 anos"/>
    <s v="Estável (4-7 anos)"/>
    <x v="0"/>
    <x v="1"/>
    <s v="divorciada/casada"/>
    <x v="0"/>
    <n v="3"/>
    <s v="carro ou outros-quitado"/>
    <n v="30"/>
    <x v="3"/>
    <s v="nenhum"/>
    <x v="0"/>
    <n v="1"/>
    <x v="2"/>
    <n v="1"/>
    <s v="sim"/>
    <x v="0"/>
    <n v="2"/>
  </r>
  <r>
    <n v="118"/>
    <x v="0"/>
    <s v="&lt; 0 $"/>
    <s v="negativo/devedor"/>
    <x v="9"/>
    <x v="0"/>
    <x v="2"/>
    <n v="2132"/>
    <s v="sem poupança"/>
    <s v="sem poupança"/>
    <s v="&lt; 1 ano"/>
    <s v="Iniciante (&lt; 1 ano)"/>
    <x v="1"/>
    <x v="1"/>
    <s v="divorciada/casada"/>
    <x v="2"/>
    <n v="3"/>
    <s v="imovel"/>
    <n v="27"/>
    <x v="3"/>
    <s v="nenhum"/>
    <x v="2"/>
    <n v="2"/>
    <x v="0"/>
    <n v="1"/>
    <s v="não"/>
    <x v="1"/>
    <n v="1"/>
  </r>
  <r>
    <n v="119"/>
    <x v="1"/>
    <s v="&lt; 0 $"/>
    <s v="negativo/devedor"/>
    <x v="20"/>
    <x v="0"/>
    <x v="2"/>
    <n v="4281"/>
    <s v="&gt;= 500 &lt; 1000 $"/>
    <s v="Alto (500-1000 $)"/>
    <s v="&lt; 4 anos"/>
    <s v="Intermediário (1-4 anos)"/>
    <x v="3"/>
    <x v="1"/>
    <s v="divorciada/casada"/>
    <x v="0"/>
    <n v="4"/>
    <s v="carro ou outros-quitado"/>
    <n v="23"/>
    <x v="1"/>
    <s v="nenhum"/>
    <x v="0"/>
    <n v="2"/>
    <x v="0"/>
    <n v="1"/>
    <s v="não"/>
    <x v="0"/>
    <n v="2"/>
  </r>
  <r>
    <n v="120"/>
    <x v="0"/>
    <s v="&gt;= 0 &lt; 200 $"/>
    <s v="saldo baixo"/>
    <x v="2"/>
    <x v="0"/>
    <x v="3"/>
    <n v="2366"/>
    <s v="&gt;= 500 &lt; 1000 $"/>
    <s v="Alto (500-1000 $)"/>
    <s v="&lt; 7 anos"/>
    <s v="Estável (4-7 anos)"/>
    <x v="2"/>
    <x v="0"/>
    <s v="divorciado"/>
    <x v="0"/>
    <n v="3"/>
    <s v="carro ou outros-quitado"/>
    <n v="36"/>
    <x v="3"/>
    <s v="nenhum"/>
    <x v="0"/>
    <n v="1"/>
    <x v="2"/>
    <n v="1"/>
    <s v="sim"/>
    <x v="0"/>
    <n v="1"/>
  </r>
  <r>
    <n v="121"/>
    <x v="1"/>
    <s v="&lt; 0 $"/>
    <s v="negativo/devedor"/>
    <x v="21"/>
    <x v="1"/>
    <x v="0"/>
    <n v="1835"/>
    <s v="&lt; 100 $"/>
    <s v="Baixo (&lt; 100 $)"/>
    <s v="&lt; 4 anos"/>
    <s v="Intermediário (1-4 anos)"/>
    <x v="2"/>
    <x v="1"/>
    <s v="divorciada/casada"/>
    <x v="0"/>
    <n v="2"/>
    <s v="imovel"/>
    <n v="25"/>
    <x v="3"/>
    <s v="nenhum"/>
    <x v="0"/>
    <n v="2"/>
    <x v="0"/>
    <n v="1"/>
    <s v="sim"/>
    <x v="0"/>
    <n v="2"/>
  </r>
  <r>
    <n v="122"/>
    <x v="0"/>
    <s v="sem conta corrente"/>
    <s v="sem conta no banco"/>
    <x v="4"/>
    <x v="0"/>
    <x v="4"/>
    <n v="3868"/>
    <s v="&lt; 100 $"/>
    <s v="Baixo (&lt; 100 $)"/>
    <s v="&gt;= 7 anos"/>
    <s v="Muito Estável (&gt; 7 anos)"/>
    <x v="0"/>
    <x v="1"/>
    <s v="divorciada/casada"/>
    <x v="0"/>
    <n v="2"/>
    <s v="carro ou outros-quitado"/>
    <n v="41"/>
    <x v="2"/>
    <s v="nenhum"/>
    <x v="2"/>
    <n v="2"/>
    <x v="2"/>
    <n v="1"/>
    <s v="sim"/>
    <x v="0"/>
    <n v="1"/>
  </r>
  <r>
    <n v="123"/>
    <x v="0"/>
    <s v="sem conta corrente"/>
    <s v="sem conta no banco"/>
    <x v="2"/>
    <x v="1"/>
    <x v="2"/>
    <n v="1768"/>
    <s v="&lt; 100 $"/>
    <s v="Baixo (&lt; 100 $)"/>
    <s v="&lt; 4 anos"/>
    <s v="Intermediário (1-4 anos)"/>
    <x v="2"/>
    <x v="0"/>
    <s v="solteiro"/>
    <x v="0"/>
    <n v="2"/>
    <s v="imovel"/>
    <n v="24"/>
    <x v="1"/>
    <s v="nenhum"/>
    <x v="2"/>
    <n v="1"/>
    <x v="1"/>
    <n v="1"/>
    <s v="não"/>
    <x v="0"/>
    <n v="1"/>
  </r>
  <r>
    <n v="124"/>
    <x v="0"/>
    <s v="&gt;= 200 $"/>
    <s v="saldo saudável"/>
    <x v="9"/>
    <x v="0"/>
    <x v="3"/>
    <n v="781"/>
    <s v="&lt; 100 $"/>
    <s v="Baixo (&lt; 100 $)"/>
    <s v="&gt;= 7 anos"/>
    <s v="Muito Estável (&gt; 7 anos)"/>
    <x v="0"/>
    <x v="0"/>
    <s v="solteiro"/>
    <x v="0"/>
    <n v="4"/>
    <s v="sem bens"/>
    <n v="63"/>
    <x v="0"/>
    <s v="nenhum"/>
    <x v="1"/>
    <n v="2"/>
    <x v="0"/>
    <n v="1"/>
    <s v="sim"/>
    <x v="0"/>
    <n v="1"/>
  </r>
  <r>
    <n v="125"/>
    <x v="1"/>
    <s v="&gt;= 0 &lt; 200 $"/>
    <s v="saldo baixo"/>
    <x v="12"/>
    <x v="1"/>
    <x v="2"/>
    <n v="1924"/>
    <s v="sem poupança"/>
    <s v="sem poupança"/>
    <s v="&lt; 1 ano"/>
    <s v="Iniciante (&lt; 1 ano)"/>
    <x v="0"/>
    <x v="1"/>
    <s v="divorciada/casada"/>
    <x v="0"/>
    <n v="3"/>
    <s v="imovel"/>
    <n v="27"/>
    <x v="3"/>
    <s v="nenhum"/>
    <x v="2"/>
    <n v="1"/>
    <x v="0"/>
    <n v="1"/>
    <s v="não"/>
    <x v="0"/>
    <n v="2"/>
  </r>
  <r>
    <n v="126"/>
    <x v="0"/>
    <s v="&lt; 0 $"/>
    <s v="negativo/devedor"/>
    <x v="2"/>
    <x v="0"/>
    <x v="3"/>
    <n v="2121"/>
    <s v="&lt; 100 $"/>
    <s v="Baixo (&lt; 100 $)"/>
    <s v="&lt; 4 anos"/>
    <s v="Intermediário (1-4 anos)"/>
    <x v="0"/>
    <x v="0"/>
    <s v="solteiro"/>
    <x v="0"/>
    <n v="2"/>
    <s v="poupança ou seguro de vida"/>
    <n v="30"/>
    <x v="3"/>
    <s v="nenhum"/>
    <x v="0"/>
    <n v="2"/>
    <x v="0"/>
    <n v="1"/>
    <s v="não"/>
    <x v="0"/>
    <n v="1"/>
  </r>
  <r>
    <n v="127"/>
    <x v="0"/>
    <s v="&lt; 0 $"/>
    <s v="negativo/devedor"/>
    <x v="2"/>
    <x v="1"/>
    <x v="0"/>
    <n v="701"/>
    <s v="&lt; 100 $"/>
    <s v="Baixo (&lt; 100 $)"/>
    <s v="&lt; 4 anos"/>
    <s v="Intermediário (1-4 anos)"/>
    <x v="0"/>
    <x v="0"/>
    <s v="casado/viuvo"/>
    <x v="0"/>
    <n v="2"/>
    <s v="imovel"/>
    <n v="40"/>
    <x v="2"/>
    <s v="nenhum"/>
    <x v="0"/>
    <n v="1"/>
    <x v="1"/>
    <n v="1"/>
    <s v="não"/>
    <x v="0"/>
    <n v="1"/>
  </r>
  <r>
    <n v="128"/>
    <x v="1"/>
    <s v="&gt;= 0 &lt; 200 $"/>
    <s v="saldo baixo"/>
    <x v="2"/>
    <x v="1"/>
    <x v="7"/>
    <n v="639"/>
    <s v="&lt; 100 $"/>
    <s v="Baixo (&lt; 100 $)"/>
    <s v="&lt; 4 anos"/>
    <s v="Intermediário (1-4 anos)"/>
    <x v="0"/>
    <x v="0"/>
    <s v="solteiro"/>
    <x v="0"/>
    <n v="2"/>
    <s v="carro ou outros-quitado"/>
    <n v="30"/>
    <x v="3"/>
    <s v="nenhum"/>
    <x v="0"/>
    <n v="1"/>
    <x v="0"/>
    <n v="1"/>
    <s v="não"/>
    <x v="0"/>
    <n v="2"/>
  </r>
  <r>
    <n v="129"/>
    <x v="0"/>
    <s v="&gt;= 0 &lt; 200 $"/>
    <s v="saldo baixo"/>
    <x v="2"/>
    <x v="0"/>
    <x v="4"/>
    <n v="1860"/>
    <s v="&lt; 100 $"/>
    <s v="Baixo (&lt; 100 $)"/>
    <s v="desempregado"/>
    <s v="desempregado"/>
    <x v="0"/>
    <x v="0"/>
    <s v="solteiro"/>
    <x v="0"/>
    <n v="2"/>
    <s v="carro ou outros-quitado"/>
    <n v="34"/>
    <x v="3"/>
    <s v="nenhum"/>
    <x v="0"/>
    <n v="2"/>
    <x v="2"/>
    <n v="1"/>
    <s v="sim"/>
    <x v="0"/>
    <n v="1"/>
  </r>
  <r>
    <n v="130"/>
    <x v="1"/>
    <s v="&lt; 0 $"/>
    <s v="negativo/devedor"/>
    <x v="2"/>
    <x v="0"/>
    <x v="3"/>
    <n v="3499"/>
    <s v="&lt; 100 $"/>
    <s v="Baixo (&lt; 100 $)"/>
    <s v="&lt; 4 anos"/>
    <s v="Intermediário (1-4 anos)"/>
    <x v="2"/>
    <x v="1"/>
    <s v="divorciada/casada"/>
    <x v="2"/>
    <n v="2"/>
    <s v="imovel"/>
    <n v="29"/>
    <x v="3"/>
    <s v="nenhum"/>
    <x v="0"/>
    <n v="2"/>
    <x v="0"/>
    <n v="1"/>
    <s v="não"/>
    <x v="0"/>
    <n v="2"/>
  </r>
  <r>
    <n v="131"/>
    <x v="0"/>
    <s v="&gt;= 0 &lt; 200 $"/>
    <s v="saldo baixo"/>
    <x v="1"/>
    <x v="1"/>
    <x v="3"/>
    <n v="8487"/>
    <s v="sem poupança"/>
    <s v="sem poupança"/>
    <s v="&lt; 7 anos"/>
    <s v="Estável (4-7 anos)"/>
    <x v="3"/>
    <x v="1"/>
    <s v="divorciada/casada"/>
    <x v="0"/>
    <n v="2"/>
    <s v="carro ou outros-quitado"/>
    <n v="24"/>
    <x v="1"/>
    <s v="nenhum"/>
    <x v="0"/>
    <n v="1"/>
    <x v="0"/>
    <n v="1"/>
    <s v="não"/>
    <x v="0"/>
    <n v="1"/>
  </r>
  <r>
    <n v="132"/>
    <x v="1"/>
    <s v="&lt; 0 $"/>
    <s v="negativo/devedor"/>
    <x v="5"/>
    <x v="2"/>
    <x v="1"/>
    <n v="6887"/>
    <s v="&lt; 100 $"/>
    <s v="Baixo (&lt; 100 $)"/>
    <s v="&lt; 4 anos"/>
    <s v="Intermediário (1-4 anos)"/>
    <x v="0"/>
    <x v="0"/>
    <s v="solteiro"/>
    <x v="0"/>
    <n v="3"/>
    <s v="poupança ou seguro de vida"/>
    <n v="29"/>
    <x v="3"/>
    <s v="loja"/>
    <x v="0"/>
    <n v="1"/>
    <x v="0"/>
    <n v="1"/>
    <s v="sim"/>
    <x v="0"/>
    <n v="2"/>
  </r>
  <r>
    <n v="133"/>
    <x v="0"/>
    <s v="sem conta corrente"/>
    <s v="sem conta no banco"/>
    <x v="7"/>
    <x v="1"/>
    <x v="2"/>
    <n v="2708"/>
    <s v="&lt; 100 $"/>
    <s v="Baixo (&lt; 100 $)"/>
    <s v="&lt; 1 ano"/>
    <s v="Iniciante (&lt; 1 ano)"/>
    <x v="1"/>
    <x v="0"/>
    <s v="solteiro"/>
    <x v="0"/>
    <n v="3"/>
    <s v="poupança ou seguro de vida"/>
    <n v="27"/>
    <x v="3"/>
    <s v="banco"/>
    <x v="0"/>
    <n v="2"/>
    <x v="1"/>
    <n v="1"/>
    <s v="não"/>
    <x v="0"/>
    <n v="1"/>
  </r>
  <r>
    <n v="134"/>
    <x v="0"/>
    <s v="sem conta corrente"/>
    <s v="sem conta no banco"/>
    <x v="12"/>
    <x v="1"/>
    <x v="2"/>
    <n v="1984"/>
    <s v="&lt; 100 $"/>
    <s v="Baixo (&lt; 100 $)"/>
    <s v="&lt; 4 anos"/>
    <s v="Intermediário (1-4 anos)"/>
    <x v="0"/>
    <x v="0"/>
    <s v="solteiro"/>
    <x v="0"/>
    <n v="4"/>
    <s v="sem bens"/>
    <n v="47"/>
    <x v="2"/>
    <s v="banco"/>
    <x v="1"/>
    <n v="2"/>
    <x v="0"/>
    <n v="1"/>
    <s v="não"/>
    <x v="0"/>
    <n v="1"/>
  </r>
  <r>
    <n v="135"/>
    <x v="0"/>
    <s v="sem conta corrente"/>
    <s v="sem conta no banco"/>
    <x v="11"/>
    <x v="1"/>
    <x v="0"/>
    <n v="10144"/>
    <s v="&gt;= 100 &lt; 500 $"/>
    <s v="Médio (100-500$)"/>
    <s v="&lt; 7 anos"/>
    <s v="Estável (4-7 anos)"/>
    <x v="1"/>
    <x v="1"/>
    <s v="divorciada/casada"/>
    <x v="0"/>
    <n v="4"/>
    <s v="imovel"/>
    <n v="21"/>
    <x v="1"/>
    <s v="nenhum"/>
    <x v="0"/>
    <n v="1"/>
    <x v="0"/>
    <n v="1"/>
    <s v="sim"/>
    <x v="0"/>
    <n v="1"/>
  </r>
  <r>
    <n v="136"/>
    <x v="0"/>
    <s v="sem conta corrente"/>
    <s v="sem conta no banco"/>
    <x v="2"/>
    <x v="0"/>
    <x v="0"/>
    <n v="1240"/>
    <s v="sem poupança"/>
    <s v="sem poupança"/>
    <s v="&gt;= 7 anos"/>
    <s v="Muito Estável (&gt; 7 anos)"/>
    <x v="0"/>
    <x v="1"/>
    <s v="divorciada/casada"/>
    <x v="0"/>
    <n v="2"/>
    <s v="imovel"/>
    <n v="38"/>
    <x v="3"/>
    <s v="nenhum"/>
    <x v="0"/>
    <n v="2"/>
    <x v="0"/>
    <n v="1"/>
    <s v="sim"/>
    <x v="0"/>
    <n v="1"/>
  </r>
  <r>
    <n v="137"/>
    <x v="0"/>
    <s v="sem conta corrente"/>
    <s v="sem conta no banco"/>
    <x v="15"/>
    <x v="2"/>
    <x v="4"/>
    <n v="8613"/>
    <s v="&gt;= 1000 $"/>
    <s v="Muito alto (&gt;1000$)"/>
    <s v="&lt; 4 anos"/>
    <s v="Intermediário (1-4 anos)"/>
    <x v="1"/>
    <x v="0"/>
    <s v="solteiro"/>
    <x v="0"/>
    <n v="2"/>
    <s v="carro ou outros-quitado"/>
    <n v="27"/>
    <x v="3"/>
    <s v="nenhum"/>
    <x v="0"/>
    <n v="2"/>
    <x v="0"/>
    <n v="1"/>
    <s v="não"/>
    <x v="0"/>
    <n v="1"/>
  </r>
  <r>
    <n v="138"/>
    <x v="1"/>
    <s v="&gt;= 0 &lt; 200 $"/>
    <s v="saldo baixo"/>
    <x v="2"/>
    <x v="1"/>
    <x v="0"/>
    <n v="766"/>
    <s v="&gt;= 500 &lt; 1000 $"/>
    <s v="Alto (500-1000 $)"/>
    <s v="&lt; 4 anos"/>
    <s v="Intermediário (1-4 anos)"/>
    <x v="0"/>
    <x v="0"/>
    <s v="solteiro"/>
    <x v="0"/>
    <n v="3"/>
    <s v="imovel"/>
    <n v="66"/>
    <x v="0"/>
    <s v="nenhum"/>
    <x v="0"/>
    <n v="1"/>
    <x v="1"/>
    <n v="1"/>
    <s v="não"/>
    <x v="0"/>
    <n v="2"/>
  </r>
  <r>
    <n v="139"/>
    <x v="0"/>
    <s v="&gt;= 0 &lt; 200 $"/>
    <s v="saldo baixo"/>
    <x v="7"/>
    <x v="0"/>
    <x v="0"/>
    <n v="2728"/>
    <s v="sem poupança"/>
    <s v="sem poupança"/>
    <s v="&lt; 7 anos"/>
    <s v="Estável (4-7 anos)"/>
    <x v="0"/>
    <x v="0"/>
    <s v="solteiro"/>
    <x v="1"/>
    <n v="2"/>
    <s v="imovel"/>
    <n v="35"/>
    <x v="3"/>
    <s v="banco"/>
    <x v="0"/>
    <n v="3"/>
    <x v="0"/>
    <n v="1"/>
    <s v="sim"/>
    <x v="0"/>
    <n v="1"/>
  </r>
  <r>
    <n v="140"/>
    <x v="0"/>
    <s v="&gt;= 200 $"/>
    <s v="saldo saudável"/>
    <x v="2"/>
    <x v="1"/>
    <x v="0"/>
    <n v="1881"/>
    <s v="&lt; 100 $"/>
    <s v="Baixo (&lt; 100 $)"/>
    <s v="&lt; 4 anos"/>
    <s v="Intermediário (1-4 anos)"/>
    <x v="1"/>
    <x v="1"/>
    <s v="divorciada/casada"/>
    <x v="0"/>
    <n v="2"/>
    <s v="carro ou outros-quitado"/>
    <n v="44"/>
    <x v="2"/>
    <s v="nenhum"/>
    <x v="2"/>
    <n v="1"/>
    <x v="1"/>
    <n v="1"/>
    <s v="sim"/>
    <x v="0"/>
    <n v="1"/>
  </r>
  <r>
    <n v="141"/>
    <x v="0"/>
    <s v="&gt;= 200 $"/>
    <s v="saldo saudável"/>
    <x v="0"/>
    <x v="1"/>
    <x v="3"/>
    <n v="709"/>
    <s v="&gt;= 1000 $"/>
    <s v="Muito alto (&gt;1000$)"/>
    <s v="&lt; 1 ano"/>
    <s v="Iniciante (&lt; 1 ano)"/>
    <x v="1"/>
    <x v="0"/>
    <s v="casado/viuvo"/>
    <x v="0"/>
    <n v="2"/>
    <s v="imovel"/>
    <n v="27"/>
    <x v="3"/>
    <s v="nenhum"/>
    <x v="0"/>
    <n v="1"/>
    <x v="3"/>
    <n v="1"/>
    <s v="não"/>
    <x v="1"/>
    <n v="1"/>
  </r>
  <r>
    <n v="142"/>
    <x v="0"/>
    <s v="&gt;= 0 &lt; 200 $"/>
    <s v="saldo baixo"/>
    <x v="5"/>
    <x v="1"/>
    <x v="0"/>
    <n v="4795"/>
    <s v="&lt; 100 $"/>
    <s v="Baixo (&lt; 100 $)"/>
    <s v="&lt; 1 ano"/>
    <s v="Iniciante (&lt; 1 ano)"/>
    <x v="0"/>
    <x v="1"/>
    <s v="divorciada/casada"/>
    <x v="0"/>
    <n v="1"/>
    <s v="sem bens"/>
    <n v="30"/>
    <x v="3"/>
    <s v="nenhum"/>
    <x v="0"/>
    <n v="1"/>
    <x v="2"/>
    <n v="1"/>
    <s v="sim"/>
    <x v="0"/>
    <n v="1"/>
  </r>
  <r>
    <n v="143"/>
    <x v="0"/>
    <s v="&lt; 0 $"/>
    <s v="negativo/devedor"/>
    <x v="15"/>
    <x v="1"/>
    <x v="0"/>
    <n v="3416"/>
    <s v="&lt; 100 $"/>
    <s v="Baixo (&lt; 100 $)"/>
    <s v="&lt; 4 anos"/>
    <s v="Intermediário (1-4 anos)"/>
    <x v="2"/>
    <x v="0"/>
    <s v="solteiro"/>
    <x v="0"/>
    <n v="2"/>
    <s v="carro ou outros-quitado"/>
    <n v="27"/>
    <x v="3"/>
    <s v="nenhum"/>
    <x v="0"/>
    <n v="1"/>
    <x v="2"/>
    <n v="1"/>
    <s v="não"/>
    <x v="0"/>
    <n v="1"/>
  </r>
  <r>
    <n v="144"/>
    <x v="1"/>
    <s v="&lt; 0 $"/>
    <s v="negativo/devedor"/>
    <x v="12"/>
    <x v="1"/>
    <x v="2"/>
    <n v="2462"/>
    <s v="&lt; 100 $"/>
    <s v="Baixo (&lt; 100 $)"/>
    <s v="&lt; 4 anos"/>
    <s v="Intermediário (1-4 anos)"/>
    <x v="1"/>
    <x v="0"/>
    <s v="solteiro"/>
    <x v="0"/>
    <n v="2"/>
    <s v="carro ou outros-quitado"/>
    <n v="22"/>
    <x v="1"/>
    <s v="nenhum"/>
    <x v="0"/>
    <n v="1"/>
    <x v="0"/>
    <n v="1"/>
    <s v="não"/>
    <x v="0"/>
    <n v="2"/>
  </r>
  <r>
    <n v="145"/>
    <x v="0"/>
    <s v="sem conta corrente"/>
    <s v="sem conta no banco"/>
    <x v="21"/>
    <x v="0"/>
    <x v="2"/>
    <n v="2288"/>
    <s v="&lt; 100 $"/>
    <s v="Baixo (&lt; 100 $)"/>
    <s v="&lt; 1 ano"/>
    <s v="Iniciante (&lt; 1 ano)"/>
    <x v="0"/>
    <x v="1"/>
    <s v="divorciada/casada"/>
    <x v="0"/>
    <n v="4"/>
    <s v="poupança ou seguro de vida"/>
    <n v="23"/>
    <x v="1"/>
    <s v="nenhum"/>
    <x v="0"/>
    <n v="1"/>
    <x v="0"/>
    <n v="1"/>
    <s v="sim"/>
    <x v="0"/>
    <n v="1"/>
  </r>
  <r>
    <n v="146"/>
    <x v="0"/>
    <s v="&gt;= 0 &lt; 200 $"/>
    <s v="saldo baixo"/>
    <x v="1"/>
    <x v="4"/>
    <x v="5"/>
    <n v="3566"/>
    <s v="&gt;= 100 &lt; 500 $"/>
    <s v="Médio (100-500$)"/>
    <s v="&lt; 7 anos"/>
    <s v="Estável (4-7 anos)"/>
    <x v="0"/>
    <x v="0"/>
    <s v="solteiro"/>
    <x v="0"/>
    <n v="2"/>
    <s v="carro ou outros-quitado"/>
    <n v="30"/>
    <x v="3"/>
    <s v="nenhum"/>
    <x v="0"/>
    <n v="1"/>
    <x v="0"/>
    <n v="1"/>
    <s v="não"/>
    <x v="0"/>
    <n v="1"/>
  </r>
  <r>
    <n v="147"/>
    <x v="0"/>
    <s v="&lt; 0 $"/>
    <s v="negativo/devedor"/>
    <x v="0"/>
    <x v="0"/>
    <x v="3"/>
    <n v="860"/>
    <s v="&lt; 100 $"/>
    <s v="Baixo (&lt; 100 $)"/>
    <s v="&gt;= 7 anos"/>
    <s v="Muito Estável (&gt; 7 anos)"/>
    <x v="3"/>
    <x v="1"/>
    <s v="divorciada/casada"/>
    <x v="0"/>
    <n v="4"/>
    <s v="sem bens"/>
    <n v="39"/>
    <x v="3"/>
    <s v="nenhum"/>
    <x v="0"/>
    <n v="2"/>
    <x v="0"/>
    <n v="1"/>
    <s v="sim"/>
    <x v="0"/>
    <n v="1"/>
  </r>
  <r>
    <n v="148"/>
    <x v="0"/>
    <s v="sem conta corrente"/>
    <s v="sem conta no banco"/>
    <x v="2"/>
    <x v="0"/>
    <x v="3"/>
    <n v="682"/>
    <s v="&gt;= 100 &lt; 500 $"/>
    <s v="Médio (100-500$)"/>
    <s v="&lt; 7 anos"/>
    <s v="Estável (4-7 anos)"/>
    <x v="0"/>
    <x v="1"/>
    <s v="divorciada/casada"/>
    <x v="0"/>
    <n v="3"/>
    <s v="carro ou outros-quitado"/>
    <n v="51"/>
    <x v="2"/>
    <s v="nenhum"/>
    <x v="0"/>
    <n v="2"/>
    <x v="0"/>
    <n v="1"/>
    <s v="sim"/>
    <x v="0"/>
    <n v="1"/>
  </r>
  <r>
    <n v="149"/>
    <x v="0"/>
    <s v="&lt; 0 $"/>
    <s v="negativo/devedor"/>
    <x v="5"/>
    <x v="0"/>
    <x v="2"/>
    <n v="5371"/>
    <s v="&lt; 100 $"/>
    <s v="Baixo (&lt; 100 $)"/>
    <s v="&lt; 4 anos"/>
    <s v="Intermediário (1-4 anos)"/>
    <x v="2"/>
    <x v="0"/>
    <s v="solteiro"/>
    <x v="1"/>
    <n v="2"/>
    <s v="poupança ou seguro de vida"/>
    <n v="28"/>
    <x v="3"/>
    <s v="nenhum"/>
    <x v="0"/>
    <n v="2"/>
    <x v="0"/>
    <n v="1"/>
    <s v="não"/>
    <x v="0"/>
    <n v="1"/>
  </r>
  <r>
    <n v="150"/>
    <x v="0"/>
    <s v="sem conta corrente"/>
    <s v="sem conta no banco"/>
    <x v="12"/>
    <x v="0"/>
    <x v="0"/>
    <n v="1582"/>
    <s v="&gt;= 1000 $"/>
    <s v="Muito alto (&gt;1000$)"/>
    <s v="&gt;= 7 anos"/>
    <s v="Muito Estável (&gt; 7 anos)"/>
    <x v="0"/>
    <x v="0"/>
    <s v="solteiro"/>
    <x v="0"/>
    <n v="4"/>
    <s v="carro ou outros-quitado"/>
    <n v="46"/>
    <x v="2"/>
    <s v="nenhum"/>
    <x v="0"/>
    <n v="2"/>
    <x v="0"/>
    <n v="1"/>
    <s v="não"/>
    <x v="0"/>
    <n v="1"/>
  </r>
  <r>
    <n v="151"/>
    <x v="0"/>
    <s v="sem conta corrente"/>
    <s v="sem conta no banco"/>
    <x v="0"/>
    <x v="1"/>
    <x v="0"/>
    <n v="1346"/>
    <s v="&gt;= 100 &lt; 500 $"/>
    <s v="Médio (100-500$)"/>
    <s v="&gt;= 7 anos"/>
    <s v="Muito Estável (&gt; 7 anos)"/>
    <x v="1"/>
    <x v="0"/>
    <s v="solteiro"/>
    <x v="0"/>
    <n v="4"/>
    <s v="sem bens"/>
    <n v="42"/>
    <x v="2"/>
    <s v="banco"/>
    <x v="1"/>
    <n v="1"/>
    <x v="0"/>
    <n v="2"/>
    <s v="sim"/>
    <x v="0"/>
    <n v="1"/>
  </r>
  <r>
    <n v="152"/>
    <x v="0"/>
    <s v="sem conta corrente"/>
    <s v="sem conta no banco"/>
    <x v="9"/>
    <x v="1"/>
    <x v="0"/>
    <n v="1924"/>
    <s v="&lt; 100 $"/>
    <s v="Baixo (&lt; 100 $)"/>
    <s v="&lt; 4 anos"/>
    <s v="Intermediário (1-4 anos)"/>
    <x v="3"/>
    <x v="0"/>
    <s v="solteiro"/>
    <x v="0"/>
    <n v="4"/>
    <s v="poupança ou seguro de vida"/>
    <n v="38"/>
    <x v="3"/>
    <s v="nenhum"/>
    <x v="0"/>
    <n v="1"/>
    <x v="0"/>
    <n v="1"/>
    <s v="sim"/>
    <x v="1"/>
    <n v="1"/>
  </r>
  <r>
    <n v="153"/>
    <x v="0"/>
    <s v="&gt;= 200 $"/>
    <s v="saldo saudável"/>
    <x v="5"/>
    <x v="1"/>
    <x v="0"/>
    <n v="5848"/>
    <s v="&lt; 100 $"/>
    <s v="Baixo (&lt; 100 $)"/>
    <s v="&lt; 4 anos"/>
    <s v="Intermediário (1-4 anos)"/>
    <x v="0"/>
    <x v="0"/>
    <s v="solteiro"/>
    <x v="0"/>
    <n v="1"/>
    <s v="carro ou outros-quitado"/>
    <n v="24"/>
    <x v="1"/>
    <s v="nenhum"/>
    <x v="0"/>
    <n v="1"/>
    <x v="0"/>
    <n v="1"/>
    <s v="não"/>
    <x v="0"/>
    <n v="1"/>
  </r>
  <r>
    <n v="154"/>
    <x v="0"/>
    <s v="&gt;= 0 &lt; 200 $"/>
    <s v="saldo baixo"/>
    <x v="4"/>
    <x v="0"/>
    <x v="4"/>
    <n v="7758"/>
    <s v="&gt;= 1000 $"/>
    <s v="Muito alto (&gt;1000$)"/>
    <s v="&gt;= 7 anos"/>
    <s v="Muito Estável (&gt; 7 anos)"/>
    <x v="1"/>
    <x v="1"/>
    <s v="divorciada/casada"/>
    <x v="0"/>
    <n v="4"/>
    <s v="sem bens"/>
    <n v="29"/>
    <x v="3"/>
    <s v="nenhum"/>
    <x v="2"/>
    <n v="1"/>
    <x v="0"/>
    <n v="1"/>
    <s v="não"/>
    <x v="0"/>
    <n v="1"/>
  </r>
  <r>
    <n v="155"/>
    <x v="0"/>
    <s v="&gt;= 0 &lt; 200 $"/>
    <s v="saldo baixo"/>
    <x v="4"/>
    <x v="2"/>
    <x v="5"/>
    <n v="6967"/>
    <s v="&gt;= 100 &lt; 500 $"/>
    <s v="Médio (100-500$)"/>
    <s v="&lt; 7 anos"/>
    <s v="Estável (4-7 anos)"/>
    <x v="0"/>
    <x v="0"/>
    <s v="solteiro"/>
    <x v="0"/>
    <n v="4"/>
    <s v="carro ou outros-quitado"/>
    <n v="36"/>
    <x v="3"/>
    <s v="nenhum"/>
    <x v="2"/>
    <n v="1"/>
    <x v="2"/>
    <n v="1"/>
    <s v="sim"/>
    <x v="0"/>
    <n v="1"/>
  </r>
  <r>
    <n v="156"/>
    <x v="1"/>
    <s v="&lt; 0 $"/>
    <s v="negativo/devedor"/>
    <x v="2"/>
    <x v="1"/>
    <x v="2"/>
    <n v="1282"/>
    <s v="&lt; 100 $"/>
    <s v="Baixo (&lt; 100 $)"/>
    <s v="&lt; 4 anos"/>
    <s v="Intermediário (1-4 anos)"/>
    <x v="1"/>
    <x v="1"/>
    <s v="divorciada/casada"/>
    <x v="0"/>
    <n v="4"/>
    <s v="carro ou outros-quitado"/>
    <n v="20"/>
    <x v="1"/>
    <s v="nenhum"/>
    <x v="2"/>
    <n v="1"/>
    <x v="0"/>
    <n v="1"/>
    <s v="não"/>
    <x v="0"/>
    <n v="2"/>
  </r>
  <r>
    <n v="157"/>
    <x v="0"/>
    <s v="&lt; 0 $"/>
    <s v="negativo/devedor"/>
    <x v="8"/>
    <x v="0"/>
    <x v="7"/>
    <n v="1288"/>
    <s v="&gt;= 100 &lt; 500 $"/>
    <s v="Médio (100-500$)"/>
    <s v="&gt;= 7 anos"/>
    <s v="Muito Estável (&gt; 7 anos)"/>
    <x v="2"/>
    <x v="0"/>
    <s v="solteiro"/>
    <x v="1"/>
    <n v="4"/>
    <s v="imovel"/>
    <n v="48"/>
    <x v="2"/>
    <s v="nenhum"/>
    <x v="0"/>
    <n v="2"/>
    <x v="0"/>
    <n v="2"/>
    <s v="não"/>
    <x v="1"/>
    <n v="1"/>
  </r>
  <r>
    <n v="158"/>
    <x v="0"/>
    <s v="&lt; 0 $"/>
    <s v="negativo/devedor"/>
    <x v="2"/>
    <x v="4"/>
    <x v="9"/>
    <n v="339"/>
    <s v="&lt; 100 $"/>
    <s v="Baixo (&lt; 100 $)"/>
    <s v="&gt;= 7 anos"/>
    <s v="Muito Estável (&gt; 7 anos)"/>
    <x v="0"/>
    <x v="0"/>
    <s v="casado/viuvo"/>
    <x v="0"/>
    <n v="1"/>
    <s v="carro ou outros-quitado"/>
    <n v="45"/>
    <x v="2"/>
    <s v="banco"/>
    <x v="0"/>
    <n v="1"/>
    <x v="1"/>
    <n v="1"/>
    <s v="não"/>
    <x v="0"/>
    <n v="1"/>
  </r>
  <r>
    <n v="159"/>
    <x v="0"/>
    <s v="&gt;= 0 &lt; 200 $"/>
    <s v="saldo baixo"/>
    <x v="4"/>
    <x v="1"/>
    <x v="3"/>
    <n v="3512"/>
    <s v="&gt;= 100 &lt; 500 $"/>
    <s v="Médio (100-500$)"/>
    <s v="&lt; 7 anos"/>
    <s v="Estável (4-7 anos)"/>
    <x v="1"/>
    <x v="0"/>
    <s v="solteiro"/>
    <x v="0"/>
    <n v="3"/>
    <s v="carro ou outros-quitado"/>
    <n v="38"/>
    <x v="3"/>
    <s v="banco"/>
    <x v="0"/>
    <n v="2"/>
    <x v="0"/>
    <n v="1"/>
    <s v="sim"/>
    <x v="0"/>
    <n v="1"/>
  </r>
  <r>
    <n v="160"/>
    <x v="0"/>
    <s v="sem conta corrente"/>
    <s v="sem conta no banco"/>
    <x v="0"/>
    <x v="0"/>
    <x v="0"/>
    <n v="1898"/>
    <s v="sem poupança"/>
    <s v="sem poupança"/>
    <s v="&lt; 4 anos"/>
    <s v="Intermediário (1-4 anos)"/>
    <x v="3"/>
    <x v="0"/>
    <s v="solteiro"/>
    <x v="0"/>
    <n v="2"/>
    <s v="imovel"/>
    <n v="34"/>
    <x v="3"/>
    <s v="nenhum"/>
    <x v="0"/>
    <n v="2"/>
    <x v="1"/>
    <n v="2"/>
    <s v="não"/>
    <x v="0"/>
    <n v="1"/>
  </r>
  <r>
    <n v="161"/>
    <x v="0"/>
    <s v="sem conta corrente"/>
    <s v="sem conta no banco"/>
    <x v="4"/>
    <x v="0"/>
    <x v="0"/>
    <n v="2872"/>
    <s v="&gt;= 100 &lt; 500 $"/>
    <s v="Médio (100-500$)"/>
    <s v="&gt;= 7 anos"/>
    <s v="Muito Estável (&gt; 7 anos)"/>
    <x v="2"/>
    <x v="0"/>
    <s v="solteiro"/>
    <x v="0"/>
    <n v="4"/>
    <s v="imovel"/>
    <n v="36"/>
    <x v="3"/>
    <s v="nenhum"/>
    <x v="0"/>
    <n v="1"/>
    <x v="0"/>
    <n v="2"/>
    <s v="sim"/>
    <x v="0"/>
    <n v="1"/>
  </r>
  <r>
    <n v="162"/>
    <x v="0"/>
    <s v="sem conta corrente"/>
    <s v="sem conta no banco"/>
    <x v="12"/>
    <x v="0"/>
    <x v="3"/>
    <n v="1055"/>
    <s v="&lt; 100 $"/>
    <s v="Baixo (&lt; 100 $)"/>
    <s v="&lt; 1 ano"/>
    <s v="Iniciante (&lt; 1 ano)"/>
    <x v="0"/>
    <x v="1"/>
    <s v="divorciada/casada"/>
    <x v="0"/>
    <n v="1"/>
    <s v="poupança ou seguro de vida"/>
    <n v="30"/>
    <x v="3"/>
    <s v="nenhum"/>
    <x v="0"/>
    <n v="2"/>
    <x v="0"/>
    <n v="1"/>
    <s v="não"/>
    <x v="0"/>
    <n v="1"/>
  </r>
  <r>
    <n v="163"/>
    <x v="0"/>
    <s v="sem conta corrente"/>
    <s v="sem conta no banco"/>
    <x v="7"/>
    <x v="1"/>
    <x v="6"/>
    <n v="1262"/>
    <s v="&gt;= 500 &lt; 1000 $"/>
    <s v="Alto (500-1000 $)"/>
    <s v="&lt; 7 anos"/>
    <s v="Estável (4-7 anos)"/>
    <x v="0"/>
    <x v="0"/>
    <s v="solteiro"/>
    <x v="0"/>
    <n v="3"/>
    <s v="poupança ou seguro de vida"/>
    <n v="36"/>
    <x v="3"/>
    <s v="nenhum"/>
    <x v="0"/>
    <n v="2"/>
    <x v="0"/>
    <n v="1"/>
    <s v="sim"/>
    <x v="0"/>
    <n v="1"/>
  </r>
  <r>
    <n v="164"/>
    <x v="0"/>
    <s v="&gt;= 0 &lt; 200 $"/>
    <s v="saldo baixo"/>
    <x v="9"/>
    <x v="1"/>
    <x v="3"/>
    <n v="7308"/>
    <s v="&lt; 100 $"/>
    <s v="Baixo (&lt; 100 $)"/>
    <s v="desempregado"/>
    <s v="desempregado"/>
    <x v="1"/>
    <x v="0"/>
    <s v="solteiro"/>
    <x v="0"/>
    <n v="4"/>
    <s v="sem bens"/>
    <n v="70"/>
    <x v="0"/>
    <s v="banco"/>
    <x v="1"/>
    <n v="1"/>
    <x v="2"/>
    <n v="1"/>
    <s v="sim"/>
    <x v="0"/>
    <n v="1"/>
  </r>
  <r>
    <n v="165"/>
    <x v="0"/>
    <s v="sem conta corrente"/>
    <s v="sem conta no banco"/>
    <x v="5"/>
    <x v="1"/>
    <x v="3"/>
    <n v="909"/>
    <s v="&gt;= 500 &lt; 1000 $"/>
    <s v="Alto (500-1000 $)"/>
    <s v="&gt;= 7 anos"/>
    <s v="Muito Estável (&gt; 7 anos)"/>
    <x v="0"/>
    <x v="0"/>
    <s v="solteiro"/>
    <x v="0"/>
    <n v="4"/>
    <s v="poupança ou seguro de vida"/>
    <n v="36"/>
    <x v="3"/>
    <s v="nenhum"/>
    <x v="0"/>
    <n v="1"/>
    <x v="0"/>
    <n v="1"/>
    <s v="não"/>
    <x v="0"/>
    <n v="1"/>
  </r>
  <r>
    <n v="166"/>
    <x v="0"/>
    <s v="sem conta corrente"/>
    <s v="sem conta no banco"/>
    <x v="0"/>
    <x v="1"/>
    <x v="2"/>
    <n v="2978"/>
    <s v="&gt;= 500 &lt; 1000 $"/>
    <s v="Alto (500-1000 $)"/>
    <s v="&lt; 4 anos"/>
    <s v="Intermediário (1-4 anos)"/>
    <x v="3"/>
    <x v="0"/>
    <s v="solteiro"/>
    <x v="0"/>
    <n v="2"/>
    <s v="carro ou outros-quitado"/>
    <n v="32"/>
    <x v="3"/>
    <s v="nenhum"/>
    <x v="0"/>
    <n v="1"/>
    <x v="0"/>
    <n v="1"/>
    <s v="sim"/>
    <x v="0"/>
    <n v="1"/>
  </r>
  <r>
    <n v="167"/>
    <x v="1"/>
    <s v="&lt; 0 $"/>
    <s v="negativo/devedor"/>
    <x v="12"/>
    <x v="1"/>
    <x v="2"/>
    <n v="1131"/>
    <s v="&lt; 100 $"/>
    <s v="Baixo (&lt; 100 $)"/>
    <s v="desempregado"/>
    <s v="desempregado"/>
    <x v="0"/>
    <x v="1"/>
    <s v="divorciada/casada"/>
    <x v="0"/>
    <n v="2"/>
    <s v="carro ou outros-quitado"/>
    <n v="33"/>
    <x v="3"/>
    <s v="nenhum"/>
    <x v="0"/>
    <n v="1"/>
    <x v="0"/>
    <n v="1"/>
    <s v="não"/>
    <x v="0"/>
    <n v="2"/>
  </r>
  <r>
    <n v="168"/>
    <x v="0"/>
    <s v="&gt;= 0 &lt; 200 $"/>
    <s v="saldo baixo"/>
    <x v="14"/>
    <x v="1"/>
    <x v="2"/>
    <n v="1577"/>
    <s v="&gt;= 1000 $"/>
    <s v="Muito alto (&gt;1000$)"/>
    <s v="&lt; 1 ano"/>
    <s v="Iniciante (&lt; 1 ano)"/>
    <x v="0"/>
    <x v="1"/>
    <s v="divorciada/casada"/>
    <x v="0"/>
    <n v="1"/>
    <s v="imovel"/>
    <n v="20"/>
    <x v="1"/>
    <s v="nenhum"/>
    <x v="0"/>
    <n v="1"/>
    <x v="0"/>
    <n v="1"/>
    <s v="não"/>
    <x v="0"/>
    <n v="1"/>
  </r>
  <r>
    <n v="169"/>
    <x v="0"/>
    <s v="sem conta corrente"/>
    <s v="sem conta no banco"/>
    <x v="4"/>
    <x v="1"/>
    <x v="2"/>
    <n v="3972"/>
    <s v="&lt; 100 $"/>
    <s v="Baixo (&lt; 100 $)"/>
    <s v="&lt; 7 anos"/>
    <s v="Estável (4-7 anos)"/>
    <x v="1"/>
    <x v="1"/>
    <s v="divorciada/casada"/>
    <x v="0"/>
    <n v="4"/>
    <s v="poupança ou seguro de vida"/>
    <n v="25"/>
    <x v="3"/>
    <s v="nenhum"/>
    <x v="2"/>
    <n v="1"/>
    <x v="0"/>
    <n v="1"/>
    <s v="sim"/>
    <x v="0"/>
    <n v="1"/>
  </r>
  <r>
    <n v="170"/>
    <x v="1"/>
    <s v="&gt;= 0 &lt; 200 $"/>
    <s v="saldo baixo"/>
    <x v="4"/>
    <x v="0"/>
    <x v="5"/>
    <n v="1935"/>
    <s v="&lt; 100 $"/>
    <s v="Baixo (&lt; 100 $)"/>
    <s v="&gt;= 7 anos"/>
    <s v="Muito Estável (&gt; 7 anos)"/>
    <x v="0"/>
    <x v="0"/>
    <s v="divorciado"/>
    <x v="0"/>
    <n v="4"/>
    <s v="imovel"/>
    <n v="31"/>
    <x v="3"/>
    <s v="nenhum"/>
    <x v="0"/>
    <n v="2"/>
    <x v="0"/>
    <n v="1"/>
    <s v="sim"/>
    <x v="0"/>
    <n v="2"/>
  </r>
  <r>
    <n v="171"/>
    <x v="1"/>
    <s v="&lt; 0 $"/>
    <s v="negativo/devedor"/>
    <x v="7"/>
    <x v="3"/>
    <x v="3"/>
    <n v="950"/>
    <s v="&lt; 100 $"/>
    <s v="Baixo (&lt; 100 $)"/>
    <s v="&gt;= 7 anos"/>
    <s v="Muito Estável (&gt; 7 anos)"/>
    <x v="0"/>
    <x v="0"/>
    <s v="solteiro"/>
    <x v="0"/>
    <n v="3"/>
    <s v="carro ou outros-quitado"/>
    <n v="33"/>
    <x v="3"/>
    <s v="nenhum"/>
    <x v="2"/>
    <n v="2"/>
    <x v="0"/>
    <n v="2"/>
    <s v="não"/>
    <x v="0"/>
    <n v="2"/>
  </r>
  <r>
    <n v="172"/>
    <x v="0"/>
    <s v="sem conta corrente"/>
    <s v="sem conta no banco"/>
    <x v="2"/>
    <x v="1"/>
    <x v="2"/>
    <n v="763"/>
    <s v="&lt; 100 $"/>
    <s v="Baixo (&lt; 100 $)"/>
    <s v="&lt; 4 anos"/>
    <s v="Intermediário (1-4 anos)"/>
    <x v="0"/>
    <x v="1"/>
    <s v="divorciada/casada"/>
    <x v="0"/>
    <n v="1"/>
    <s v="imovel"/>
    <n v="26"/>
    <x v="3"/>
    <s v="nenhum"/>
    <x v="0"/>
    <n v="1"/>
    <x v="0"/>
    <n v="1"/>
    <s v="sim"/>
    <x v="0"/>
    <n v="1"/>
  </r>
  <r>
    <n v="173"/>
    <x v="1"/>
    <s v="&gt;= 0 &lt; 200 $"/>
    <s v="saldo baixo"/>
    <x v="4"/>
    <x v="2"/>
    <x v="2"/>
    <n v="2064"/>
    <s v="&lt; 100 $"/>
    <s v="Baixo (&lt; 100 $)"/>
    <s v="desempregado"/>
    <s v="desempregado"/>
    <x v="2"/>
    <x v="1"/>
    <s v="divorciada/casada"/>
    <x v="0"/>
    <n v="2"/>
    <s v="poupança ou seguro de vida"/>
    <n v="34"/>
    <x v="3"/>
    <s v="nenhum"/>
    <x v="0"/>
    <n v="1"/>
    <x v="2"/>
    <n v="1"/>
    <s v="sim"/>
    <x v="0"/>
    <n v="2"/>
  </r>
  <r>
    <n v="174"/>
    <x v="0"/>
    <s v="&gt;= 0 &lt; 200 $"/>
    <s v="saldo baixo"/>
    <x v="16"/>
    <x v="1"/>
    <x v="0"/>
    <n v="1414"/>
    <s v="&lt; 100 $"/>
    <s v="Baixo (&lt; 100 $)"/>
    <s v="&lt; 4 anos"/>
    <s v="Intermediário (1-4 anos)"/>
    <x v="0"/>
    <x v="0"/>
    <s v="solteiro"/>
    <x v="1"/>
    <n v="2"/>
    <s v="imovel"/>
    <n v="33"/>
    <x v="3"/>
    <s v="nenhum"/>
    <x v="0"/>
    <n v="1"/>
    <x v="0"/>
    <n v="1"/>
    <s v="não"/>
    <x v="1"/>
    <n v="1"/>
  </r>
  <r>
    <n v="175"/>
    <x v="1"/>
    <s v="&lt; 0 $"/>
    <s v="negativo/devedor"/>
    <x v="21"/>
    <x v="2"/>
    <x v="1"/>
    <n v="3414"/>
    <s v="&lt; 100 $"/>
    <s v="Baixo (&lt; 100 $)"/>
    <s v="&lt; 1 ano"/>
    <s v="Iniciante (&lt; 1 ano)"/>
    <x v="1"/>
    <x v="0"/>
    <s v="solteiro"/>
    <x v="0"/>
    <n v="1"/>
    <s v="poupança ou seguro de vida"/>
    <n v="26"/>
    <x v="3"/>
    <s v="nenhum"/>
    <x v="0"/>
    <n v="2"/>
    <x v="0"/>
    <n v="1"/>
    <s v="não"/>
    <x v="0"/>
    <n v="2"/>
  </r>
  <r>
    <n v="176"/>
    <x v="1"/>
    <s v="sem conta corrente"/>
    <s v="sem conta no banco"/>
    <x v="6"/>
    <x v="4"/>
    <x v="4"/>
    <n v="7485"/>
    <s v="sem poupança"/>
    <s v="sem poupança"/>
    <s v="desempregado"/>
    <s v="desempregado"/>
    <x v="0"/>
    <x v="1"/>
    <s v="divorciada/casada"/>
    <x v="0"/>
    <n v="1"/>
    <s v="imovel"/>
    <n v="53"/>
    <x v="2"/>
    <s v="banco"/>
    <x v="0"/>
    <n v="1"/>
    <x v="2"/>
    <n v="1"/>
    <s v="sim"/>
    <x v="0"/>
    <n v="2"/>
  </r>
  <r>
    <n v="177"/>
    <x v="0"/>
    <s v="&lt; 0 $"/>
    <s v="negativo/devedor"/>
    <x v="2"/>
    <x v="1"/>
    <x v="2"/>
    <n v="2577"/>
    <s v="&lt; 100 $"/>
    <s v="Baixo (&lt; 100 $)"/>
    <s v="&lt; 4 anos"/>
    <s v="Intermediário (1-4 anos)"/>
    <x v="1"/>
    <x v="0"/>
    <s v="divorciado"/>
    <x v="0"/>
    <n v="1"/>
    <s v="carro ou outros-quitado"/>
    <n v="42"/>
    <x v="2"/>
    <s v="nenhum"/>
    <x v="0"/>
    <n v="1"/>
    <x v="0"/>
    <n v="1"/>
    <s v="não"/>
    <x v="0"/>
    <n v="1"/>
  </r>
  <r>
    <n v="178"/>
    <x v="0"/>
    <s v="&lt; 0 $"/>
    <s v="negativo/devedor"/>
    <x v="0"/>
    <x v="0"/>
    <x v="0"/>
    <n v="338"/>
    <s v="&gt;= 500 &lt; 1000 $"/>
    <s v="Alto (500-1000 $)"/>
    <s v="&gt;= 7 anos"/>
    <s v="Muito Estável (&gt; 7 anos)"/>
    <x v="0"/>
    <x v="0"/>
    <s v="solteiro"/>
    <x v="0"/>
    <n v="4"/>
    <s v="carro ou outros-quitado"/>
    <n v="52"/>
    <x v="2"/>
    <s v="nenhum"/>
    <x v="0"/>
    <n v="2"/>
    <x v="0"/>
    <n v="1"/>
    <s v="não"/>
    <x v="0"/>
    <n v="1"/>
  </r>
  <r>
    <n v="179"/>
    <x v="0"/>
    <s v="sem conta corrente"/>
    <s v="sem conta no banco"/>
    <x v="2"/>
    <x v="1"/>
    <x v="0"/>
    <n v="1963"/>
    <s v="&lt; 100 $"/>
    <s v="Baixo (&lt; 100 $)"/>
    <s v="&lt; 7 anos"/>
    <s v="Estável (4-7 anos)"/>
    <x v="0"/>
    <x v="0"/>
    <s v="solteiro"/>
    <x v="0"/>
    <n v="2"/>
    <s v="carro ou outros-quitado"/>
    <n v="31"/>
    <x v="3"/>
    <s v="nenhum"/>
    <x v="2"/>
    <n v="2"/>
    <x v="2"/>
    <n v="2"/>
    <s v="sim"/>
    <x v="0"/>
    <n v="1"/>
  </r>
  <r>
    <n v="180"/>
    <x v="0"/>
    <s v="&lt; 0 $"/>
    <s v="negativo/devedor"/>
    <x v="21"/>
    <x v="0"/>
    <x v="3"/>
    <n v="571"/>
    <s v="&lt; 100 $"/>
    <s v="Baixo (&lt; 100 $)"/>
    <s v="&gt;= 7 anos"/>
    <s v="Muito Estável (&gt; 7 anos)"/>
    <x v="0"/>
    <x v="0"/>
    <s v="solteiro"/>
    <x v="0"/>
    <n v="4"/>
    <s v="imovel"/>
    <n v="65"/>
    <x v="0"/>
    <s v="nenhum"/>
    <x v="0"/>
    <n v="2"/>
    <x v="0"/>
    <n v="1"/>
    <s v="não"/>
    <x v="0"/>
    <n v="1"/>
  </r>
  <r>
    <n v="181"/>
    <x v="1"/>
    <s v="sem conta corrente"/>
    <s v="sem conta no banco"/>
    <x v="5"/>
    <x v="2"/>
    <x v="5"/>
    <n v="9572"/>
    <s v="&lt; 100 $"/>
    <s v="Baixo (&lt; 100 $)"/>
    <s v="&lt; 1 ano"/>
    <s v="Iniciante (&lt; 1 ano)"/>
    <x v="3"/>
    <x v="0"/>
    <s v="divorciado"/>
    <x v="0"/>
    <n v="1"/>
    <s v="carro ou outros-quitado"/>
    <n v="28"/>
    <x v="3"/>
    <s v="nenhum"/>
    <x v="0"/>
    <n v="2"/>
    <x v="0"/>
    <n v="1"/>
    <s v="não"/>
    <x v="0"/>
    <n v="2"/>
  </r>
  <r>
    <n v="182"/>
    <x v="1"/>
    <s v="&gt;= 0 &lt; 200 $"/>
    <s v="saldo baixo"/>
    <x v="5"/>
    <x v="2"/>
    <x v="5"/>
    <n v="4455"/>
    <s v="&lt; 100 $"/>
    <s v="Baixo (&lt; 100 $)"/>
    <s v="&lt; 4 anos"/>
    <s v="Intermediário (1-4 anos)"/>
    <x v="1"/>
    <x v="0"/>
    <s v="divorciado"/>
    <x v="0"/>
    <n v="2"/>
    <s v="imovel"/>
    <n v="30"/>
    <x v="3"/>
    <s v="loja"/>
    <x v="0"/>
    <n v="2"/>
    <x v="2"/>
    <n v="1"/>
    <s v="sim"/>
    <x v="0"/>
    <n v="2"/>
  </r>
  <r>
    <n v="183"/>
    <x v="1"/>
    <s v="&lt; 0 $"/>
    <s v="negativo/devedor"/>
    <x v="21"/>
    <x v="4"/>
    <x v="3"/>
    <n v="1647"/>
    <s v="sem poupança"/>
    <s v="sem poupança"/>
    <s v="&lt; 4 anos"/>
    <s v="Intermediário (1-4 anos)"/>
    <x v="0"/>
    <x v="0"/>
    <s v="solteiro"/>
    <x v="0"/>
    <n v="2"/>
    <s v="poupança ou seguro de vida"/>
    <n v="40"/>
    <x v="2"/>
    <s v="nenhum"/>
    <x v="0"/>
    <n v="2"/>
    <x v="1"/>
    <n v="2"/>
    <s v="não"/>
    <x v="0"/>
    <n v="2"/>
  </r>
  <r>
    <n v="184"/>
    <x v="0"/>
    <s v="sem conta corrente"/>
    <s v="sem conta no banco"/>
    <x v="4"/>
    <x v="0"/>
    <x v="2"/>
    <n v="3777"/>
    <s v="&gt;= 1000 $"/>
    <s v="Muito alto (&gt;1000$)"/>
    <s v="&lt; 4 anos"/>
    <s v="Intermediário (1-4 anos)"/>
    <x v="0"/>
    <x v="0"/>
    <s v="solteiro"/>
    <x v="0"/>
    <n v="4"/>
    <s v="imovel"/>
    <n v="50"/>
    <x v="2"/>
    <s v="nenhum"/>
    <x v="0"/>
    <n v="1"/>
    <x v="0"/>
    <n v="1"/>
    <s v="sim"/>
    <x v="0"/>
    <n v="1"/>
  </r>
  <r>
    <n v="185"/>
    <x v="1"/>
    <s v="&gt;= 0 &lt; 200 $"/>
    <s v="saldo baixo"/>
    <x v="12"/>
    <x v="0"/>
    <x v="3"/>
    <n v="884"/>
    <s v="&lt; 100 $"/>
    <s v="Baixo (&lt; 100 $)"/>
    <s v="&gt;= 7 anos"/>
    <s v="Muito Estável (&gt; 7 anos)"/>
    <x v="0"/>
    <x v="0"/>
    <s v="solteiro"/>
    <x v="0"/>
    <n v="4"/>
    <s v="carro ou outros-quitado"/>
    <n v="36"/>
    <x v="3"/>
    <s v="banco"/>
    <x v="0"/>
    <n v="1"/>
    <x v="0"/>
    <n v="2"/>
    <s v="sim"/>
    <x v="0"/>
    <n v="2"/>
  </r>
  <r>
    <n v="186"/>
    <x v="0"/>
    <s v="sem conta corrente"/>
    <s v="sem conta no banco"/>
    <x v="7"/>
    <x v="0"/>
    <x v="0"/>
    <n v="1360"/>
    <s v="&lt; 100 $"/>
    <s v="Baixo (&lt; 100 $)"/>
    <s v="&lt; 4 anos"/>
    <s v="Intermediário (1-4 anos)"/>
    <x v="0"/>
    <x v="0"/>
    <s v="solteiro"/>
    <x v="0"/>
    <n v="2"/>
    <s v="poupança ou seguro de vida"/>
    <n v="31"/>
    <x v="3"/>
    <s v="nenhum"/>
    <x v="0"/>
    <n v="2"/>
    <x v="0"/>
    <n v="1"/>
    <s v="não"/>
    <x v="0"/>
    <n v="1"/>
  </r>
  <r>
    <n v="187"/>
    <x v="1"/>
    <s v="&gt;= 0 &lt; 200 $"/>
    <s v="saldo baixo"/>
    <x v="8"/>
    <x v="4"/>
    <x v="4"/>
    <n v="5129"/>
    <s v="&lt; 100 $"/>
    <s v="Baixo (&lt; 100 $)"/>
    <s v="&gt;= 7 anos"/>
    <s v="Muito Estável (&gt; 7 anos)"/>
    <x v="1"/>
    <x v="1"/>
    <s v="divorciada/casada"/>
    <x v="0"/>
    <n v="4"/>
    <s v="sem bens"/>
    <n v="74"/>
    <x v="0"/>
    <s v="banco"/>
    <x v="1"/>
    <n v="1"/>
    <x v="2"/>
    <n v="2"/>
    <s v="sim"/>
    <x v="0"/>
    <n v="2"/>
  </r>
  <r>
    <n v="188"/>
    <x v="0"/>
    <s v="&gt;= 0 &lt; 200 $"/>
    <s v="saldo baixo"/>
    <x v="22"/>
    <x v="0"/>
    <x v="3"/>
    <n v="1175"/>
    <s v="&lt; 100 $"/>
    <s v="Baixo (&lt; 100 $)"/>
    <s v="desempregado"/>
    <s v="desempregado"/>
    <x v="1"/>
    <x v="0"/>
    <s v="solteiro"/>
    <x v="0"/>
    <n v="3"/>
    <s v="carro ou outros-quitado"/>
    <n v="68"/>
    <x v="0"/>
    <s v="nenhum"/>
    <x v="1"/>
    <n v="3"/>
    <x v="3"/>
    <n v="1"/>
    <s v="sim"/>
    <x v="0"/>
    <n v="1"/>
  </r>
  <r>
    <n v="189"/>
    <x v="1"/>
    <s v="&lt; 0 $"/>
    <s v="negativo/devedor"/>
    <x v="2"/>
    <x v="1"/>
    <x v="0"/>
    <n v="674"/>
    <s v="&gt;= 100 &lt; 500 $"/>
    <s v="Médio (100-500$)"/>
    <s v="&lt; 7 anos"/>
    <s v="Estável (4-7 anos)"/>
    <x v="0"/>
    <x v="0"/>
    <s v="casado/viuvo"/>
    <x v="0"/>
    <n v="1"/>
    <s v="poupança ou seguro de vida"/>
    <n v="20"/>
    <x v="1"/>
    <s v="nenhum"/>
    <x v="0"/>
    <n v="1"/>
    <x v="0"/>
    <n v="1"/>
    <s v="não"/>
    <x v="0"/>
    <n v="2"/>
  </r>
  <r>
    <n v="190"/>
    <x v="0"/>
    <s v="&gt;= 0 &lt; 200 $"/>
    <s v="saldo baixo"/>
    <x v="12"/>
    <x v="3"/>
    <x v="2"/>
    <n v="3244"/>
    <s v="&lt; 100 $"/>
    <s v="Baixo (&lt; 100 $)"/>
    <s v="&lt; 4 anos"/>
    <s v="Intermediário (1-4 anos)"/>
    <x v="3"/>
    <x v="1"/>
    <s v="divorciada/casada"/>
    <x v="0"/>
    <n v="4"/>
    <s v="carro ou outros-quitado"/>
    <n v="33"/>
    <x v="3"/>
    <s v="banco"/>
    <x v="0"/>
    <n v="2"/>
    <x v="0"/>
    <n v="1"/>
    <s v="sim"/>
    <x v="0"/>
    <n v="1"/>
  </r>
  <r>
    <n v="191"/>
    <x v="1"/>
    <s v="sem conta corrente"/>
    <s v="sem conta no banco"/>
    <x v="4"/>
    <x v="1"/>
    <x v="5"/>
    <n v="4591"/>
    <s v="&gt;= 1000 $"/>
    <s v="Muito alto (&gt;1000$)"/>
    <s v="&lt; 4 anos"/>
    <s v="Intermediário (1-4 anos)"/>
    <x v="1"/>
    <x v="0"/>
    <s v="solteiro"/>
    <x v="0"/>
    <n v="3"/>
    <s v="poupança ou seguro de vida"/>
    <n v="54"/>
    <x v="2"/>
    <s v="nenhum"/>
    <x v="0"/>
    <n v="3"/>
    <x v="2"/>
    <n v="1"/>
    <s v="sim"/>
    <x v="0"/>
    <n v="2"/>
  </r>
  <r>
    <n v="192"/>
    <x v="1"/>
    <s v="&gt;= 0 &lt; 200 $"/>
    <s v="saldo baixo"/>
    <x v="1"/>
    <x v="3"/>
    <x v="5"/>
    <n v="3844"/>
    <s v="&gt;= 100 &lt; 500 $"/>
    <s v="Médio (100-500$)"/>
    <s v="&lt; 7 anos"/>
    <s v="Estável (4-7 anos)"/>
    <x v="0"/>
    <x v="0"/>
    <s v="solteiro"/>
    <x v="0"/>
    <n v="4"/>
    <s v="sem bens"/>
    <n v="34"/>
    <x v="3"/>
    <s v="nenhum"/>
    <x v="1"/>
    <n v="1"/>
    <x v="1"/>
    <n v="2"/>
    <s v="não"/>
    <x v="0"/>
    <n v="2"/>
  </r>
  <r>
    <n v="193"/>
    <x v="1"/>
    <s v="&gt;= 0 &lt; 200 $"/>
    <s v="saldo baixo"/>
    <x v="15"/>
    <x v="1"/>
    <x v="5"/>
    <n v="3915"/>
    <s v="&lt; 100 $"/>
    <s v="Baixo (&lt; 100 $)"/>
    <s v="&lt; 4 anos"/>
    <s v="Intermediário (1-4 anos)"/>
    <x v="0"/>
    <x v="0"/>
    <s v="solteiro"/>
    <x v="0"/>
    <n v="2"/>
    <s v="carro ou outros-quitado"/>
    <n v="36"/>
    <x v="3"/>
    <s v="nenhum"/>
    <x v="0"/>
    <n v="1"/>
    <x v="0"/>
    <n v="2"/>
    <s v="sim"/>
    <x v="0"/>
    <n v="2"/>
  </r>
  <r>
    <n v="194"/>
    <x v="0"/>
    <s v="sem conta corrente"/>
    <s v="sem conta no banco"/>
    <x v="0"/>
    <x v="1"/>
    <x v="0"/>
    <n v="2108"/>
    <s v="&lt; 100 $"/>
    <s v="Baixo (&lt; 100 $)"/>
    <s v="&lt; 7 anos"/>
    <s v="Estável (4-7 anos)"/>
    <x v="1"/>
    <x v="0"/>
    <s v="casado/viuvo"/>
    <x v="0"/>
    <n v="2"/>
    <s v="imovel"/>
    <n v="29"/>
    <x v="3"/>
    <s v="nenhum"/>
    <x v="2"/>
    <n v="1"/>
    <x v="0"/>
    <n v="1"/>
    <s v="não"/>
    <x v="0"/>
    <n v="1"/>
  </r>
  <r>
    <n v="195"/>
    <x v="1"/>
    <s v="&gt;= 0 &lt; 200 $"/>
    <s v="saldo baixo"/>
    <x v="13"/>
    <x v="1"/>
    <x v="0"/>
    <n v="3031"/>
    <s v="&gt;= 100 &lt; 500 $"/>
    <s v="Médio (100-500$)"/>
    <s v="&lt; 4 anos"/>
    <s v="Intermediário (1-4 anos)"/>
    <x v="0"/>
    <x v="0"/>
    <s v="solteiro"/>
    <x v="1"/>
    <n v="4"/>
    <s v="poupança ou seguro de vida"/>
    <n v="21"/>
    <x v="1"/>
    <s v="nenhum"/>
    <x v="2"/>
    <n v="1"/>
    <x v="0"/>
    <n v="1"/>
    <s v="não"/>
    <x v="0"/>
    <n v="2"/>
  </r>
  <r>
    <n v="196"/>
    <x v="1"/>
    <s v="&gt;= 0 &lt; 200 $"/>
    <s v="saldo baixo"/>
    <x v="8"/>
    <x v="0"/>
    <x v="1"/>
    <n v="1501"/>
    <s v="&lt; 100 $"/>
    <s v="Baixo (&lt; 100 $)"/>
    <s v="&gt;= 7 anos"/>
    <s v="Muito Estável (&gt; 7 anos)"/>
    <x v="1"/>
    <x v="1"/>
    <s v="divorciada/casada"/>
    <x v="0"/>
    <n v="3"/>
    <s v="carro ou outros-quitado"/>
    <n v="34"/>
    <x v="3"/>
    <s v="nenhum"/>
    <x v="0"/>
    <n v="2"/>
    <x v="2"/>
    <n v="1"/>
    <s v="sim"/>
    <x v="0"/>
    <n v="2"/>
  </r>
  <r>
    <n v="197"/>
    <x v="0"/>
    <s v="sem conta corrente"/>
    <s v="sem conta no banco"/>
    <x v="0"/>
    <x v="0"/>
    <x v="0"/>
    <n v="1382"/>
    <s v="&lt; 100 $"/>
    <s v="Baixo (&lt; 100 $)"/>
    <s v="&lt; 4 anos"/>
    <s v="Intermediário (1-4 anos)"/>
    <x v="3"/>
    <x v="1"/>
    <s v="divorciada/casada"/>
    <x v="0"/>
    <n v="1"/>
    <s v="carro ou outros-quitado"/>
    <n v="28"/>
    <x v="3"/>
    <s v="nenhum"/>
    <x v="0"/>
    <n v="2"/>
    <x v="0"/>
    <n v="1"/>
    <s v="sim"/>
    <x v="0"/>
    <n v="1"/>
  </r>
  <r>
    <n v="198"/>
    <x v="1"/>
    <s v="&gt;= 0 &lt; 200 $"/>
    <s v="saldo baixo"/>
    <x v="2"/>
    <x v="1"/>
    <x v="2"/>
    <n v="951"/>
    <s v="&gt;= 100 &lt; 500 $"/>
    <s v="Médio (100-500$)"/>
    <s v="&lt; 1 ano"/>
    <s v="Iniciante (&lt; 1 ano)"/>
    <x v="0"/>
    <x v="1"/>
    <s v="divorciada/casada"/>
    <x v="0"/>
    <n v="4"/>
    <s v="carro ou outros-quitado"/>
    <n v="27"/>
    <x v="3"/>
    <s v="banco"/>
    <x v="2"/>
    <n v="4"/>
    <x v="0"/>
    <n v="1"/>
    <s v="não"/>
    <x v="0"/>
    <n v="2"/>
  </r>
  <r>
    <n v="199"/>
    <x v="0"/>
    <s v="&gt;= 0 &lt; 200 $"/>
    <s v="saldo baixo"/>
    <x v="4"/>
    <x v="1"/>
    <x v="4"/>
    <n v="2760"/>
    <s v="sem poupança"/>
    <s v="sem poupança"/>
    <s v="&gt;= 7 anos"/>
    <s v="Muito Estável (&gt; 7 anos)"/>
    <x v="0"/>
    <x v="0"/>
    <s v="solteiro"/>
    <x v="0"/>
    <n v="4"/>
    <s v="sem bens"/>
    <n v="36"/>
    <x v="3"/>
    <s v="banco"/>
    <x v="1"/>
    <n v="1"/>
    <x v="0"/>
    <n v="1"/>
    <s v="sim"/>
    <x v="0"/>
    <n v="1"/>
  </r>
  <r>
    <n v="200"/>
    <x v="1"/>
    <s v="&gt;= 0 &lt; 200 $"/>
    <s v="saldo baixo"/>
    <x v="12"/>
    <x v="2"/>
    <x v="2"/>
    <n v="4297"/>
    <s v="&lt; 100 $"/>
    <s v="Baixo (&lt; 100 $)"/>
    <s v="&gt;= 7 anos"/>
    <s v="Muito Estável (&gt; 7 anos)"/>
    <x v="0"/>
    <x v="0"/>
    <s v="divorciado"/>
    <x v="0"/>
    <n v="3"/>
    <s v="sem bens"/>
    <n v="40"/>
    <x v="2"/>
    <s v="nenhum"/>
    <x v="0"/>
    <n v="1"/>
    <x v="2"/>
    <n v="1"/>
    <s v="sim"/>
    <x v="0"/>
    <n v="2"/>
  </r>
  <r>
    <n v="201"/>
    <x v="0"/>
    <s v="sem conta corrente"/>
    <s v="sem conta no banco"/>
    <x v="8"/>
    <x v="0"/>
    <x v="1"/>
    <n v="936"/>
    <s v="&gt;= 500 &lt; 1000 $"/>
    <s v="Alto (500-1000 $)"/>
    <s v="&gt;= 7 anos"/>
    <s v="Muito Estável (&gt; 7 anos)"/>
    <x v="0"/>
    <x v="0"/>
    <s v="solteiro"/>
    <x v="0"/>
    <n v="2"/>
    <s v="carro ou outros-quitado"/>
    <n v="52"/>
    <x v="2"/>
    <s v="nenhum"/>
    <x v="0"/>
    <n v="2"/>
    <x v="0"/>
    <n v="1"/>
    <s v="sim"/>
    <x v="0"/>
    <n v="1"/>
  </r>
  <r>
    <n v="202"/>
    <x v="0"/>
    <s v="&lt; 0 $"/>
    <s v="negativo/devedor"/>
    <x v="2"/>
    <x v="1"/>
    <x v="3"/>
    <n v="1168"/>
    <s v="&lt; 100 $"/>
    <s v="Baixo (&lt; 100 $)"/>
    <s v="&lt; 4 anos"/>
    <s v="Intermediário (1-4 anos)"/>
    <x v="0"/>
    <x v="0"/>
    <s v="casado/viuvo"/>
    <x v="0"/>
    <n v="3"/>
    <s v="imovel"/>
    <n v="27"/>
    <x v="3"/>
    <s v="nenhum"/>
    <x v="0"/>
    <n v="1"/>
    <x v="1"/>
    <n v="1"/>
    <s v="não"/>
    <x v="0"/>
    <n v="1"/>
  </r>
  <r>
    <n v="203"/>
    <x v="0"/>
    <s v="sem conta corrente"/>
    <s v="sem conta no banco"/>
    <x v="15"/>
    <x v="2"/>
    <x v="5"/>
    <n v="5117"/>
    <s v="&lt; 100 $"/>
    <s v="Baixo (&lt; 100 $)"/>
    <s v="&lt; 7 anos"/>
    <s v="Estável (4-7 anos)"/>
    <x v="2"/>
    <x v="0"/>
    <s v="solteiro"/>
    <x v="0"/>
    <n v="4"/>
    <s v="carro ou outros-quitado"/>
    <n v="26"/>
    <x v="3"/>
    <s v="nenhum"/>
    <x v="0"/>
    <n v="2"/>
    <x v="0"/>
    <n v="1"/>
    <s v="não"/>
    <x v="0"/>
    <n v="1"/>
  </r>
  <r>
    <n v="204"/>
    <x v="1"/>
    <s v="&lt; 0 $"/>
    <s v="negativo/devedor"/>
    <x v="2"/>
    <x v="1"/>
    <x v="9"/>
    <n v="902"/>
    <s v="&lt; 100 $"/>
    <s v="Baixo (&lt; 100 $)"/>
    <s v="&lt; 7 anos"/>
    <s v="Estável (4-7 anos)"/>
    <x v="0"/>
    <x v="0"/>
    <s v="casado/viuvo"/>
    <x v="0"/>
    <n v="4"/>
    <s v="poupança ou seguro de vida"/>
    <n v="21"/>
    <x v="1"/>
    <s v="nenhum"/>
    <x v="2"/>
    <n v="1"/>
    <x v="0"/>
    <n v="1"/>
    <s v="não"/>
    <x v="0"/>
    <n v="2"/>
  </r>
  <r>
    <n v="205"/>
    <x v="0"/>
    <s v="sem conta corrente"/>
    <s v="sem conta no banco"/>
    <x v="2"/>
    <x v="0"/>
    <x v="3"/>
    <n v="1495"/>
    <s v="&lt; 100 $"/>
    <s v="Baixo (&lt; 100 $)"/>
    <s v="&gt;= 7 anos"/>
    <s v="Muito Estável (&gt; 7 anos)"/>
    <x v="0"/>
    <x v="0"/>
    <s v="solteiro"/>
    <x v="0"/>
    <n v="1"/>
    <s v="imovel"/>
    <n v="38"/>
    <x v="3"/>
    <s v="nenhum"/>
    <x v="0"/>
    <n v="2"/>
    <x v="1"/>
    <n v="2"/>
    <s v="não"/>
    <x v="0"/>
    <n v="1"/>
  </r>
  <r>
    <n v="206"/>
    <x v="0"/>
    <s v="&lt; 0 $"/>
    <s v="negativo/devedor"/>
    <x v="6"/>
    <x v="0"/>
    <x v="4"/>
    <n v="10623"/>
    <s v="&lt; 100 $"/>
    <s v="Baixo (&lt; 100 $)"/>
    <s v="&gt;= 7 anos"/>
    <s v="Muito Estável (&gt; 7 anos)"/>
    <x v="2"/>
    <x v="0"/>
    <s v="solteiro"/>
    <x v="0"/>
    <n v="4"/>
    <s v="sem bens"/>
    <n v="38"/>
    <x v="3"/>
    <s v="nenhum"/>
    <x v="1"/>
    <n v="3"/>
    <x v="2"/>
    <n v="2"/>
    <s v="sim"/>
    <x v="0"/>
    <n v="1"/>
  </r>
  <r>
    <n v="207"/>
    <x v="0"/>
    <s v="sem conta corrente"/>
    <s v="sem conta no banco"/>
    <x v="2"/>
    <x v="0"/>
    <x v="2"/>
    <n v="1935"/>
    <s v="&lt; 100 $"/>
    <s v="Baixo (&lt; 100 $)"/>
    <s v="&gt;= 7 anos"/>
    <s v="Muito Estável (&gt; 7 anos)"/>
    <x v="0"/>
    <x v="0"/>
    <s v="solteiro"/>
    <x v="0"/>
    <n v="4"/>
    <s v="imovel"/>
    <n v="43"/>
    <x v="2"/>
    <s v="nenhum"/>
    <x v="0"/>
    <n v="3"/>
    <x v="0"/>
    <n v="1"/>
    <s v="sim"/>
    <x v="0"/>
    <n v="1"/>
  </r>
  <r>
    <n v="208"/>
    <x v="0"/>
    <s v="&gt;= 0 &lt; 200 $"/>
    <s v="saldo baixo"/>
    <x v="2"/>
    <x v="0"/>
    <x v="6"/>
    <n v="1424"/>
    <s v="&lt; 100 $"/>
    <s v="Baixo (&lt; 100 $)"/>
    <s v="&lt; 7 anos"/>
    <s v="Estável (4-7 anos)"/>
    <x v="0"/>
    <x v="0"/>
    <s v="solteiro"/>
    <x v="0"/>
    <n v="3"/>
    <s v="poupança ou seguro de vida"/>
    <n v="26"/>
    <x v="3"/>
    <s v="nenhum"/>
    <x v="0"/>
    <n v="1"/>
    <x v="0"/>
    <n v="1"/>
    <s v="não"/>
    <x v="0"/>
    <n v="1"/>
  </r>
  <r>
    <n v="209"/>
    <x v="0"/>
    <s v="&lt; 0 $"/>
    <s v="negativo/devedor"/>
    <x v="4"/>
    <x v="1"/>
    <x v="5"/>
    <n v="6568"/>
    <s v="&lt; 100 $"/>
    <s v="Baixo (&lt; 100 $)"/>
    <s v="&lt; 4 anos"/>
    <s v="Intermediário (1-4 anos)"/>
    <x v="1"/>
    <x v="0"/>
    <s v="casado/viuvo"/>
    <x v="0"/>
    <n v="2"/>
    <s v="carro ou outros-quitado"/>
    <n v="21"/>
    <x v="1"/>
    <s v="loja"/>
    <x v="0"/>
    <n v="1"/>
    <x v="1"/>
    <n v="1"/>
    <s v="não"/>
    <x v="0"/>
    <n v="1"/>
  </r>
  <r>
    <n v="210"/>
    <x v="0"/>
    <s v="sem conta corrente"/>
    <s v="sem conta no banco"/>
    <x v="2"/>
    <x v="1"/>
    <x v="4"/>
    <n v="1413"/>
    <s v="&gt;= 1000 $"/>
    <s v="Muito alto (&gt;1000$)"/>
    <s v="&lt; 7 anos"/>
    <s v="Estável (4-7 anos)"/>
    <x v="2"/>
    <x v="0"/>
    <s v="solteiro"/>
    <x v="0"/>
    <n v="2"/>
    <s v="poupança ou seguro de vida"/>
    <n v="55"/>
    <x v="2"/>
    <s v="nenhum"/>
    <x v="0"/>
    <n v="1"/>
    <x v="0"/>
    <n v="1"/>
    <s v="não"/>
    <x v="1"/>
    <n v="1"/>
  </r>
  <r>
    <n v="211"/>
    <x v="0"/>
    <s v="sem conta corrente"/>
    <s v="sem conta no banco"/>
    <x v="8"/>
    <x v="0"/>
    <x v="0"/>
    <n v="3074"/>
    <s v="sem poupança"/>
    <s v="sem poupança"/>
    <s v="&lt; 4 anos"/>
    <s v="Intermediário (1-4 anos)"/>
    <x v="3"/>
    <x v="0"/>
    <s v="solteiro"/>
    <x v="0"/>
    <n v="2"/>
    <s v="imovel"/>
    <n v="33"/>
    <x v="3"/>
    <s v="nenhum"/>
    <x v="0"/>
    <n v="2"/>
    <x v="0"/>
    <n v="2"/>
    <s v="não"/>
    <x v="0"/>
    <n v="1"/>
  </r>
  <r>
    <n v="212"/>
    <x v="0"/>
    <s v="sem conta corrente"/>
    <s v="sem conta no banco"/>
    <x v="5"/>
    <x v="1"/>
    <x v="0"/>
    <n v="3835"/>
    <s v="sem poupança"/>
    <s v="sem poupança"/>
    <s v="&gt;= 7 anos"/>
    <s v="Muito Estável (&gt; 7 anos)"/>
    <x v="1"/>
    <x v="1"/>
    <s v="divorciada/casada"/>
    <x v="0"/>
    <n v="4"/>
    <s v="imovel"/>
    <n v="45"/>
    <x v="2"/>
    <s v="nenhum"/>
    <x v="0"/>
    <n v="1"/>
    <x v="1"/>
    <n v="1"/>
    <s v="sim"/>
    <x v="0"/>
    <n v="1"/>
  </r>
  <r>
    <n v="213"/>
    <x v="1"/>
    <s v="&lt; 0 $"/>
    <s v="negativo/devedor"/>
    <x v="15"/>
    <x v="3"/>
    <x v="5"/>
    <n v="5293"/>
    <s v="&lt; 100 $"/>
    <s v="Baixo (&lt; 100 $)"/>
    <s v="desempregado"/>
    <s v="desempregado"/>
    <x v="1"/>
    <x v="0"/>
    <s v="solteiro"/>
    <x v="0"/>
    <n v="4"/>
    <s v="poupança ou seguro de vida"/>
    <n v="50"/>
    <x v="2"/>
    <s v="loja"/>
    <x v="0"/>
    <n v="2"/>
    <x v="0"/>
    <n v="1"/>
    <s v="sim"/>
    <x v="0"/>
    <n v="2"/>
  </r>
  <r>
    <n v="214"/>
    <x v="1"/>
    <s v="&gt;= 200 $"/>
    <s v="saldo saudável"/>
    <x v="6"/>
    <x v="2"/>
    <x v="5"/>
    <n v="1908"/>
    <s v="&lt; 100 $"/>
    <s v="Baixo (&lt; 100 $)"/>
    <s v="&gt;= 7 anos"/>
    <s v="Muito Estável (&gt; 7 anos)"/>
    <x v="0"/>
    <x v="0"/>
    <s v="solteiro"/>
    <x v="0"/>
    <n v="4"/>
    <s v="imovel"/>
    <n v="66"/>
    <x v="0"/>
    <s v="nenhum"/>
    <x v="0"/>
    <n v="1"/>
    <x v="2"/>
    <n v="1"/>
    <s v="sim"/>
    <x v="0"/>
    <n v="2"/>
  </r>
  <r>
    <n v="215"/>
    <x v="0"/>
    <s v="sem conta corrente"/>
    <s v="sem conta no banco"/>
    <x v="5"/>
    <x v="0"/>
    <x v="0"/>
    <n v="3342"/>
    <s v="sem poupança"/>
    <s v="sem poupança"/>
    <s v="&gt;= 7 anos"/>
    <s v="Muito Estável (&gt; 7 anos)"/>
    <x v="0"/>
    <x v="0"/>
    <s v="solteiro"/>
    <x v="0"/>
    <n v="2"/>
    <s v="carro ou outros-quitado"/>
    <n v="51"/>
    <x v="2"/>
    <s v="nenhum"/>
    <x v="0"/>
    <n v="1"/>
    <x v="0"/>
    <n v="1"/>
    <s v="sim"/>
    <x v="0"/>
    <n v="1"/>
  </r>
  <r>
    <n v="216"/>
    <x v="0"/>
    <s v="&gt;= 0 &lt; 200 $"/>
    <s v="saldo baixo"/>
    <x v="0"/>
    <x v="0"/>
    <x v="9"/>
    <n v="932"/>
    <s v="sem poupança"/>
    <s v="sem poupança"/>
    <s v="&lt; 7 anos"/>
    <s v="Estável (4-7 anos)"/>
    <x v="3"/>
    <x v="1"/>
    <s v="divorciada/casada"/>
    <x v="0"/>
    <n v="3"/>
    <s v="poupança ou seguro de vida"/>
    <n v="39"/>
    <x v="3"/>
    <s v="nenhum"/>
    <x v="0"/>
    <n v="2"/>
    <x v="1"/>
    <n v="1"/>
    <s v="não"/>
    <x v="0"/>
    <n v="1"/>
  </r>
  <r>
    <n v="217"/>
    <x v="0"/>
    <s v="&lt; 0 $"/>
    <s v="negativo/devedor"/>
    <x v="12"/>
    <x v="3"/>
    <x v="5"/>
    <n v="3104"/>
    <s v="&lt; 100 $"/>
    <s v="Baixo (&lt; 100 $)"/>
    <s v="&lt; 7 anos"/>
    <s v="Estável (4-7 anos)"/>
    <x v="2"/>
    <x v="0"/>
    <s v="solteiro"/>
    <x v="0"/>
    <n v="1"/>
    <s v="poupança ou seguro de vida"/>
    <n v="31"/>
    <x v="3"/>
    <s v="banco"/>
    <x v="0"/>
    <n v="1"/>
    <x v="0"/>
    <n v="1"/>
    <s v="sim"/>
    <x v="0"/>
    <n v="1"/>
  </r>
  <r>
    <n v="218"/>
    <x v="0"/>
    <s v="&gt;= 200 $"/>
    <s v="saldo saudável"/>
    <x v="5"/>
    <x v="1"/>
    <x v="0"/>
    <n v="3913"/>
    <s v="&lt; 100 $"/>
    <s v="Baixo (&lt; 100 $)"/>
    <s v="&lt; 4 anos"/>
    <s v="Intermediário (1-4 anos)"/>
    <x v="1"/>
    <x v="0"/>
    <s v="solteiro"/>
    <x v="0"/>
    <n v="2"/>
    <s v="imovel"/>
    <n v="23"/>
    <x v="1"/>
    <s v="nenhum"/>
    <x v="0"/>
    <n v="1"/>
    <x v="0"/>
    <n v="1"/>
    <s v="sim"/>
    <x v="0"/>
    <n v="1"/>
  </r>
  <r>
    <n v="219"/>
    <x v="0"/>
    <s v="&lt; 0 $"/>
    <s v="negativo/devedor"/>
    <x v="4"/>
    <x v="1"/>
    <x v="2"/>
    <n v="3021"/>
    <s v="&lt; 100 $"/>
    <s v="Baixo (&lt; 100 $)"/>
    <s v="&lt; 4 anos"/>
    <s v="Intermediário (1-4 anos)"/>
    <x v="1"/>
    <x v="0"/>
    <s v="divorciado"/>
    <x v="0"/>
    <n v="2"/>
    <s v="imovel"/>
    <n v="24"/>
    <x v="1"/>
    <s v="nenhum"/>
    <x v="2"/>
    <n v="1"/>
    <x v="1"/>
    <n v="1"/>
    <s v="não"/>
    <x v="0"/>
    <n v="1"/>
  </r>
  <r>
    <n v="220"/>
    <x v="0"/>
    <s v="sem conta corrente"/>
    <s v="sem conta no banco"/>
    <x v="9"/>
    <x v="1"/>
    <x v="3"/>
    <n v="1364"/>
    <s v="&lt; 100 $"/>
    <s v="Baixo (&lt; 100 $)"/>
    <s v="&lt; 4 anos"/>
    <s v="Intermediário (1-4 anos)"/>
    <x v="1"/>
    <x v="1"/>
    <s v="divorciada/casada"/>
    <x v="0"/>
    <n v="4"/>
    <s v="carro ou outros-quitado"/>
    <n v="64"/>
    <x v="0"/>
    <s v="nenhum"/>
    <x v="0"/>
    <n v="1"/>
    <x v="0"/>
    <n v="1"/>
    <s v="sim"/>
    <x v="0"/>
    <n v="1"/>
  </r>
  <r>
    <n v="221"/>
    <x v="0"/>
    <s v="&gt;= 0 &lt; 200 $"/>
    <s v="saldo baixo"/>
    <x v="2"/>
    <x v="1"/>
    <x v="0"/>
    <n v="625"/>
    <s v="&lt; 100 $"/>
    <s v="Baixo (&lt; 100 $)"/>
    <s v="&lt; 1 ano"/>
    <s v="Iniciante (&lt; 1 ano)"/>
    <x v="0"/>
    <x v="0"/>
    <s v="casado/viuvo"/>
    <x v="1"/>
    <n v="1"/>
    <s v="imovel"/>
    <n v="26"/>
    <x v="3"/>
    <s v="banco"/>
    <x v="0"/>
    <n v="1"/>
    <x v="1"/>
    <n v="1"/>
    <s v="não"/>
    <x v="0"/>
    <n v="1"/>
  </r>
  <r>
    <n v="222"/>
    <x v="0"/>
    <s v="&lt; 0 $"/>
    <s v="negativo/devedor"/>
    <x v="2"/>
    <x v="1"/>
    <x v="1"/>
    <n v="1200"/>
    <s v="sem poupança"/>
    <s v="sem poupança"/>
    <s v="&lt; 4 anos"/>
    <s v="Intermediário (1-4 anos)"/>
    <x v="0"/>
    <x v="1"/>
    <s v="divorciada/casada"/>
    <x v="0"/>
    <n v="4"/>
    <s v="poupança ou seguro de vida"/>
    <n v="23"/>
    <x v="1"/>
    <s v="banco"/>
    <x v="2"/>
    <n v="1"/>
    <x v="0"/>
    <n v="1"/>
    <s v="sim"/>
    <x v="0"/>
    <n v="1"/>
  </r>
  <r>
    <n v="223"/>
    <x v="0"/>
    <s v="sem conta corrente"/>
    <s v="sem conta no banco"/>
    <x v="2"/>
    <x v="1"/>
    <x v="0"/>
    <n v="707"/>
    <s v="&lt; 100 $"/>
    <s v="Baixo (&lt; 100 $)"/>
    <s v="&lt; 4 anos"/>
    <s v="Intermediário (1-4 anos)"/>
    <x v="0"/>
    <x v="0"/>
    <s v="solteiro"/>
    <x v="0"/>
    <n v="2"/>
    <s v="imovel"/>
    <n v="30"/>
    <x v="3"/>
    <s v="banco"/>
    <x v="0"/>
    <n v="2"/>
    <x v="0"/>
    <n v="1"/>
    <s v="não"/>
    <x v="0"/>
    <n v="1"/>
  </r>
  <r>
    <n v="224"/>
    <x v="0"/>
    <s v="sem conta corrente"/>
    <s v="sem conta no banco"/>
    <x v="4"/>
    <x v="2"/>
    <x v="5"/>
    <n v="2978"/>
    <s v="sem poupança"/>
    <s v="sem poupança"/>
    <s v="&lt; 4 anos"/>
    <s v="Intermediário (1-4 anos)"/>
    <x v="0"/>
    <x v="0"/>
    <s v="solteiro"/>
    <x v="0"/>
    <n v="4"/>
    <s v="imovel"/>
    <n v="32"/>
    <x v="3"/>
    <s v="nenhum"/>
    <x v="0"/>
    <n v="2"/>
    <x v="0"/>
    <n v="2"/>
    <s v="sim"/>
    <x v="0"/>
    <n v="1"/>
  </r>
  <r>
    <n v="225"/>
    <x v="0"/>
    <s v="sem conta corrente"/>
    <s v="sem conta no banco"/>
    <x v="7"/>
    <x v="1"/>
    <x v="4"/>
    <n v="4657"/>
    <s v="&lt; 100 $"/>
    <s v="Baixo (&lt; 100 $)"/>
    <s v="&lt; 4 anos"/>
    <s v="Intermediário (1-4 anos)"/>
    <x v="2"/>
    <x v="0"/>
    <s v="solteiro"/>
    <x v="0"/>
    <n v="2"/>
    <s v="carro ou outros-quitado"/>
    <n v="30"/>
    <x v="3"/>
    <s v="nenhum"/>
    <x v="0"/>
    <n v="1"/>
    <x v="0"/>
    <n v="1"/>
    <s v="sim"/>
    <x v="0"/>
    <n v="1"/>
  </r>
  <r>
    <n v="226"/>
    <x v="0"/>
    <s v="sem conta corrente"/>
    <s v="sem conta no banco"/>
    <x v="5"/>
    <x v="3"/>
    <x v="7"/>
    <n v="2613"/>
    <s v="&lt; 100 $"/>
    <s v="Baixo (&lt; 100 $)"/>
    <s v="&lt; 4 anos"/>
    <s v="Intermediário (1-4 anos)"/>
    <x v="0"/>
    <x v="0"/>
    <s v="solteiro"/>
    <x v="0"/>
    <n v="2"/>
    <s v="carro ou outros-quitado"/>
    <n v="27"/>
    <x v="3"/>
    <s v="nenhum"/>
    <x v="0"/>
    <n v="2"/>
    <x v="0"/>
    <n v="1"/>
    <s v="não"/>
    <x v="0"/>
    <n v="1"/>
  </r>
  <r>
    <n v="227"/>
    <x v="1"/>
    <s v="&gt;= 0 &lt; 200 $"/>
    <s v="saldo baixo"/>
    <x v="1"/>
    <x v="1"/>
    <x v="0"/>
    <n v="10961"/>
    <s v="&gt;= 1000 $"/>
    <s v="Muito alto (&gt;1000$)"/>
    <s v="&lt; 7 anos"/>
    <s v="Estável (4-7 anos)"/>
    <x v="3"/>
    <x v="0"/>
    <s v="solteiro"/>
    <x v="2"/>
    <n v="2"/>
    <s v="sem bens"/>
    <n v="27"/>
    <x v="3"/>
    <s v="banco"/>
    <x v="0"/>
    <n v="2"/>
    <x v="0"/>
    <n v="1"/>
    <s v="sim"/>
    <x v="0"/>
    <n v="2"/>
  </r>
  <r>
    <n v="228"/>
    <x v="1"/>
    <s v="&lt; 0 $"/>
    <s v="negativo/devedor"/>
    <x v="2"/>
    <x v="1"/>
    <x v="2"/>
    <n v="7865"/>
    <s v="&lt; 100 $"/>
    <s v="Baixo (&lt; 100 $)"/>
    <s v="&gt;= 7 anos"/>
    <s v="Muito Estável (&gt; 7 anos)"/>
    <x v="0"/>
    <x v="0"/>
    <s v="solteiro"/>
    <x v="0"/>
    <n v="4"/>
    <s v="sem bens"/>
    <n v="53"/>
    <x v="2"/>
    <s v="nenhum"/>
    <x v="1"/>
    <n v="1"/>
    <x v="2"/>
    <n v="1"/>
    <s v="sim"/>
    <x v="0"/>
    <n v="2"/>
  </r>
  <r>
    <n v="229"/>
    <x v="1"/>
    <s v="sem conta corrente"/>
    <s v="sem conta no banco"/>
    <x v="8"/>
    <x v="1"/>
    <x v="0"/>
    <n v="1478"/>
    <s v="&lt; 100 $"/>
    <s v="Baixo (&lt; 100 $)"/>
    <s v="&lt; 7 anos"/>
    <s v="Estável (4-7 anos)"/>
    <x v="0"/>
    <x v="0"/>
    <s v="solteiro"/>
    <x v="0"/>
    <n v="2"/>
    <s v="carro ou outros-quitado"/>
    <n v="22"/>
    <x v="1"/>
    <s v="nenhum"/>
    <x v="0"/>
    <n v="1"/>
    <x v="0"/>
    <n v="1"/>
    <s v="não"/>
    <x v="0"/>
    <n v="2"/>
  </r>
  <r>
    <n v="230"/>
    <x v="0"/>
    <s v="&lt; 0 $"/>
    <s v="negativo/devedor"/>
    <x v="4"/>
    <x v="1"/>
    <x v="2"/>
    <n v="3149"/>
    <s v="&lt; 100 $"/>
    <s v="Baixo (&lt; 100 $)"/>
    <s v="&lt; 1 ano"/>
    <s v="Iniciante (&lt; 1 ano)"/>
    <x v="0"/>
    <x v="0"/>
    <s v="solteiro"/>
    <x v="0"/>
    <n v="1"/>
    <s v="sem bens"/>
    <n v="22"/>
    <x v="1"/>
    <s v="banco"/>
    <x v="1"/>
    <n v="1"/>
    <x v="0"/>
    <n v="1"/>
    <s v="não"/>
    <x v="0"/>
    <n v="1"/>
  </r>
  <r>
    <n v="231"/>
    <x v="1"/>
    <s v="&gt;= 200 $"/>
    <s v="saldo saudável"/>
    <x v="5"/>
    <x v="1"/>
    <x v="0"/>
    <n v="4210"/>
    <s v="&lt; 100 $"/>
    <s v="Baixo (&lt; 100 $)"/>
    <s v="&lt; 4 anos"/>
    <s v="Intermediário (1-4 anos)"/>
    <x v="0"/>
    <x v="0"/>
    <s v="solteiro"/>
    <x v="0"/>
    <n v="2"/>
    <s v="carro ou outros-quitado"/>
    <n v="26"/>
    <x v="3"/>
    <s v="nenhum"/>
    <x v="0"/>
    <n v="1"/>
    <x v="0"/>
    <n v="1"/>
    <s v="não"/>
    <x v="0"/>
    <n v="2"/>
  </r>
  <r>
    <n v="232"/>
    <x v="0"/>
    <s v="sem conta corrente"/>
    <s v="sem conta no banco"/>
    <x v="8"/>
    <x v="1"/>
    <x v="3"/>
    <n v="2507"/>
    <s v="&gt;= 500 &lt; 1000 $"/>
    <s v="Alto (500-1000 $)"/>
    <s v="&gt;= 7 anos"/>
    <s v="Muito Estável (&gt; 7 anos)"/>
    <x v="1"/>
    <x v="0"/>
    <s v="solteiro"/>
    <x v="0"/>
    <n v="4"/>
    <s v="sem bens"/>
    <n v="51"/>
    <x v="2"/>
    <s v="nenhum"/>
    <x v="1"/>
    <n v="1"/>
    <x v="1"/>
    <n v="1"/>
    <s v="não"/>
    <x v="0"/>
    <n v="1"/>
  </r>
  <r>
    <n v="233"/>
    <x v="0"/>
    <s v="sem conta corrente"/>
    <s v="sem conta no banco"/>
    <x v="2"/>
    <x v="1"/>
    <x v="0"/>
    <n v="2141"/>
    <s v="&gt;= 100 &lt; 500 $"/>
    <s v="Médio (100-500$)"/>
    <s v="&lt; 7 anos"/>
    <s v="Estável (4-7 anos)"/>
    <x v="2"/>
    <x v="0"/>
    <s v="solteiro"/>
    <x v="0"/>
    <n v="1"/>
    <s v="sem bens"/>
    <n v="35"/>
    <x v="3"/>
    <s v="nenhum"/>
    <x v="0"/>
    <n v="1"/>
    <x v="0"/>
    <n v="1"/>
    <s v="não"/>
    <x v="0"/>
    <n v="1"/>
  </r>
  <r>
    <n v="234"/>
    <x v="0"/>
    <s v="&gt;= 0 &lt; 200 $"/>
    <s v="saldo baixo"/>
    <x v="12"/>
    <x v="1"/>
    <x v="0"/>
    <n v="866"/>
    <s v="&lt; 100 $"/>
    <s v="Baixo (&lt; 100 $)"/>
    <s v="&lt; 4 anos"/>
    <s v="Intermediário (1-4 anos)"/>
    <x v="0"/>
    <x v="0"/>
    <s v="casado/viuvo"/>
    <x v="1"/>
    <n v="2"/>
    <s v="imovel"/>
    <n v="25"/>
    <x v="3"/>
    <s v="nenhum"/>
    <x v="0"/>
    <n v="1"/>
    <x v="1"/>
    <n v="1"/>
    <s v="não"/>
    <x v="0"/>
    <n v="1"/>
  </r>
  <r>
    <n v="235"/>
    <x v="0"/>
    <s v="sem conta corrente"/>
    <s v="sem conta no banco"/>
    <x v="23"/>
    <x v="0"/>
    <x v="0"/>
    <n v="1544"/>
    <s v="&lt; 100 $"/>
    <s v="Baixo (&lt; 100 $)"/>
    <s v="&lt; 7 anos"/>
    <s v="Estável (4-7 anos)"/>
    <x v="1"/>
    <x v="0"/>
    <s v="solteiro"/>
    <x v="0"/>
    <n v="1"/>
    <s v="imovel"/>
    <n v="42"/>
    <x v="2"/>
    <s v="nenhum"/>
    <x v="0"/>
    <n v="3"/>
    <x v="1"/>
    <n v="2"/>
    <s v="não"/>
    <x v="0"/>
    <n v="1"/>
  </r>
  <r>
    <n v="236"/>
    <x v="1"/>
    <s v="&lt; 0 $"/>
    <s v="negativo/devedor"/>
    <x v="4"/>
    <x v="1"/>
    <x v="0"/>
    <n v="1823"/>
    <s v="&lt; 100 $"/>
    <s v="Baixo (&lt; 100 $)"/>
    <s v="desempregado"/>
    <s v="desempregado"/>
    <x v="0"/>
    <x v="0"/>
    <s v="solteiro"/>
    <x v="0"/>
    <n v="2"/>
    <s v="carro ou outros-quitado"/>
    <n v="30"/>
    <x v="3"/>
    <s v="loja"/>
    <x v="0"/>
    <n v="1"/>
    <x v="2"/>
    <n v="2"/>
    <s v="não"/>
    <x v="0"/>
    <n v="2"/>
  </r>
  <r>
    <n v="237"/>
    <x v="1"/>
    <s v="&gt;= 0 &lt; 200 $"/>
    <s v="saldo baixo"/>
    <x v="0"/>
    <x v="1"/>
    <x v="3"/>
    <n v="14555"/>
    <s v="sem poupança"/>
    <s v="sem poupança"/>
    <s v="desempregado"/>
    <s v="desempregado"/>
    <x v="3"/>
    <x v="0"/>
    <s v="solteiro"/>
    <x v="0"/>
    <n v="2"/>
    <s v="poupança ou seguro de vida"/>
    <n v="23"/>
    <x v="1"/>
    <s v="nenhum"/>
    <x v="0"/>
    <n v="1"/>
    <x v="3"/>
    <n v="1"/>
    <s v="sim"/>
    <x v="0"/>
    <n v="2"/>
  </r>
  <r>
    <n v="238"/>
    <x v="1"/>
    <s v="&gt;= 0 &lt; 200 $"/>
    <s v="saldo baixo"/>
    <x v="21"/>
    <x v="1"/>
    <x v="5"/>
    <n v="2767"/>
    <s v="&gt;= 100 &lt; 500 $"/>
    <s v="Médio (100-500$)"/>
    <s v="&gt;= 7 anos"/>
    <s v="Muito Estável (&gt; 7 anos)"/>
    <x v="0"/>
    <x v="0"/>
    <s v="divorciado"/>
    <x v="0"/>
    <n v="2"/>
    <s v="carro ou outros-quitado"/>
    <n v="61"/>
    <x v="0"/>
    <s v="banco"/>
    <x v="2"/>
    <n v="2"/>
    <x v="1"/>
    <n v="1"/>
    <s v="não"/>
    <x v="0"/>
    <n v="2"/>
  </r>
  <r>
    <n v="239"/>
    <x v="0"/>
    <s v="sem conta corrente"/>
    <s v="sem conta no banco"/>
    <x v="2"/>
    <x v="0"/>
    <x v="0"/>
    <n v="1291"/>
    <s v="&lt; 100 $"/>
    <s v="Baixo (&lt; 100 $)"/>
    <s v="&lt; 4 anos"/>
    <s v="Intermediário (1-4 anos)"/>
    <x v="0"/>
    <x v="1"/>
    <s v="divorciada/casada"/>
    <x v="0"/>
    <n v="2"/>
    <s v="poupança ou seguro de vida"/>
    <n v="35"/>
    <x v="3"/>
    <s v="nenhum"/>
    <x v="0"/>
    <n v="2"/>
    <x v="0"/>
    <n v="1"/>
    <s v="não"/>
    <x v="0"/>
    <n v="1"/>
  </r>
  <r>
    <n v="240"/>
    <x v="0"/>
    <s v="&lt; 0 $"/>
    <s v="negativo/devedor"/>
    <x v="6"/>
    <x v="1"/>
    <x v="0"/>
    <n v="2522"/>
    <s v="&lt; 100 $"/>
    <s v="Baixo (&lt; 100 $)"/>
    <s v="&gt;= 7 anos"/>
    <s v="Muito Estável (&gt; 7 anos)"/>
    <x v="3"/>
    <x v="0"/>
    <s v="solteiro"/>
    <x v="1"/>
    <n v="3"/>
    <s v="poupança ou seguro de vida"/>
    <n v="39"/>
    <x v="3"/>
    <s v="nenhum"/>
    <x v="0"/>
    <n v="1"/>
    <x v="0"/>
    <n v="2"/>
    <s v="não"/>
    <x v="0"/>
    <n v="1"/>
  </r>
  <r>
    <n v="241"/>
    <x v="1"/>
    <s v="&lt; 0 $"/>
    <s v="negativo/devedor"/>
    <x v="4"/>
    <x v="1"/>
    <x v="3"/>
    <n v="915"/>
    <s v="sem poupança"/>
    <s v="sem poupança"/>
    <s v="&gt;= 7 anos"/>
    <s v="Muito Estável (&gt; 7 anos)"/>
    <x v="0"/>
    <x v="1"/>
    <s v="divorciada/casada"/>
    <x v="0"/>
    <n v="2"/>
    <s v="carro ou outros-quitado"/>
    <n v="29"/>
    <x v="3"/>
    <s v="banco"/>
    <x v="0"/>
    <n v="1"/>
    <x v="0"/>
    <n v="1"/>
    <s v="não"/>
    <x v="0"/>
    <n v="2"/>
  </r>
  <r>
    <n v="242"/>
    <x v="0"/>
    <s v="sem conta corrente"/>
    <s v="sem conta no banco"/>
    <x v="0"/>
    <x v="1"/>
    <x v="0"/>
    <n v="1595"/>
    <s v="&lt; 100 $"/>
    <s v="Baixo (&lt; 100 $)"/>
    <s v="&lt; 7 anos"/>
    <s v="Estável (4-7 anos)"/>
    <x v="2"/>
    <x v="0"/>
    <s v="solteiro"/>
    <x v="0"/>
    <n v="2"/>
    <s v="poupança ou seguro de vida"/>
    <n v="51"/>
    <x v="2"/>
    <s v="nenhum"/>
    <x v="0"/>
    <n v="1"/>
    <x v="0"/>
    <n v="2"/>
    <s v="não"/>
    <x v="0"/>
    <n v="1"/>
  </r>
  <r>
    <n v="243"/>
    <x v="1"/>
    <s v="&lt; 0 $"/>
    <s v="negativo/devedor"/>
    <x v="1"/>
    <x v="3"/>
    <x v="4"/>
    <n v="4605"/>
    <s v="&lt; 100 $"/>
    <s v="Baixo (&lt; 100 $)"/>
    <s v="&gt;= 7 anos"/>
    <s v="Muito Estável (&gt; 7 anos)"/>
    <x v="2"/>
    <x v="0"/>
    <s v="solteiro"/>
    <x v="0"/>
    <n v="4"/>
    <s v="sem bens"/>
    <n v="24"/>
    <x v="1"/>
    <s v="nenhum"/>
    <x v="1"/>
    <n v="2"/>
    <x v="0"/>
    <n v="2"/>
    <s v="não"/>
    <x v="0"/>
    <n v="2"/>
  </r>
  <r>
    <n v="244"/>
    <x v="0"/>
    <s v="sem conta corrente"/>
    <s v="sem conta no banco"/>
    <x v="2"/>
    <x v="0"/>
    <x v="5"/>
    <n v="1185"/>
    <s v="&lt; 100 $"/>
    <s v="Baixo (&lt; 100 $)"/>
    <s v="&lt; 4 anos"/>
    <s v="Intermediário (1-4 anos)"/>
    <x v="2"/>
    <x v="1"/>
    <s v="divorciada/casada"/>
    <x v="0"/>
    <n v="2"/>
    <s v="imovel"/>
    <n v="27"/>
    <x v="3"/>
    <s v="nenhum"/>
    <x v="0"/>
    <n v="2"/>
    <x v="0"/>
    <n v="1"/>
    <s v="não"/>
    <x v="0"/>
    <n v="1"/>
  </r>
  <r>
    <n v="245"/>
    <x v="0"/>
    <s v="sem conta corrente"/>
    <s v="sem conta no banco"/>
    <x v="2"/>
    <x v="4"/>
    <x v="9"/>
    <n v="3447"/>
    <s v="&gt;= 500 &lt; 1000 $"/>
    <s v="Alto (500-1000 $)"/>
    <s v="&lt; 4 anos"/>
    <s v="Intermediário (1-4 anos)"/>
    <x v="0"/>
    <x v="1"/>
    <s v="divorciada/casada"/>
    <x v="0"/>
    <n v="3"/>
    <s v="imovel"/>
    <n v="35"/>
    <x v="3"/>
    <s v="nenhum"/>
    <x v="0"/>
    <n v="1"/>
    <x v="1"/>
    <n v="2"/>
    <s v="não"/>
    <x v="0"/>
    <n v="1"/>
  </r>
  <r>
    <n v="246"/>
    <x v="0"/>
    <s v="sem conta corrente"/>
    <s v="sem conta no banco"/>
    <x v="4"/>
    <x v="1"/>
    <x v="5"/>
    <n v="1258"/>
    <s v="&lt; 100 $"/>
    <s v="Baixo (&lt; 100 $)"/>
    <s v="&lt; 7 anos"/>
    <s v="Estável (4-7 anos)"/>
    <x v="0"/>
    <x v="0"/>
    <s v="solteiro"/>
    <x v="0"/>
    <n v="1"/>
    <s v="imovel"/>
    <n v="25"/>
    <x v="3"/>
    <s v="nenhum"/>
    <x v="0"/>
    <n v="1"/>
    <x v="0"/>
    <n v="1"/>
    <s v="sim"/>
    <x v="0"/>
    <n v="1"/>
  </r>
  <r>
    <n v="247"/>
    <x v="0"/>
    <s v="sem conta corrente"/>
    <s v="sem conta no banco"/>
    <x v="2"/>
    <x v="0"/>
    <x v="0"/>
    <n v="717"/>
    <s v="&lt; 100 $"/>
    <s v="Baixo (&lt; 100 $)"/>
    <s v="&gt;= 7 anos"/>
    <s v="Muito Estável (&gt; 7 anos)"/>
    <x v="0"/>
    <x v="0"/>
    <s v="solteiro"/>
    <x v="0"/>
    <n v="4"/>
    <s v="imovel"/>
    <n v="52"/>
    <x v="2"/>
    <s v="nenhum"/>
    <x v="0"/>
    <n v="3"/>
    <x v="0"/>
    <n v="1"/>
    <s v="não"/>
    <x v="0"/>
    <n v="1"/>
  </r>
  <r>
    <n v="248"/>
    <x v="0"/>
    <s v="sem conta corrente"/>
    <s v="sem conta no banco"/>
    <x v="0"/>
    <x v="3"/>
    <x v="3"/>
    <n v="1204"/>
    <s v="&gt;= 100 &lt; 500 $"/>
    <s v="Médio (100-500$)"/>
    <s v="&lt; 4 anos"/>
    <s v="Intermediário (1-4 anos)"/>
    <x v="0"/>
    <x v="0"/>
    <s v="solteiro"/>
    <x v="0"/>
    <n v="1"/>
    <s v="sem bens"/>
    <n v="35"/>
    <x v="3"/>
    <s v="banco"/>
    <x v="2"/>
    <n v="1"/>
    <x v="0"/>
    <n v="1"/>
    <s v="não"/>
    <x v="1"/>
    <n v="1"/>
  </r>
  <r>
    <n v="249"/>
    <x v="0"/>
    <s v="&gt;= 200 $"/>
    <s v="saldo saudável"/>
    <x v="4"/>
    <x v="1"/>
    <x v="2"/>
    <n v="1925"/>
    <s v="&lt; 100 $"/>
    <s v="Baixo (&lt; 100 $)"/>
    <s v="&lt; 4 anos"/>
    <s v="Intermediário (1-4 anos)"/>
    <x v="1"/>
    <x v="0"/>
    <s v="solteiro"/>
    <x v="0"/>
    <n v="2"/>
    <s v="imovel"/>
    <n v="26"/>
    <x v="3"/>
    <s v="nenhum"/>
    <x v="0"/>
    <n v="1"/>
    <x v="0"/>
    <n v="1"/>
    <s v="não"/>
    <x v="0"/>
    <n v="1"/>
  </r>
  <r>
    <n v="250"/>
    <x v="1"/>
    <s v="sem conta corrente"/>
    <s v="sem conta no banco"/>
    <x v="12"/>
    <x v="1"/>
    <x v="0"/>
    <n v="433"/>
    <s v="&lt; 100 $"/>
    <s v="Baixo (&lt; 100 $)"/>
    <s v="desempregado"/>
    <s v="desempregado"/>
    <x v="2"/>
    <x v="1"/>
    <s v="divorciada/casada"/>
    <x v="2"/>
    <n v="4"/>
    <s v="imovel"/>
    <n v="22"/>
    <x v="1"/>
    <s v="nenhum"/>
    <x v="2"/>
    <n v="1"/>
    <x v="0"/>
    <n v="1"/>
    <s v="não"/>
    <x v="0"/>
    <n v="2"/>
  </r>
  <r>
    <n v="251"/>
    <x v="0"/>
    <s v="&lt; 0 $"/>
    <s v="negativo/devedor"/>
    <x v="0"/>
    <x v="0"/>
    <x v="3"/>
    <n v="666"/>
    <s v="&gt;= 1000 $"/>
    <s v="Muito alto (&gt;1000$)"/>
    <s v="&lt; 7 anos"/>
    <s v="Estável (4-7 anos)"/>
    <x v="2"/>
    <x v="1"/>
    <s v="divorciada/casada"/>
    <x v="0"/>
    <n v="4"/>
    <s v="imovel"/>
    <n v="39"/>
    <x v="3"/>
    <s v="nenhum"/>
    <x v="0"/>
    <n v="2"/>
    <x v="1"/>
    <n v="1"/>
    <s v="sim"/>
    <x v="0"/>
    <n v="1"/>
  </r>
  <r>
    <n v="252"/>
    <x v="0"/>
    <s v="&gt;= 200 $"/>
    <s v="saldo saudável"/>
    <x v="2"/>
    <x v="1"/>
    <x v="2"/>
    <n v="2251"/>
    <s v="&lt; 100 $"/>
    <s v="Baixo (&lt; 100 $)"/>
    <s v="&lt; 4 anos"/>
    <s v="Intermediário (1-4 anos)"/>
    <x v="3"/>
    <x v="1"/>
    <s v="divorciada/casada"/>
    <x v="0"/>
    <n v="2"/>
    <s v="carro ou outros-quitado"/>
    <n v="46"/>
    <x v="2"/>
    <s v="nenhum"/>
    <x v="0"/>
    <n v="1"/>
    <x v="1"/>
    <n v="1"/>
    <s v="não"/>
    <x v="0"/>
    <n v="1"/>
  </r>
  <r>
    <n v="253"/>
    <x v="1"/>
    <s v="&gt;= 0 &lt; 200 $"/>
    <s v="saldo baixo"/>
    <x v="6"/>
    <x v="1"/>
    <x v="3"/>
    <n v="2150"/>
    <s v="&lt; 100 $"/>
    <s v="Baixo (&lt; 100 $)"/>
    <s v="&lt; 4 anos"/>
    <s v="Intermediário (1-4 anos)"/>
    <x v="0"/>
    <x v="1"/>
    <s v="divorciada/casada"/>
    <x v="1"/>
    <n v="2"/>
    <s v="sem bens"/>
    <n v="24"/>
    <x v="1"/>
    <s v="banco"/>
    <x v="0"/>
    <n v="1"/>
    <x v="0"/>
    <n v="1"/>
    <s v="não"/>
    <x v="0"/>
    <n v="2"/>
  </r>
  <r>
    <n v="254"/>
    <x v="0"/>
    <s v="sem conta corrente"/>
    <s v="sem conta no banco"/>
    <x v="4"/>
    <x v="2"/>
    <x v="2"/>
    <n v="4151"/>
    <s v="&gt;= 100 &lt; 500 $"/>
    <s v="Médio (100-500$)"/>
    <s v="&lt; 4 anos"/>
    <s v="Intermediário (1-4 anos)"/>
    <x v="1"/>
    <x v="0"/>
    <s v="solteiro"/>
    <x v="0"/>
    <n v="3"/>
    <s v="poupança ou seguro de vida"/>
    <n v="35"/>
    <x v="3"/>
    <s v="nenhum"/>
    <x v="0"/>
    <n v="2"/>
    <x v="0"/>
    <n v="1"/>
    <s v="não"/>
    <x v="0"/>
    <n v="1"/>
  </r>
  <r>
    <n v="255"/>
    <x v="0"/>
    <s v="&gt;= 0 &lt; 200 $"/>
    <s v="saldo baixo"/>
    <x v="8"/>
    <x v="1"/>
    <x v="2"/>
    <n v="2030"/>
    <s v="sem poupança"/>
    <s v="sem poupança"/>
    <s v="&lt; 7 anos"/>
    <s v="Estável (4-7 anos)"/>
    <x v="1"/>
    <x v="0"/>
    <s v="solteiro"/>
    <x v="0"/>
    <n v="1"/>
    <s v="carro ou outros-quitado"/>
    <n v="24"/>
    <x v="1"/>
    <s v="nenhum"/>
    <x v="0"/>
    <n v="1"/>
    <x v="0"/>
    <n v="1"/>
    <s v="sim"/>
    <x v="0"/>
    <n v="1"/>
  </r>
  <r>
    <n v="256"/>
    <x v="0"/>
    <s v="&gt;= 0 &lt; 200 $"/>
    <s v="saldo baixo"/>
    <x v="11"/>
    <x v="2"/>
    <x v="0"/>
    <n v="7418"/>
    <s v="sem poupança"/>
    <s v="sem poupança"/>
    <s v="&lt; 4 anos"/>
    <s v="Intermediário (1-4 anos)"/>
    <x v="3"/>
    <x v="0"/>
    <s v="solteiro"/>
    <x v="0"/>
    <n v="1"/>
    <s v="imovel"/>
    <n v="27"/>
    <x v="3"/>
    <s v="nenhum"/>
    <x v="0"/>
    <n v="1"/>
    <x v="1"/>
    <n v="1"/>
    <s v="não"/>
    <x v="0"/>
    <n v="1"/>
  </r>
  <r>
    <n v="257"/>
    <x v="0"/>
    <s v="sem conta corrente"/>
    <s v="sem conta no banco"/>
    <x v="4"/>
    <x v="0"/>
    <x v="0"/>
    <n v="2684"/>
    <s v="&lt; 100 $"/>
    <s v="Baixo (&lt; 100 $)"/>
    <s v="&lt; 4 anos"/>
    <s v="Intermediário (1-4 anos)"/>
    <x v="0"/>
    <x v="0"/>
    <s v="solteiro"/>
    <x v="0"/>
    <n v="2"/>
    <s v="imovel"/>
    <n v="35"/>
    <x v="3"/>
    <s v="nenhum"/>
    <x v="0"/>
    <n v="2"/>
    <x v="1"/>
    <n v="1"/>
    <s v="não"/>
    <x v="0"/>
    <n v="1"/>
  </r>
  <r>
    <n v="258"/>
    <x v="1"/>
    <s v="&lt; 0 $"/>
    <s v="negativo/devedor"/>
    <x v="2"/>
    <x v="4"/>
    <x v="0"/>
    <n v="2149"/>
    <s v="&lt; 100 $"/>
    <s v="Baixo (&lt; 100 $)"/>
    <s v="&lt; 4 anos"/>
    <s v="Intermediário (1-4 anos)"/>
    <x v="0"/>
    <x v="0"/>
    <s v="divorciado"/>
    <x v="0"/>
    <n v="1"/>
    <s v="sem bens"/>
    <n v="29"/>
    <x v="3"/>
    <s v="nenhum"/>
    <x v="1"/>
    <n v="1"/>
    <x v="0"/>
    <n v="1"/>
    <s v="não"/>
    <x v="0"/>
    <n v="2"/>
  </r>
  <r>
    <n v="259"/>
    <x v="0"/>
    <s v="sem conta corrente"/>
    <s v="sem conta no banco"/>
    <x v="7"/>
    <x v="1"/>
    <x v="4"/>
    <n v="3812"/>
    <s v="&gt;= 100 &lt; 500 $"/>
    <s v="Médio (100-500$)"/>
    <s v="&lt; 1 ano"/>
    <s v="Iniciante (&lt; 1 ano)"/>
    <x v="3"/>
    <x v="1"/>
    <s v="divorciada/casada"/>
    <x v="0"/>
    <n v="4"/>
    <s v="carro ou outros-quitado"/>
    <n v="23"/>
    <x v="1"/>
    <s v="nenhum"/>
    <x v="0"/>
    <n v="1"/>
    <x v="0"/>
    <n v="1"/>
    <s v="sim"/>
    <x v="0"/>
    <n v="1"/>
  </r>
  <r>
    <n v="260"/>
    <x v="0"/>
    <s v="sem conta corrente"/>
    <s v="sem conta no banco"/>
    <x v="14"/>
    <x v="0"/>
    <x v="0"/>
    <n v="1154"/>
    <s v="&gt;= 100 &lt; 500 $"/>
    <s v="Médio (100-500$)"/>
    <s v="desempregado"/>
    <s v="desempregado"/>
    <x v="0"/>
    <x v="1"/>
    <s v="divorciada/casada"/>
    <x v="0"/>
    <n v="4"/>
    <s v="imovel"/>
    <n v="57"/>
    <x v="2"/>
    <s v="nenhum"/>
    <x v="0"/>
    <n v="3"/>
    <x v="1"/>
    <n v="1"/>
    <s v="não"/>
    <x v="0"/>
    <n v="1"/>
  </r>
  <r>
    <n v="261"/>
    <x v="0"/>
    <s v="&lt; 0 $"/>
    <s v="negativo/devedor"/>
    <x v="2"/>
    <x v="1"/>
    <x v="2"/>
    <n v="1657"/>
    <s v="&lt; 100 $"/>
    <s v="Baixo (&lt; 100 $)"/>
    <s v="&lt; 4 anos"/>
    <s v="Intermediário (1-4 anos)"/>
    <x v="1"/>
    <x v="0"/>
    <s v="solteiro"/>
    <x v="0"/>
    <n v="2"/>
    <s v="imovel"/>
    <n v="27"/>
    <x v="3"/>
    <s v="nenhum"/>
    <x v="0"/>
    <n v="1"/>
    <x v="0"/>
    <n v="1"/>
    <s v="não"/>
    <x v="0"/>
    <n v="1"/>
  </r>
  <r>
    <n v="262"/>
    <x v="0"/>
    <s v="&lt; 0 $"/>
    <s v="negativo/devedor"/>
    <x v="4"/>
    <x v="1"/>
    <x v="0"/>
    <n v="1603"/>
    <s v="&lt; 100 $"/>
    <s v="Baixo (&lt; 100 $)"/>
    <s v="&gt;= 7 anos"/>
    <s v="Muito Estável (&gt; 7 anos)"/>
    <x v="0"/>
    <x v="1"/>
    <s v="divorciada/casada"/>
    <x v="0"/>
    <n v="4"/>
    <s v="carro ou outros-quitado"/>
    <n v="55"/>
    <x v="2"/>
    <s v="nenhum"/>
    <x v="0"/>
    <n v="1"/>
    <x v="0"/>
    <n v="1"/>
    <s v="não"/>
    <x v="0"/>
    <n v="1"/>
  </r>
  <r>
    <n v="263"/>
    <x v="0"/>
    <s v="&lt; 0 $"/>
    <s v="negativo/devedor"/>
    <x v="12"/>
    <x v="0"/>
    <x v="3"/>
    <n v="5302"/>
    <s v="&lt; 100 $"/>
    <s v="Baixo (&lt; 100 $)"/>
    <s v="&gt;= 7 anos"/>
    <s v="Muito Estável (&gt; 7 anos)"/>
    <x v="1"/>
    <x v="0"/>
    <s v="solteiro"/>
    <x v="0"/>
    <n v="4"/>
    <s v="sem bens"/>
    <n v="36"/>
    <x v="3"/>
    <s v="nenhum"/>
    <x v="1"/>
    <n v="3"/>
    <x v="2"/>
    <n v="1"/>
    <s v="sim"/>
    <x v="0"/>
    <n v="1"/>
  </r>
  <r>
    <n v="264"/>
    <x v="0"/>
    <s v="sem conta corrente"/>
    <s v="sem conta no banco"/>
    <x v="2"/>
    <x v="0"/>
    <x v="1"/>
    <n v="2748"/>
    <s v="&lt; 100 $"/>
    <s v="Baixo (&lt; 100 $)"/>
    <s v="&gt;= 7 anos"/>
    <s v="Muito Estável (&gt; 7 anos)"/>
    <x v="1"/>
    <x v="1"/>
    <s v="divorciada/casada"/>
    <x v="0"/>
    <n v="4"/>
    <s v="sem bens"/>
    <n v="57"/>
    <x v="2"/>
    <s v="banco"/>
    <x v="1"/>
    <n v="3"/>
    <x v="1"/>
    <n v="1"/>
    <s v="não"/>
    <x v="0"/>
    <n v="1"/>
  </r>
  <r>
    <n v="265"/>
    <x v="0"/>
    <s v="sem conta corrente"/>
    <s v="sem conta no banco"/>
    <x v="9"/>
    <x v="0"/>
    <x v="3"/>
    <n v="1231"/>
    <s v="&lt; 100 $"/>
    <s v="Baixo (&lt; 100 $)"/>
    <s v="&gt;= 7 anos"/>
    <s v="Muito Estável (&gt; 7 anos)"/>
    <x v="2"/>
    <x v="0"/>
    <s v="solteiro"/>
    <x v="0"/>
    <n v="4"/>
    <s v="imovel"/>
    <n v="32"/>
    <x v="3"/>
    <s v="nenhum"/>
    <x v="0"/>
    <n v="2"/>
    <x v="1"/>
    <n v="2"/>
    <s v="não"/>
    <x v="1"/>
    <n v="1"/>
  </r>
  <r>
    <n v="266"/>
    <x v="1"/>
    <s v="&gt;= 0 &lt; 200 $"/>
    <s v="saldo baixo"/>
    <x v="7"/>
    <x v="1"/>
    <x v="0"/>
    <n v="802"/>
    <s v="&lt; 100 $"/>
    <s v="Baixo (&lt; 100 $)"/>
    <s v="&gt;= 7 anos"/>
    <s v="Muito Estável (&gt; 7 anos)"/>
    <x v="0"/>
    <x v="0"/>
    <s v="solteiro"/>
    <x v="0"/>
    <n v="3"/>
    <s v="carro ou outros-quitado"/>
    <n v="37"/>
    <x v="3"/>
    <s v="nenhum"/>
    <x v="0"/>
    <n v="1"/>
    <x v="0"/>
    <n v="2"/>
    <s v="não"/>
    <x v="0"/>
    <n v="2"/>
  </r>
  <r>
    <n v="267"/>
    <x v="0"/>
    <s v="sem conta corrente"/>
    <s v="sem conta no banco"/>
    <x v="5"/>
    <x v="0"/>
    <x v="5"/>
    <n v="6304"/>
    <s v="sem poupança"/>
    <s v="sem poupança"/>
    <s v="&gt;= 7 anos"/>
    <s v="Muito Estável (&gt; 7 anos)"/>
    <x v="0"/>
    <x v="0"/>
    <s v="solteiro"/>
    <x v="0"/>
    <n v="4"/>
    <s v="imovel"/>
    <n v="36"/>
    <x v="3"/>
    <s v="nenhum"/>
    <x v="0"/>
    <n v="2"/>
    <x v="0"/>
    <n v="1"/>
    <s v="não"/>
    <x v="0"/>
    <n v="1"/>
  </r>
  <r>
    <n v="268"/>
    <x v="0"/>
    <s v="sem conta corrente"/>
    <s v="sem conta no banco"/>
    <x v="4"/>
    <x v="1"/>
    <x v="0"/>
    <n v="1533"/>
    <s v="&lt; 100 $"/>
    <s v="Baixo (&lt; 100 $)"/>
    <s v="&lt; 1 ano"/>
    <s v="Iniciante (&lt; 1 ano)"/>
    <x v="0"/>
    <x v="1"/>
    <s v="divorciada/casada"/>
    <x v="0"/>
    <n v="3"/>
    <s v="carro ou outros-quitado"/>
    <n v="38"/>
    <x v="3"/>
    <s v="loja"/>
    <x v="0"/>
    <n v="1"/>
    <x v="0"/>
    <n v="1"/>
    <s v="sim"/>
    <x v="0"/>
    <n v="1"/>
  </r>
  <r>
    <n v="269"/>
    <x v="1"/>
    <s v="&lt; 0 $"/>
    <s v="negativo/devedor"/>
    <x v="19"/>
    <x v="1"/>
    <x v="3"/>
    <n v="8978"/>
    <s v="&lt; 100 $"/>
    <s v="Baixo (&lt; 100 $)"/>
    <s v="&gt;= 7 anos"/>
    <s v="Muito Estável (&gt; 7 anos)"/>
    <x v="3"/>
    <x v="0"/>
    <s v="divorciado"/>
    <x v="0"/>
    <n v="4"/>
    <s v="poupança ou seguro de vida"/>
    <n v="45"/>
    <x v="2"/>
    <s v="nenhum"/>
    <x v="0"/>
    <n v="1"/>
    <x v="2"/>
    <n v="1"/>
    <s v="sim"/>
    <x v="1"/>
    <n v="2"/>
  </r>
  <r>
    <n v="270"/>
    <x v="0"/>
    <s v="sem conta corrente"/>
    <s v="sem conta no banco"/>
    <x v="4"/>
    <x v="1"/>
    <x v="0"/>
    <n v="999"/>
    <s v="sem poupança"/>
    <s v="sem poupança"/>
    <s v="&gt;= 7 anos"/>
    <s v="Muito Estável (&gt; 7 anos)"/>
    <x v="0"/>
    <x v="0"/>
    <s v="solteiro"/>
    <x v="0"/>
    <n v="2"/>
    <s v="carro ou outros-quitado"/>
    <n v="25"/>
    <x v="3"/>
    <s v="nenhum"/>
    <x v="0"/>
    <n v="2"/>
    <x v="0"/>
    <n v="1"/>
    <s v="não"/>
    <x v="0"/>
    <n v="1"/>
  </r>
  <r>
    <n v="271"/>
    <x v="0"/>
    <s v="sem conta corrente"/>
    <s v="sem conta no banco"/>
    <x v="12"/>
    <x v="1"/>
    <x v="3"/>
    <n v="2662"/>
    <s v="sem poupança"/>
    <s v="sem poupança"/>
    <s v="&lt; 7 anos"/>
    <s v="Estável (4-7 anos)"/>
    <x v="0"/>
    <x v="0"/>
    <s v="solteiro"/>
    <x v="0"/>
    <n v="3"/>
    <s v="poupança ou seguro de vida"/>
    <n v="32"/>
    <x v="3"/>
    <s v="nenhum"/>
    <x v="0"/>
    <n v="1"/>
    <x v="0"/>
    <n v="1"/>
    <s v="não"/>
    <x v="1"/>
    <n v="1"/>
  </r>
  <r>
    <n v="272"/>
    <x v="0"/>
    <s v="sem conta corrente"/>
    <s v="sem conta no banco"/>
    <x v="2"/>
    <x v="0"/>
    <x v="2"/>
    <n v="1402"/>
    <s v="&gt;= 500 &lt; 1000 $"/>
    <s v="Alto (500-1000 $)"/>
    <s v="&lt; 7 anos"/>
    <s v="Estável (4-7 anos)"/>
    <x v="2"/>
    <x v="1"/>
    <s v="divorciada/casada"/>
    <x v="0"/>
    <n v="4"/>
    <s v="carro ou outros-quitado"/>
    <n v="37"/>
    <x v="3"/>
    <s v="nenhum"/>
    <x v="2"/>
    <n v="1"/>
    <x v="0"/>
    <n v="1"/>
    <s v="sim"/>
    <x v="0"/>
    <n v="1"/>
  </r>
  <r>
    <n v="273"/>
    <x v="0"/>
    <s v="&gt;= 0 &lt; 200 $"/>
    <s v="saldo baixo"/>
    <x v="1"/>
    <x v="4"/>
    <x v="3"/>
    <n v="12169"/>
    <s v="sem poupança"/>
    <s v="sem poupança"/>
    <s v="desempregado"/>
    <s v="desempregado"/>
    <x v="0"/>
    <x v="0"/>
    <s v="solteiro"/>
    <x v="2"/>
    <n v="4"/>
    <s v="sem bens"/>
    <n v="36"/>
    <x v="3"/>
    <s v="nenhum"/>
    <x v="1"/>
    <n v="1"/>
    <x v="2"/>
    <n v="1"/>
    <s v="sim"/>
    <x v="0"/>
    <n v="1"/>
  </r>
  <r>
    <n v="274"/>
    <x v="1"/>
    <s v="&gt;= 0 &lt; 200 $"/>
    <s v="saldo baixo"/>
    <x v="1"/>
    <x v="1"/>
    <x v="0"/>
    <n v="3060"/>
    <s v="&lt; 100 $"/>
    <s v="Baixo (&lt; 100 $)"/>
    <s v="&lt; 7 anos"/>
    <s v="Estável (4-7 anos)"/>
    <x v="0"/>
    <x v="0"/>
    <s v="solteiro"/>
    <x v="0"/>
    <n v="4"/>
    <s v="imovel"/>
    <n v="28"/>
    <x v="3"/>
    <s v="nenhum"/>
    <x v="0"/>
    <n v="2"/>
    <x v="0"/>
    <n v="1"/>
    <s v="não"/>
    <x v="0"/>
    <n v="2"/>
  </r>
  <r>
    <n v="275"/>
    <x v="1"/>
    <s v="&lt; 0 $"/>
    <s v="negativo/devedor"/>
    <x v="6"/>
    <x v="1"/>
    <x v="7"/>
    <n v="11998"/>
    <s v="&lt; 100 $"/>
    <s v="Baixo (&lt; 100 $)"/>
    <s v="&lt; 1 ano"/>
    <s v="Iniciante (&lt; 1 ano)"/>
    <x v="3"/>
    <x v="0"/>
    <s v="divorciado"/>
    <x v="0"/>
    <n v="1"/>
    <s v="sem bens"/>
    <n v="34"/>
    <x v="3"/>
    <s v="nenhum"/>
    <x v="0"/>
    <n v="1"/>
    <x v="1"/>
    <n v="1"/>
    <s v="sim"/>
    <x v="0"/>
    <n v="2"/>
  </r>
  <r>
    <n v="276"/>
    <x v="0"/>
    <s v="sem conta corrente"/>
    <s v="sem conta no banco"/>
    <x v="8"/>
    <x v="1"/>
    <x v="0"/>
    <n v="2697"/>
    <s v="&lt; 100 $"/>
    <s v="Baixo (&lt; 100 $)"/>
    <s v="&lt; 4 anos"/>
    <s v="Intermediário (1-4 anos)"/>
    <x v="3"/>
    <x v="0"/>
    <s v="solteiro"/>
    <x v="0"/>
    <n v="2"/>
    <s v="imovel"/>
    <n v="32"/>
    <x v="3"/>
    <s v="nenhum"/>
    <x v="0"/>
    <n v="1"/>
    <x v="0"/>
    <n v="2"/>
    <s v="não"/>
    <x v="0"/>
    <n v="1"/>
  </r>
  <r>
    <n v="277"/>
    <x v="0"/>
    <s v="sem conta corrente"/>
    <s v="sem conta no banco"/>
    <x v="12"/>
    <x v="0"/>
    <x v="0"/>
    <n v="2404"/>
    <s v="&lt; 100 $"/>
    <s v="Baixo (&lt; 100 $)"/>
    <s v="&lt; 4 anos"/>
    <s v="Intermediário (1-4 anos)"/>
    <x v="1"/>
    <x v="1"/>
    <s v="divorciada/casada"/>
    <x v="0"/>
    <n v="2"/>
    <s v="carro ou outros-quitado"/>
    <n v="26"/>
    <x v="3"/>
    <s v="nenhum"/>
    <x v="0"/>
    <n v="2"/>
    <x v="0"/>
    <n v="1"/>
    <s v="não"/>
    <x v="0"/>
    <n v="1"/>
  </r>
  <r>
    <n v="278"/>
    <x v="0"/>
    <s v="&lt; 0 $"/>
    <s v="negativo/devedor"/>
    <x v="2"/>
    <x v="1"/>
    <x v="2"/>
    <n v="1262"/>
    <s v="sem poupança"/>
    <s v="sem poupança"/>
    <s v="&gt;= 7 anos"/>
    <s v="Muito Estável (&gt; 7 anos)"/>
    <x v="1"/>
    <x v="0"/>
    <s v="divorciado"/>
    <x v="0"/>
    <n v="4"/>
    <s v="poupança ou seguro de vida"/>
    <n v="49"/>
    <x v="2"/>
    <s v="nenhum"/>
    <x v="0"/>
    <n v="1"/>
    <x v="1"/>
    <n v="1"/>
    <s v="sim"/>
    <x v="0"/>
    <n v="1"/>
  </r>
  <r>
    <n v="279"/>
    <x v="1"/>
    <s v="sem conta corrente"/>
    <s v="sem conta no banco"/>
    <x v="0"/>
    <x v="1"/>
    <x v="2"/>
    <n v="4611"/>
    <s v="&lt; 100 $"/>
    <s v="Baixo (&lt; 100 $)"/>
    <s v="&lt; 1 ano"/>
    <s v="Iniciante (&lt; 1 ano)"/>
    <x v="3"/>
    <x v="1"/>
    <s v="divorciada/casada"/>
    <x v="0"/>
    <n v="4"/>
    <s v="poupança ou seguro de vida"/>
    <n v="32"/>
    <x v="3"/>
    <s v="nenhum"/>
    <x v="0"/>
    <n v="1"/>
    <x v="0"/>
    <n v="1"/>
    <s v="não"/>
    <x v="0"/>
    <n v="2"/>
  </r>
  <r>
    <n v="280"/>
    <x v="0"/>
    <s v="sem conta corrente"/>
    <s v="sem conta no banco"/>
    <x v="4"/>
    <x v="1"/>
    <x v="0"/>
    <n v="1901"/>
    <s v="&gt;= 100 &lt; 500 $"/>
    <s v="Médio (100-500$)"/>
    <s v="&lt; 4 anos"/>
    <s v="Intermediário (1-4 anos)"/>
    <x v="0"/>
    <x v="0"/>
    <s v="solteiro"/>
    <x v="0"/>
    <n v="4"/>
    <s v="carro ou outros-quitado"/>
    <n v="29"/>
    <x v="3"/>
    <s v="nenhum"/>
    <x v="2"/>
    <n v="1"/>
    <x v="2"/>
    <n v="1"/>
    <s v="sim"/>
    <x v="0"/>
    <n v="1"/>
  </r>
  <r>
    <n v="281"/>
    <x v="0"/>
    <s v="sem conta corrente"/>
    <s v="sem conta no banco"/>
    <x v="7"/>
    <x v="0"/>
    <x v="4"/>
    <n v="3368"/>
    <s v="&gt;= 1000 $"/>
    <s v="Muito alto (&gt;1000$)"/>
    <s v="&gt;= 7 anos"/>
    <s v="Muito Estável (&gt; 7 anos)"/>
    <x v="2"/>
    <x v="0"/>
    <s v="solteiro"/>
    <x v="0"/>
    <n v="4"/>
    <s v="sem bens"/>
    <n v="23"/>
    <x v="1"/>
    <s v="nenhum"/>
    <x v="2"/>
    <n v="2"/>
    <x v="0"/>
    <n v="1"/>
    <s v="sim"/>
    <x v="0"/>
    <n v="1"/>
  </r>
  <r>
    <n v="282"/>
    <x v="0"/>
    <s v="sem conta corrente"/>
    <s v="sem conta no banco"/>
    <x v="2"/>
    <x v="1"/>
    <x v="2"/>
    <n v="1574"/>
    <s v="&lt; 100 $"/>
    <s v="Baixo (&lt; 100 $)"/>
    <s v="&lt; 4 anos"/>
    <s v="Intermediário (1-4 anos)"/>
    <x v="0"/>
    <x v="0"/>
    <s v="solteiro"/>
    <x v="0"/>
    <n v="2"/>
    <s v="imovel"/>
    <n v="50"/>
    <x v="2"/>
    <s v="nenhum"/>
    <x v="0"/>
    <n v="1"/>
    <x v="0"/>
    <n v="1"/>
    <s v="não"/>
    <x v="0"/>
    <n v="1"/>
  </r>
  <r>
    <n v="283"/>
    <x v="0"/>
    <s v="&gt;= 200 $"/>
    <s v="saldo saudável"/>
    <x v="12"/>
    <x v="4"/>
    <x v="0"/>
    <n v="1445"/>
    <s v="sem poupança"/>
    <s v="sem poupança"/>
    <s v="&lt; 7 anos"/>
    <s v="Estável (4-7 anos)"/>
    <x v="0"/>
    <x v="0"/>
    <s v="solteiro"/>
    <x v="0"/>
    <n v="4"/>
    <s v="carro ou outros-quitado"/>
    <n v="49"/>
    <x v="2"/>
    <s v="banco"/>
    <x v="0"/>
    <n v="1"/>
    <x v="1"/>
    <n v="1"/>
    <s v="não"/>
    <x v="0"/>
    <n v="1"/>
  </r>
  <r>
    <n v="284"/>
    <x v="0"/>
    <s v="sem conta corrente"/>
    <s v="sem conta no banco"/>
    <x v="7"/>
    <x v="0"/>
    <x v="2"/>
    <n v="1520"/>
    <s v="sem poupança"/>
    <s v="sem poupança"/>
    <s v="&gt;= 7 anos"/>
    <s v="Muito Estável (&gt; 7 anos)"/>
    <x v="0"/>
    <x v="0"/>
    <s v="solteiro"/>
    <x v="0"/>
    <n v="4"/>
    <s v="poupança ou seguro de vida"/>
    <n v="63"/>
    <x v="0"/>
    <s v="nenhum"/>
    <x v="0"/>
    <n v="1"/>
    <x v="0"/>
    <n v="1"/>
    <s v="não"/>
    <x v="0"/>
    <n v="1"/>
  </r>
  <r>
    <n v="285"/>
    <x v="0"/>
    <s v="&gt;= 0 &lt; 200 $"/>
    <s v="saldo baixo"/>
    <x v="4"/>
    <x v="0"/>
    <x v="3"/>
    <n v="3878"/>
    <s v="&gt;= 100 &lt; 500 $"/>
    <s v="Médio (100-500$)"/>
    <s v="&lt; 1 ano"/>
    <s v="Iniciante (&lt; 1 ano)"/>
    <x v="0"/>
    <x v="0"/>
    <s v="divorciado"/>
    <x v="0"/>
    <n v="2"/>
    <s v="carro ou outros-quitado"/>
    <n v="37"/>
    <x v="3"/>
    <s v="nenhum"/>
    <x v="0"/>
    <n v="1"/>
    <x v="0"/>
    <n v="1"/>
    <s v="sim"/>
    <x v="0"/>
    <n v="1"/>
  </r>
  <r>
    <n v="286"/>
    <x v="0"/>
    <s v="&lt; 0 $"/>
    <s v="negativo/devedor"/>
    <x v="24"/>
    <x v="1"/>
    <x v="3"/>
    <n v="10722"/>
    <s v="&lt; 100 $"/>
    <s v="Baixo (&lt; 100 $)"/>
    <s v="&lt; 1 ano"/>
    <s v="Iniciante (&lt; 1 ano)"/>
    <x v="3"/>
    <x v="1"/>
    <s v="divorciada/casada"/>
    <x v="0"/>
    <n v="1"/>
    <s v="imovel"/>
    <n v="35"/>
    <x v="3"/>
    <s v="nenhum"/>
    <x v="0"/>
    <n v="1"/>
    <x v="1"/>
    <n v="1"/>
    <s v="sim"/>
    <x v="0"/>
    <n v="1"/>
  </r>
  <r>
    <n v="287"/>
    <x v="0"/>
    <s v="&lt; 0 $"/>
    <s v="negativo/devedor"/>
    <x v="1"/>
    <x v="1"/>
    <x v="4"/>
    <n v="4788"/>
    <s v="&lt; 100 $"/>
    <s v="Baixo (&lt; 100 $)"/>
    <s v="&lt; 7 anos"/>
    <s v="Estável (4-7 anos)"/>
    <x v="0"/>
    <x v="0"/>
    <s v="solteiro"/>
    <x v="0"/>
    <n v="3"/>
    <s v="poupança ou seguro de vida"/>
    <n v="26"/>
    <x v="3"/>
    <s v="nenhum"/>
    <x v="0"/>
    <n v="1"/>
    <x v="0"/>
    <n v="2"/>
    <s v="não"/>
    <x v="0"/>
    <n v="1"/>
  </r>
  <r>
    <n v="288"/>
    <x v="0"/>
    <s v="&gt;= 0 &lt; 200 $"/>
    <s v="saldo baixo"/>
    <x v="1"/>
    <x v="2"/>
    <x v="8"/>
    <n v="7582"/>
    <s v="&gt;= 100 &lt; 500 $"/>
    <s v="Médio (100-500$)"/>
    <s v="desempregado"/>
    <s v="desempregado"/>
    <x v="1"/>
    <x v="0"/>
    <s v="solteiro"/>
    <x v="0"/>
    <n v="4"/>
    <s v="sem bens"/>
    <n v="31"/>
    <x v="3"/>
    <s v="nenhum"/>
    <x v="1"/>
    <n v="1"/>
    <x v="2"/>
    <n v="1"/>
    <s v="sim"/>
    <x v="0"/>
    <n v="1"/>
  </r>
  <r>
    <n v="289"/>
    <x v="0"/>
    <s v="&gt;= 0 &lt; 200 $"/>
    <s v="saldo baixo"/>
    <x v="2"/>
    <x v="1"/>
    <x v="0"/>
    <n v="1092"/>
    <s v="&lt; 100 $"/>
    <s v="Baixo (&lt; 100 $)"/>
    <s v="&lt; 4 anos"/>
    <s v="Intermediário (1-4 anos)"/>
    <x v="0"/>
    <x v="1"/>
    <s v="divorciada/casada"/>
    <x v="1"/>
    <n v="4"/>
    <s v="imovel"/>
    <n v="49"/>
    <x v="2"/>
    <s v="nenhum"/>
    <x v="0"/>
    <n v="2"/>
    <x v="0"/>
    <n v="1"/>
    <s v="sim"/>
    <x v="0"/>
    <n v="1"/>
  </r>
  <r>
    <n v="290"/>
    <x v="1"/>
    <s v="&lt; 0 $"/>
    <s v="negativo/devedor"/>
    <x v="4"/>
    <x v="2"/>
    <x v="0"/>
    <n v="1024"/>
    <s v="&lt; 100 $"/>
    <s v="Baixo (&lt; 100 $)"/>
    <s v="&lt; 1 ano"/>
    <s v="Iniciante (&lt; 1 ano)"/>
    <x v="0"/>
    <x v="0"/>
    <s v="casado/viuvo"/>
    <x v="0"/>
    <n v="4"/>
    <s v="imovel"/>
    <n v="48"/>
    <x v="2"/>
    <s v="loja"/>
    <x v="0"/>
    <n v="1"/>
    <x v="0"/>
    <n v="1"/>
    <s v="não"/>
    <x v="0"/>
    <n v="2"/>
  </r>
  <r>
    <n v="291"/>
    <x v="0"/>
    <s v="sem conta corrente"/>
    <s v="sem conta no banco"/>
    <x v="2"/>
    <x v="1"/>
    <x v="5"/>
    <n v="1076"/>
    <s v="&lt; 100 $"/>
    <s v="Baixo (&lt; 100 $)"/>
    <s v="&lt; 4 anos"/>
    <s v="Intermediário (1-4 anos)"/>
    <x v="1"/>
    <x v="0"/>
    <s v="casado/viuvo"/>
    <x v="0"/>
    <n v="2"/>
    <s v="imovel"/>
    <n v="26"/>
    <x v="3"/>
    <s v="nenhum"/>
    <x v="0"/>
    <n v="1"/>
    <x v="0"/>
    <n v="1"/>
    <s v="sim"/>
    <x v="1"/>
    <n v="1"/>
  </r>
  <r>
    <n v="292"/>
    <x v="1"/>
    <s v="&gt;= 0 &lt; 200 $"/>
    <s v="saldo baixo"/>
    <x v="5"/>
    <x v="1"/>
    <x v="4"/>
    <n v="9398"/>
    <s v="&lt; 100 $"/>
    <s v="Baixo (&lt; 100 $)"/>
    <s v="&lt; 1 ano"/>
    <s v="Iniciante (&lt; 1 ano)"/>
    <x v="3"/>
    <x v="0"/>
    <s v="casado/viuvo"/>
    <x v="0"/>
    <n v="4"/>
    <s v="carro ou outros-quitado"/>
    <n v="28"/>
    <x v="3"/>
    <s v="nenhum"/>
    <x v="2"/>
    <n v="1"/>
    <x v="2"/>
    <n v="1"/>
    <s v="sim"/>
    <x v="0"/>
    <n v="2"/>
  </r>
  <r>
    <n v="293"/>
    <x v="0"/>
    <s v="&lt; 0 $"/>
    <s v="negativo/devedor"/>
    <x v="4"/>
    <x v="0"/>
    <x v="4"/>
    <n v="6419"/>
    <s v="&lt; 100 $"/>
    <s v="Baixo (&lt; 100 $)"/>
    <s v="&gt;= 7 anos"/>
    <s v="Muito Estável (&gt; 7 anos)"/>
    <x v="1"/>
    <x v="1"/>
    <s v="divorciada/casada"/>
    <x v="0"/>
    <n v="4"/>
    <s v="sem bens"/>
    <n v="44"/>
    <x v="2"/>
    <s v="nenhum"/>
    <x v="1"/>
    <n v="2"/>
    <x v="2"/>
    <n v="2"/>
    <s v="sim"/>
    <x v="0"/>
    <n v="1"/>
  </r>
  <r>
    <n v="294"/>
    <x v="0"/>
    <s v="&gt;= 200 $"/>
    <s v="saldo saudável"/>
    <x v="3"/>
    <x v="0"/>
    <x v="4"/>
    <n v="4796"/>
    <s v="&lt; 100 $"/>
    <s v="Baixo (&lt; 100 $)"/>
    <s v="&gt;= 7 anos"/>
    <s v="Muito Estável (&gt; 7 anos)"/>
    <x v="0"/>
    <x v="0"/>
    <s v="solteiro"/>
    <x v="0"/>
    <n v="4"/>
    <s v="sem bens"/>
    <n v="56"/>
    <x v="2"/>
    <s v="nenhum"/>
    <x v="1"/>
    <n v="1"/>
    <x v="0"/>
    <n v="1"/>
    <s v="não"/>
    <x v="0"/>
    <n v="1"/>
  </r>
  <r>
    <n v="295"/>
    <x v="0"/>
    <s v="sem conta corrente"/>
    <s v="sem conta no banco"/>
    <x v="1"/>
    <x v="0"/>
    <x v="5"/>
    <n v="7629"/>
    <s v="sem poupança"/>
    <s v="sem poupança"/>
    <s v="&gt;= 7 anos"/>
    <s v="Muito Estável (&gt; 7 anos)"/>
    <x v="0"/>
    <x v="0"/>
    <s v="divorciado"/>
    <x v="0"/>
    <n v="2"/>
    <s v="carro ou outros-quitado"/>
    <n v="46"/>
    <x v="2"/>
    <s v="banco"/>
    <x v="0"/>
    <n v="2"/>
    <x v="2"/>
    <n v="2"/>
    <s v="não"/>
    <x v="0"/>
    <n v="1"/>
  </r>
  <r>
    <n v="296"/>
    <x v="1"/>
    <s v="&gt;= 0 &lt; 200 $"/>
    <s v="saldo baixo"/>
    <x v="1"/>
    <x v="1"/>
    <x v="2"/>
    <n v="9960"/>
    <s v="&lt; 100 $"/>
    <s v="Baixo (&lt; 100 $)"/>
    <s v="&lt; 1 ano"/>
    <s v="Iniciante (&lt; 1 ano)"/>
    <x v="3"/>
    <x v="1"/>
    <s v="divorciada/casada"/>
    <x v="0"/>
    <n v="2"/>
    <s v="carro ou outros-quitado"/>
    <n v="26"/>
    <x v="3"/>
    <s v="nenhum"/>
    <x v="0"/>
    <n v="1"/>
    <x v="0"/>
    <n v="1"/>
    <s v="sim"/>
    <x v="0"/>
    <n v="2"/>
  </r>
  <r>
    <n v="297"/>
    <x v="0"/>
    <s v="sem conta corrente"/>
    <s v="sem conta no banco"/>
    <x v="2"/>
    <x v="1"/>
    <x v="4"/>
    <n v="4675"/>
    <s v="sem poupança"/>
    <s v="sem poupança"/>
    <s v="&lt; 1 ano"/>
    <s v="Iniciante (&lt; 1 ano)"/>
    <x v="3"/>
    <x v="1"/>
    <s v="divorciada/casada"/>
    <x v="0"/>
    <n v="4"/>
    <s v="carro ou outros-quitado"/>
    <n v="20"/>
    <x v="1"/>
    <s v="nenhum"/>
    <x v="2"/>
    <n v="1"/>
    <x v="0"/>
    <n v="1"/>
    <s v="não"/>
    <x v="0"/>
    <n v="1"/>
  </r>
  <r>
    <n v="298"/>
    <x v="0"/>
    <s v="sem conta corrente"/>
    <s v="sem conta no banco"/>
    <x v="9"/>
    <x v="1"/>
    <x v="3"/>
    <n v="1287"/>
    <s v="sem poupança"/>
    <s v="sem poupança"/>
    <s v="&gt;= 7 anos"/>
    <s v="Muito Estável (&gt; 7 anos)"/>
    <x v="0"/>
    <x v="0"/>
    <s v="solteiro"/>
    <x v="2"/>
    <n v="2"/>
    <s v="poupança ou seguro de vida"/>
    <n v="45"/>
    <x v="2"/>
    <s v="nenhum"/>
    <x v="0"/>
    <n v="1"/>
    <x v="1"/>
    <n v="1"/>
    <s v="não"/>
    <x v="1"/>
    <n v="1"/>
  </r>
  <r>
    <n v="299"/>
    <x v="0"/>
    <s v="sem conta corrente"/>
    <s v="sem conta no banco"/>
    <x v="12"/>
    <x v="1"/>
    <x v="2"/>
    <n v="2515"/>
    <s v="&lt; 100 $"/>
    <s v="Baixo (&lt; 100 $)"/>
    <s v="&lt; 4 anos"/>
    <s v="Intermediário (1-4 anos)"/>
    <x v="2"/>
    <x v="0"/>
    <s v="solteiro"/>
    <x v="0"/>
    <n v="4"/>
    <s v="imovel"/>
    <n v="43"/>
    <x v="2"/>
    <s v="nenhum"/>
    <x v="0"/>
    <n v="1"/>
    <x v="0"/>
    <n v="1"/>
    <s v="sim"/>
    <x v="0"/>
    <n v="1"/>
  </r>
  <r>
    <n v="300"/>
    <x v="0"/>
    <s v="&gt;= 0 &lt; 200 $"/>
    <s v="saldo baixo"/>
    <x v="21"/>
    <x v="0"/>
    <x v="2"/>
    <n v="2745"/>
    <s v="&gt;= 1000 $"/>
    <s v="Muito alto (&gt;1000$)"/>
    <s v="&lt; 7 anos"/>
    <s v="Estável (4-7 anos)"/>
    <x v="2"/>
    <x v="0"/>
    <s v="solteiro"/>
    <x v="0"/>
    <n v="2"/>
    <s v="carro ou outros-quitado"/>
    <n v="32"/>
    <x v="3"/>
    <s v="nenhum"/>
    <x v="0"/>
    <n v="2"/>
    <x v="0"/>
    <n v="1"/>
    <s v="sim"/>
    <x v="0"/>
    <n v="1"/>
  </r>
  <r>
    <n v="301"/>
    <x v="0"/>
    <s v="sem conta corrente"/>
    <s v="sem conta no banco"/>
    <x v="0"/>
    <x v="1"/>
    <x v="3"/>
    <n v="672"/>
    <s v="&lt; 100 $"/>
    <s v="Baixo (&lt; 100 $)"/>
    <s v="desempregado"/>
    <s v="desempregado"/>
    <x v="3"/>
    <x v="1"/>
    <s v="divorciada/casada"/>
    <x v="0"/>
    <n v="4"/>
    <s v="imovel"/>
    <n v="54"/>
    <x v="2"/>
    <s v="nenhum"/>
    <x v="0"/>
    <n v="1"/>
    <x v="3"/>
    <n v="1"/>
    <s v="sim"/>
    <x v="0"/>
    <n v="1"/>
  </r>
  <r>
    <n v="302"/>
    <x v="1"/>
    <s v="&gt;= 0 &lt; 200 $"/>
    <s v="saldo baixo"/>
    <x v="5"/>
    <x v="3"/>
    <x v="0"/>
    <n v="3804"/>
    <s v="&lt; 100 $"/>
    <s v="Baixo (&lt; 100 $)"/>
    <s v="&lt; 4 anos"/>
    <s v="Intermediário (1-4 anos)"/>
    <x v="0"/>
    <x v="1"/>
    <s v="divorciada/casada"/>
    <x v="0"/>
    <n v="1"/>
    <s v="carro ou outros-quitado"/>
    <n v="42"/>
    <x v="2"/>
    <s v="nenhum"/>
    <x v="0"/>
    <n v="1"/>
    <x v="0"/>
    <n v="1"/>
    <s v="sim"/>
    <x v="0"/>
    <n v="2"/>
  </r>
  <r>
    <n v="303"/>
    <x v="1"/>
    <s v="&gt;= 200 $"/>
    <s v="saldo saudável"/>
    <x v="4"/>
    <x v="0"/>
    <x v="3"/>
    <n v="1344"/>
    <s v="sem poupança"/>
    <s v="sem poupança"/>
    <s v="&lt; 7 anos"/>
    <s v="Estável (4-7 anos)"/>
    <x v="0"/>
    <x v="0"/>
    <s v="solteiro"/>
    <x v="0"/>
    <n v="2"/>
    <s v="imovel"/>
    <n v="37"/>
    <x v="3"/>
    <s v="banco"/>
    <x v="0"/>
    <n v="2"/>
    <x v="1"/>
    <n v="2"/>
    <s v="não"/>
    <x v="0"/>
    <n v="2"/>
  </r>
  <r>
    <n v="304"/>
    <x v="0"/>
    <s v="&lt; 0 $"/>
    <s v="negativo/devedor"/>
    <x v="9"/>
    <x v="0"/>
    <x v="3"/>
    <n v="1038"/>
    <s v="&lt; 100 $"/>
    <s v="Baixo (&lt; 100 $)"/>
    <s v="&lt; 7 anos"/>
    <s v="Estável (4-7 anos)"/>
    <x v="0"/>
    <x v="0"/>
    <s v="solteiro"/>
    <x v="2"/>
    <n v="3"/>
    <s v="poupança ou seguro de vida"/>
    <n v="49"/>
    <x v="2"/>
    <s v="nenhum"/>
    <x v="0"/>
    <n v="2"/>
    <x v="0"/>
    <n v="1"/>
    <s v="sim"/>
    <x v="0"/>
    <n v="1"/>
  </r>
  <r>
    <n v="305"/>
    <x v="1"/>
    <s v="sem conta corrente"/>
    <s v="sem conta no banco"/>
    <x v="1"/>
    <x v="0"/>
    <x v="3"/>
    <n v="10127"/>
    <s v="&gt;= 500 &lt; 1000 $"/>
    <s v="Alto (500-1000 $)"/>
    <s v="&lt; 4 anos"/>
    <s v="Intermediário (1-4 anos)"/>
    <x v="1"/>
    <x v="0"/>
    <s v="solteiro"/>
    <x v="0"/>
    <n v="2"/>
    <s v="sem bens"/>
    <n v="44"/>
    <x v="2"/>
    <s v="banco"/>
    <x v="1"/>
    <n v="1"/>
    <x v="0"/>
    <n v="1"/>
    <s v="não"/>
    <x v="0"/>
    <n v="2"/>
  </r>
  <r>
    <n v="306"/>
    <x v="0"/>
    <s v="sem conta corrente"/>
    <s v="sem conta no banco"/>
    <x v="0"/>
    <x v="1"/>
    <x v="2"/>
    <n v="1543"/>
    <s v="&gt;= 1000 $"/>
    <s v="Muito alto (&gt;1000$)"/>
    <s v="&lt; 4 anos"/>
    <s v="Intermediário (1-4 anos)"/>
    <x v="0"/>
    <x v="0"/>
    <s v="divorciado"/>
    <x v="0"/>
    <n v="2"/>
    <s v="imovel"/>
    <n v="33"/>
    <x v="3"/>
    <s v="nenhum"/>
    <x v="0"/>
    <n v="1"/>
    <x v="0"/>
    <n v="1"/>
    <s v="não"/>
    <x v="0"/>
    <n v="1"/>
  </r>
  <r>
    <n v="307"/>
    <x v="0"/>
    <s v="sem conta corrente"/>
    <s v="sem conta no banco"/>
    <x v="6"/>
    <x v="1"/>
    <x v="4"/>
    <n v="4811"/>
    <s v="sem poupança"/>
    <s v="sem poupança"/>
    <s v="&lt; 7 anos"/>
    <s v="Estável (4-7 anos)"/>
    <x v="1"/>
    <x v="1"/>
    <s v="divorciada/casada"/>
    <x v="0"/>
    <n v="4"/>
    <s v="poupança ou seguro de vida"/>
    <n v="24"/>
    <x v="1"/>
    <s v="loja"/>
    <x v="2"/>
    <n v="1"/>
    <x v="1"/>
    <n v="1"/>
    <s v="não"/>
    <x v="0"/>
    <n v="1"/>
  </r>
  <r>
    <n v="308"/>
    <x v="1"/>
    <s v="&lt; 0 $"/>
    <s v="negativo/devedor"/>
    <x v="2"/>
    <x v="1"/>
    <x v="0"/>
    <n v="727"/>
    <s v="&gt;= 100 &lt; 500 $"/>
    <s v="Médio (100-500$)"/>
    <s v="&lt; 1 ano"/>
    <s v="Iniciante (&lt; 1 ano)"/>
    <x v="0"/>
    <x v="0"/>
    <s v="casado/viuvo"/>
    <x v="0"/>
    <n v="3"/>
    <s v="sem bens"/>
    <n v="33"/>
    <x v="3"/>
    <s v="nenhum"/>
    <x v="0"/>
    <n v="1"/>
    <x v="1"/>
    <n v="1"/>
    <s v="sim"/>
    <x v="0"/>
    <n v="2"/>
  </r>
  <r>
    <n v="309"/>
    <x v="1"/>
    <s v="&gt;= 0 &lt; 200 $"/>
    <s v="saldo baixo"/>
    <x v="16"/>
    <x v="1"/>
    <x v="2"/>
    <n v="1237"/>
    <s v="&lt; 100 $"/>
    <s v="Baixo (&lt; 100 $)"/>
    <s v="&lt; 4 anos"/>
    <s v="Intermediário (1-4 anos)"/>
    <x v="2"/>
    <x v="1"/>
    <s v="divorciada/casada"/>
    <x v="0"/>
    <n v="4"/>
    <s v="imovel"/>
    <n v="24"/>
    <x v="1"/>
    <s v="nenhum"/>
    <x v="0"/>
    <n v="1"/>
    <x v="0"/>
    <n v="1"/>
    <s v="não"/>
    <x v="0"/>
    <n v="2"/>
  </r>
  <r>
    <n v="310"/>
    <x v="0"/>
    <s v="&gt;= 0 &lt; 200 $"/>
    <s v="saldo baixo"/>
    <x v="8"/>
    <x v="1"/>
    <x v="3"/>
    <n v="276"/>
    <s v="&lt; 100 $"/>
    <s v="Baixo (&lt; 100 $)"/>
    <s v="&lt; 4 anos"/>
    <s v="Intermediário (1-4 anos)"/>
    <x v="0"/>
    <x v="0"/>
    <s v="casado/viuvo"/>
    <x v="0"/>
    <n v="4"/>
    <s v="imovel"/>
    <n v="22"/>
    <x v="1"/>
    <s v="nenhum"/>
    <x v="2"/>
    <n v="1"/>
    <x v="1"/>
    <n v="1"/>
    <s v="não"/>
    <x v="0"/>
    <n v="1"/>
  </r>
  <r>
    <n v="311"/>
    <x v="0"/>
    <s v="&gt;= 0 &lt; 200 $"/>
    <s v="saldo baixo"/>
    <x v="1"/>
    <x v="1"/>
    <x v="8"/>
    <n v="5381"/>
    <s v="sem poupança"/>
    <s v="sem poupança"/>
    <s v="desempregado"/>
    <s v="desempregado"/>
    <x v="2"/>
    <x v="0"/>
    <s v="solteiro"/>
    <x v="0"/>
    <n v="4"/>
    <s v="sem bens"/>
    <n v="40"/>
    <x v="2"/>
    <s v="banco"/>
    <x v="1"/>
    <n v="1"/>
    <x v="3"/>
    <n v="1"/>
    <s v="sim"/>
    <x v="0"/>
    <n v="1"/>
  </r>
  <r>
    <n v="312"/>
    <x v="0"/>
    <s v="sem conta corrente"/>
    <s v="sem conta no banco"/>
    <x v="4"/>
    <x v="1"/>
    <x v="2"/>
    <n v="5511"/>
    <s v="&gt;= 100 &lt; 500 $"/>
    <s v="Médio (100-500$)"/>
    <s v="&lt; 4 anos"/>
    <s v="Intermediário (1-4 anos)"/>
    <x v="0"/>
    <x v="0"/>
    <s v="solteiro"/>
    <x v="0"/>
    <n v="1"/>
    <s v="carro ou outros-quitado"/>
    <n v="25"/>
    <x v="3"/>
    <s v="loja"/>
    <x v="0"/>
    <n v="1"/>
    <x v="0"/>
    <n v="1"/>
    <s v="não"/>
    <x v="0"/>
    <n v="1"/>
  </r>
  <r>
    <n v="313"/>
    <x v="0"/>
    <s v="&gt;= 200 $"/>
    <s v="saldo saudável"/>
    <x v="4"/>
    <x v="1"/>
    <x v="2"/>
    <n v="3749"/>
    <s v="&lt; 100 $"/>
    <s v="Baixo (&lt; 100 $)"/>
    <s v="&lt; 1 ano"/>
    <s v="Iniciante (&lt; 1 ano)"/>
    <x v="1"/>
    <x v="1"/>
    <s v="divorciada/casada"/>
    <x v="0"/>
    <n v="4"/>
    <s v="carro ou outros-quitado"/>
    <n v="26"/>
    <x v="3"/>
    <s v="nenhum"/>
    <x v="0"/>
    <n v="1"/>
    <x v="0"/>
    <n v="1"/>
    <s v="não"/>
    <x v="0"/>
    <n v="1"/>
  </r>
  <r>
    <n v="314"/>
    <x v="1"/>
    <s v="&gt;= 0 &lt; 200 $"/>
    <s v="saldo baixo"/>
    <x v="2"/>
    <x v="1"/>
    <x v="3"/>
    <n v="685"/>
    <s v="&lt; 100 $"/>
    <s v="Baixo (&lt; 100 $)"/>
    <s v="&lt; 7 anos"/>
    <s v="Estável (4-7 anos)"/>
    <x v="1"/>
    <x v="0"/>
    <s v="casado/viuvo"/>
    <x v="0"/>
    <n v="3"/>
    <s v="carro ou outros-quitado"/>
    <n v="25"/>
    <x v="3"/>
    <s v="banco"/>
    <x v="0"/>
    <n v="1"/>
    <x v="1"/>
    <n v="1"/>
    <s v="não"/>
    <x v="0"/>
    <n v="2"/>
  </r>
  <r>
    <n v="315"/>
    <x v="0"/>
    <s v="&gt;= 200 $"/>
    <s v="saldo saudável"/>
    <x v="23"/>
    <x v="1"/>
    <x v="3"/>
    <n v="1494"/>
    <s v="sem poupança"/>
    <s v="sem poupança"/>
    <s v="&lt; 1 ano"/>
    <s v="Iniciante (&lt; 1 ano)"/>
    <x v="3"/>
    <x v="0"/>
    <s v="solteiro"/>
    <x v="0"/>
    <n v="2"/>
    <s v="imovel"/>
    <n v="29"/>
    <x v="3"/>
    <s v="nenhum"/>
    <x v="0"/>
    <n v="1"/>
    <x v="1"/>
    <n v="2"/>
    <s v="não"/>
    <x v="1"/>
    <n v="1"/>
  </r>
  <r>
    <n v="316"/>
    <x v="1"/>
    <s v="&lt; 0 $"/>
    <s v="negativo/devedor"/>
    <x v="5"/>
    <x v="4"/>
    <x v="2"/>
    <n v="2746"/>
    <s v="&lt; 100 $"/>
    <s v="Baixo (&lt; 100 $)"/>
    <s v="&gt;= 7 anos"/>
    <s v="Muito Estável (&gt; 7 anos)"/>
    <x v="0"/>
    <x v="0"/>
    <s v="solteiro"/>
    <x v="0"/>
    <n v="4"/>
    <s v="carro ou outros-quitado"/>
    <n v="31"/>
    <x v="3"/>
    <s v="banco"/>
    <x v="0"/>
    <n v="1"/>
    <x v="0"/>
    <n v="1"/>
    <s v="não"/>
    <x v="0"/>
    <n v="2"/>
  </r>
  <r>
    <n v="317"/>
    <x v="0"/>
    <s v="&lt; 0 $"/>
    <s v="negativo/devedor"/>
    <x v="2"/>
    <x v="1"/>
    <x v="2"/>
    <n v="708"/>
    <s v="&lt; 100 $"/>
    <s v="Baixo (&lt; 100 $)"/>
    <s v="&lt; 4 anos"/>
    <s v="Intermediário (1-4 anos)"/>
    <x v="1"/>
    <x v="0"/>
    <s v="solteiro"/>
    <x v="1"/>
    <n v="3"/>
    <s v="poupança ou seguro de vida"/>
    <n v="38"/>
    <x v="3"/>
    <s v="nenhum"/>
    <x v="0"/>
    <n v="1"/>
    <x v="1"/>
    <n v="2"/>
    <s v="não"/>
    <x v="0"/>
    <n v="1"/>
  </r>
  <r>
    <n v="318"/>
    <x v="0"/>
    <s v="&gt;= 0 &lt; 200 $"/>
    <s v="saldo baixo"/>
    <x v="4"/>
    <x v="1"/>
    <x v="2"/>
    <n v="4351"/>
    <s v="sem poupança"/>
    <s v="sem poupança"/>
    <s v="&lt; 4 anos"/>
    <s v="Intermediário (1-4 anos)"/>
    <x v="3"/>
    <x v="1"/>
    <s v="divorciada/casada"/>
    <x v="0"/>
    <n v="4"/>
    <s v="poupança ou seguro de vida"/>
    <n v="48"/>
    <x v="2"/>
    <s v="nenhum"/>
    <x v="0"/>
    <n v="1"/>
    <x v="1"/>
    <n v="1"/>
    <s v="sim"/>
    <x v="0"/>
    <n v="1"/>
  </r>
  <r>
    <n v="319"/>
    <x v="0"/>
    <s v="sem conta corrente"/>
    <s v="sem conta no banco"/>
    <x v="2"/>
    <x v="0"/>
    <x v="1"/>
    <n v="701"/>
    <s v="&lt; 100 $"/>
    <s v="Baixo (&lt; 100 $)"/>
    <s v="&lt; 4 anos"/>
    <s v="Intermediário (1-4 anos)"/>
    <x v="0"/>
    <x v="0"/>
    <s v="solteiro"/>
    <x v="0"/>
    <n v="2"/>
    <s v="carro ou outros-quitado"/>
    <n v="32"/>
    <x v="3"/>
    <s v="nenhum"/>
    <x v="0"/>
    <n v="2"/>
    <x v="0"/>
    <n v="1"/>
    <s v="não"/>
    <x v="0"/>
    <n v="1"/>
  </r>
  <r>
    <n v="320"/>
    <x v="0"/>
    <s v="&lt; 0 $"/>
    <s v="negativo/devedor"/>
    <x v="7"/>
    <x v="2"/>
    <x v="2"/>
    <n v="3643"/>
    <s v="&lt; 100 $"/>
    <s v="Baixo (&lt; 100 $)"/>
    <s v="&gt;= 7 anos"/>
    <s v="Muito Estável (&gt; 7 anos)"/>
    <x v="3"/>
    <x v="1"/>
    <s v="divorciada/casada"/>
    <x v="0"/>
    <n v="4"/>
    <s v="poupança ou seguro de vida"/>
    <n v="27"/>
    <x v="3"/>
    <s v="nenhum"/>
    <x v="0"/>
    <n v="2"/>
    <x v="1"/>
    <n v="1"/>
    <s v="não"/>
    <x v="0"/>
    <n v="1"/>
  </r>
  <r>
    <n v="321"/>
    <x v="1"/>
    <s v="&gt;= 0 &lt; 200 $"/>
    <s v="saldo baixo"/>
    <x v="6"/>
    <x v="0"/>
    <x v="3"/>
    <n v="4249"/>
    <s v="&lt; 100 $"/>
    <s v="Baixo (&lt; 100 $)"/>
    <s v="desempregado"/>
    <s v="desempregado"/>
    <x v="0"/>
    <x v="0"/>
    <s v="casado/viuvo"/>
    <x v="0"/>
    <n v="2"/>
    <s v="carro ou outros-quitado"/>
    <n v="28"/>
    <x v="3"/>
    <s v="nenhum"/>
    <x v="0"/>
    <n v="2"/>
    <x v="2"/>
    <n v="1"/>
    <s v="não"/>
    <x v="0"/>
    <n v="2"/>
  </r>
  <r>
    <n v="322"/>
    <x v="1"/>
    <s v="&lt; 0 $"/>
    <s v="negativo/devedor"/>
    <x v="4"/>
    <x v="1"/>
    <x v="0"/>
    <n v="1938"/>
    <s v="&lt; 100 $"/>
    <s v="Baixo (&lt; 100 $)"/>
    <s v="&lt; 1 ano"/>
    <s v="Iniciante (&lt; 1 ano)"/>
    <x v="0"/>
    <x v="0"/>
    <s v="divorciado"/>
    <x v="0"/>
    <n v="3"/>
    <s v="poupança ou seguro de vida"/>
    <n v="32"/>
    <x v="3"/>
    <s v="nenhum"/>
    <x v="0"/>
    <n v="1"/>
    <x v="0"/>
    <n v="1"/>
    <s v="não"/>
    <x v="0"/>
    <n v="2"/>
  </r>
  <r>
    <n v="323"/>
    <x v="0"/>
    <s v="&lt; 0 $"/>
    <s v="negativo/devedor"/>
    <x v="4"/>
    <x v="1"/>
    <x v="4"/>
    <n v="2910"/>
    <s v="&lt; 100 $"/>
    <s v="Baixo (&lt; 100 $)"/>
    <s v="&lt; 7 anos"/>
    <s v="Estável (4-7 anos)"/>
    <x v="1"/>
    <x v="0"/>
    <s v="solteiro"/>
    <x v="0"/>
    <n v="1"/>
    <s v="sem bens"/>
    <n v="34"/>
    <x v="3"/>
    <s v="nenhum"/>
    <x v="1"/>
    <n v="1"/>
    <x v="2"/>
    <n v="1"/>
    <s v="sim"/>
    <x v="0"/>
    <n v="1"/>
  </r>
  <r>
    <n v="324"/>
    <x v="0"/>
    <s v="&lt; 0 $"/>
    <s v="negativo/devedor"/>
    <x v="12"/>
    <x v="1"/>
    <x v="2"/>
    <n v="2659"/>
    <s v="&gt;= 1000 $"/>
    <s v="Muito alto (&gt;1000$)"/>
    <s v="&lt; 4 anos"/>
    <s v="Intermediário (1-4 anos)"/>
    <x v="0"/>
    <x v="0"/>
    <s v="solteiro"/>
    <x v="0"/>
    <n v="2"/>
    <s v="carro ou outros-quitado"/>
    <n v="28"/>
    <x v="3"/>
    <s v="nenhum"/>
    <x v="0"/>
    <n v="1"/>
    <x v="0"/>
    <n v="1"/>
    <s v="não"/>
    <x v="0"/>
    <n v="1"/>
  </r>
  <r>
    <n v="325"/>
    <x v="0"/>
    <s v="sem conta corrente"/>
    <s v="sem conta no banco"/>
    <x v="12"/>
    <x v="0"/>
    <x v="3"/>
    <n v="1028"/>
    <s v="&lt; 100 $"/>
    <s v="Baixo (&lt; 100 $)"/>
    <s v="&lt; 4 anos"/>
    <s v="Intermediário (1-4 anos)"/>
    <x v="0"/>
    <x v="1"/>
    <s v="divorciada/casada"/>
    <x v="0"/>
    <n v="3"/>
    <s v="imovel"/>
    <n v="36"/>
    <x v="3"/>
    <s v="nenhum"/>
    <x v="0"/>
    <n v="2"/>
    <x v="0"/>
    <n v="1"/>
    <s v="não"/>
    <x v="0"/>
    <n v="1"/>
  </r>
  <r>
    <n v="326"/>
    <x v="0"/>
    <s v="&lt; 0 $"/>
    <s v="negativo/devedor"/>
    <x v="16"/>
    <x v="0"/>
    <x v="3"/>
    <n v="3398"/>
    <s v="&lt; 100 $"/>
    <s v="Baixo (&lt; 100 $)"/>
    <s v="&lt; 7 anos"/>
    <s v="Estável (4-7 anos)"/>
    <x v="3"/>
    <x v="0"/>
    <s v="solteiro"/>
    <x v="0"/>
    <n v="4"/>
    <s v="imovel"/>
    <n v="39"/>
    <x v="3"/>
    <s v="nenhum"/>
    <x v="0"/>
    <n v="2"/>
    <x v="1"/>
    <n v="1"/>
    <s v="não"/>
    <x v="1"/>
    <n v="1"/>
  </r>
  <r>
    <n v="327"/>
    <x v="0"/>
    <s v="sem conta corrente"/>
    <s v="sem conta no banco"/>
    <x v="2"/>
    <x v="0"/>
    <x v="2"/>
    <n v="5801"/>
    <s v="sem poupança"/>
    <s v="sem poupança"/>
    <s v="&gt;= 7 anos"/>
    <s v="Muito Estável (&gt; 7 anos)"/>
    <x v="1"/>
    <x v="0"/>
    <s v="solteiro"/>
    <x v="0"/>
    <n v="4"/>
    <s v="poupança ou seguro de vida"/>
    <n v="49"/>
    <x v="2"/>
    <s v="nenhum"/>
    <x v="2"/>
    <n v="1"/>
    <x v="0"/>
    <n v="1"/>
    <s v="sim"/>
    <x v="0"/>
    <n v="1"/>
  </r>
  <r>
    <n v="328"/>
    <x v="0"/>
    <s v="sem conta corrente"/>
    <s v="sem conta no banco"/>
    <x v="4"/>
    <x v="1"/>
    <x v="3"/>
    <n v="1525"/>
    <s v="&gt;= 1000 $"/>
    <s v="Muito alto (&gt;1000$)"/>
    <s v="&lt; 7 anos"/>
    <s v="Estável (4-7 anos)"/>
    <x v="0"/>
    <x v="1"/>
    <s v="divorciada/casada"/>
    <x v="0"/>
    <n v="3"/>
    <s v="carro ou outros-quitado"/>
    <n v="34"/>
    <x v="3"/>
    <s v="nenhum"/>
    <x v="0"/>
    <n v="1"/>
    <x v="0"/>
    <n v="2"/>
    <s v="sim"/>
    <x v="0"/>
    <n v="1"/>
  </r>
  <r>
    <n v="329"/>
    <x v="0"/>
    <s v="&gt;= 200 $"/>
    <s v="saldo saudável"/>
    <x v="5"/>
    <x v="1"/>
    <x v="0"/>
    <n v="4473"/>
    <s v="&lt; 100 $"/>
    <s v="Baixo (&lt; 100 $)"/>
    <s v="&gt;= 7 anos"/>
    <s v="Muito Estável (&gt; 7 anos)"/>
    <x v="0"/>
    <x v="0"/>
    <s v="solteiro"/>
    <x v="0"/>
    <n v="2"/>
    <s v="carro ou outros-quitado"/>
    <n v="31"/>
    <x v="3"/>
    <s v="nenhum"/>
    <x v="0"/>
    <n v="1"/>
    <x v="0"/>
    <n v="1"/>
    <s v="não"/>
    <x v="0"/>
    <n v="1"/>
  </r>
  <r>
    <n v="330"/>
    <x v="0"/>
    <s v="&gt;= 0 &lt; 200 $"/>
    <s v="saldo baixo"/>
    <x v="0"/>
    <x v="1"/>
    <x v="0"/>
    <n v="1068"/>
    <s v="&lt; 100 $"/>
    <s v="Baixo (&lt; 100 $)"/>
    <s v="&gt;= 7 anos"/>
    <s v="Muito Estável (&gt; 7 anos)"/>
    <x v="0"/>
    <x v="0"/>
    <s v="solteiro"/>
    <x v="0"/>
    <n v="4"/>
    <s v="carro ou outros-quitado"/>
    <n v="28"/>
    <x v="3"/>
    <s v="nenhum"/>
    <x v="0"/>
    <n v="1"/>
    <x v="0"/>
    <n v="2"/>
    <s v="não"/>
    <x v="0"/>
    <n v="1"/>
  </r>
  <r>
    <n v="331"/>
    <x v="0"/>
    <s v="&lt; 0 $"/>
    <s v="negativo/devedor"/>
    <x v="4"/>
    <x v="0"/>
    <x v="4"/>
    <n v="6615"/>
    <s v="&lt; 100 $"/>
    <s v="Baixo (&lt; 100 $)"/>
    <s v="desempregado"/>
    <s v="desempregado"/>
    <x v="1"/>
    <x v="0"/>
    <s v="solteiro"/>
    <x v="0"/>
    <n v="4"/>
    <s v="sem bens"/>
    <n v="75"/>
    <x v="0"/>
    <s v="nenhum"/>
    <x v="1"/>
    <n v="2"/>
    <x v="2"/>
    <n v="1"/>
    <s v="sim"/>
    <x v="0"/>
    <n v="1"/>
  </r>
  <r>
    <n v="332"/>
    <x v="1"/>
    <s v="sem conta corrente"/>
    <s v="sem conta no banco"/>
    <x v="12"/>
    <x v="0"/>
    <x v="1"/>
    <n v="1864"/>
    <s v="&gt;= 100 &lt; 500 $"/>
    <s v="Médio (100-500$)"/>
    <s v="&lt; 4 anos"/>
    <s v="Intermediário (1-4 anos)"/>
    <x v="0"/>
    <x v="1"/>
    <s v="divorciada/casada"/>
    <x v="0"/>
    <n v="2"/>
    <s v="imovel"/>
    <n v="30"/>
    <x v="3"/>
    <s v="nenhum"/>
    <x v="0"/>
    <n v="2"/>
    <x v="0"/>
    <n v="1"/>
    <s v="não"/>
    <x v="0"/>
    <n v="2"/>
  </r>
  <r>
    <n v="333"/>
    <x v="1"/>
    <s v="&gt;= 0 &lt; 200 $"/>
    <s v="saldo baixo"/>
    <x v="11"/>
    <x v="1"/>
    <x v="3"/>
    <n v="7408"/>
    <s v="&gt;= 100 &lt; 500 $"/>
    <s v="Médio (100-500$)"/>
    <s v="&lt; 1 ano"/>
    <s v="Iniciante (&lt; 1 ano)"/>
    <x v="0"/>
    <x v="1"/>
    <s v="divorciada/casada"/>
    <x v="0"/>
    <n v="2"/>
    <s v="poupança ou seguro de vida"/>
    <n v="24"/>
    <x v="1"/>
    <s v="nenhum"/>
    <x v="0"/>
    <n v="1"/>
    <x v="2"/>
    <n v="1"/>
    <s v="não"/>
    <x v="0"/>
    <n v="2"/>
  </r>
  <r>
    <n v="334"/>
    <x v="1"/>
    <s v="sem conta corrente"/>
    <s v="sem conta no banco"/>
    <x v="1"/>
    <x v="0"/>
    <x v="4"/>
    <n v="11590"/>
    <s v="&gt;= 100 &lt; 500 $"/>
    <s v="Médio (100-500$)"/>
    <s v="&lt; 4 anos"/>
    <s v="Intermediário (1-4 anos)"/>
    <x v="1"/>
    <x v="1"/>
    <s v="divorciada/casada"/>
    <x v="0"/>
    <n v="4"/>
    <s v="carro ou outros-quitado"/>
    <n v="24"/>
    <x v="1"/>
    <s v="banco"/>
    <x v="2"/>
    <n v="2"/>
    <x v="1"/>
    <n v="1"/>
    <s v="não"/>
    <x v="0"/>
    <n v="2"/>
  </r>
  <r>
    <n v="335"/>
    <x v="1"/>
    <s v="&lt; 0 $"/>
    <s v="negativo/devedor"/>
    <x v="4"/>
    <x v="3"/>
    <x v="2"/>
    <n v="4110"/>
    <s v="&lt; 100 $"/>
    <s v="Baixo (&lt; 100 $)"/>
    <s v="&gt;= 7 anos"/>
    <s v="Muito Estável (&gt; 7 anos)"/>
    <x v="2"/>
    <x v="0"/>
    <s v="solteiro"/>
    <x v="0"/>
    <n v="4"/>
    <s v="sem bens"/>
    <n v="23"/>
    <x v="1"/>
    <s v="banco"/>
    <x v="2"/>
    <n v="2"/>
    <x v="0"/>
    <n v="2"/>
    <s v="não"/>
    <x v="0"/>
    <n v="2"/>
  </r>
  <r>
    <n v="336"/>
    <x v="1"/>
    <s v="&lt; 0 $"/>
    <s v="negativo/devedor"/>
    <x v="0"/>
    <x v="0"/>
    <x v="2"/>
    <n v="3384"/>
    <s v="&lt; 100 $"/>
    <s v="Baixo (&lt; 100 $)"/>
    <s v="&lt; 4 anos"/>
    <s v="Intermediário (1-4 anos)"/>
    <x v="3"/>
    <x v="0"/>
    <s v="divorciado"/>
    <x v="0"/>
    <n v="4"/>
    <s v="imovel"/>
    <n v="44"/>
    <x v="2"/>
    <s v="nenhum"/>
    <x v="2"/>
    <n v="1"/>
    <x v="2"/>
    <n v="1"/>
    <s v="sim"/>
    <x v="0"/>
    <n v="2"/>
  </r>
  <r>
    <n v="337"/>
    <x v="0"/>
    <s v="&gt;= 0 &lt; 200 $"/>
    <s v="saldo baixo"/>
    <x v="25"/>
    <x v="1"/>
    <x v="0"/>
    <n v="2101"/>
    <s v="&lt; 100 $"/>
    <s v="Baixo (&lt; 100 $)"/>
    <s v="&lt; 1 ano"/>
    <s v="Iniciante (&lt; 1 ano)"/>
    <x v="1"/>
    <x v="1"/>
    <s v="divorciada/casada"/>
    <x v="1"/>
    <n v="4"/>
    <s v="poupança ou seguro de vida"/>
    <n v="23"/>
    <x v="1"/>
    <s v="nenhum"/>
    <x v="0"/>
    <n v="1"/>
    <x v="1"/>
    <n v="1"/>
    <s v="não"/>
    <x v="0"/>
    <n v="1"/>
  </r>
  <r>
    <n v="338"/>
    <x v="1"/>
    <s v="&lt; 0 $"/>
    <s v="negativo/devedor"/>
    <x v="7"/>
    <x v="1"/>
    <x v="6"/>
    <n v="1275"/>
    <s v="sem poupança"/>
    <s v="sem poupança"/>
    <s v="&lt; 4 anos"/>
    <s v="Intermediário (1-4 anos)"/>
    <x v="0"/>
    <x v="1"/>
    <s v="divorciada/casada"/>
    <x v="0"/>
    <n v="2"/>
    <s v="carro ou outros-quitado"/>
    <n v="24"/>
    <x v="1"/>
    <s v="nenhum"/>
    <x v="2"/>
    <n v="1"/>
    <x v="0"/>
    <n v="1"/>
    <s v="não"/>
    <x v="0"/>
    <n v="2"/>
  </r>
  <r>
    <n v="339"/>
    <x v="0"/>
    <s v="&lt; 0 $"/>
    <s v="negativo/devedor"/>
    <x v="4"/>
    <x v="1"/>
    <x v="2"/>
    <n v="4169"/>
    <s v="&lt; 100 $"/>
    <s v="Baixo (&lt; 100 $)"/>
    <s v="&lt; 4 anos"/>
    <s v="Intermediário (1-4 anos)"/>
    <x v="0"/>
    <x v="0"/>
    <s v="solteiro"/>
    <x v="0"/>
    <n v="4"/>
    <s v="poupança ou seguro de vida"/>
    <n v="28"/>
    <x v="3"/>
    <s v="nenhum"/>
    <x v="0"/>
    <n v="1"/>
    <x v="0"/>
    <n v="1"/>
    <s v="não"/>
    <x v="0"/>
    <n v="1"/>
  </r>
  <r>
    <n v="340"/>
    <x v="0"/>
    <s v="&gt;= 0 &lt; 200 $"/>
    <s v="saldo baixo"/>
    <x v="9"/>
    <x v="1"/>
    <x v="2"/>
    <n v="1521"/>
    <s v="&lt; 100 $"/>
    <s v="Baixo (&lt; 100 $)"/>
    <s v="&lt; 4 anos"/>
    <s v="Intermediário (1-4 anos)"/>
    <x v="0"/>
    <x v="0"/>
    <s v="divorciado"/>
    <x v="0"/>
    <n v="2"/>
    <s v="carro ou outros-quitado"/>
    <n v="31"/>
    <x v="3"/>
    <s v="nenhum"/>
    <x v="0"/>
    <n v="1"/>
    <x v="1"/>
    <n v="1"/>
    <s v="não"/>
    <x v="0"/>
    <n v="1"/>
  </r>
  <r>
    <n v="341"/>
    <x v="0"/>
    <s v="&gt;= 0 &lt; 200 $"/>
    <s v="saldo baixo"/>
    <x v="4"/>
    <x v="0"/>
    <x v="1"/>
    <n v="5743"/>
    <s v="&lt; 100 $"/>
    <s v="Baixo (&lt; 100 $)"/>
    <s v="&lt; 1 ano"/>
    <s v="Iniciante (&lt; 1 ano)"/>
    <x v="1"/>
    <x v="1"/>
    <s v="divorciada/casada"/>
    <x v="0"/>
    <n v="4"/>
    <s v="sem bens"/>
    <n v="24"/>
    <x v="1"/>
    <s v="nenhum"/>
    <x v="1"/>
    <n v="2"/>
    <x v="0"/>
    <n v="1"/>
    <s v="sim"/>
    <x v="0"/>
    <n v="1"/>
  </r>
  <r>
    <n v="342"/>
    <x v="0"/>
    <s v="&lt; 0 $"/>
    <s v="negativo/devedor"/>
    <x v="21"/>
    <x v="1"/>
    <x v="2"/>
    <n v="3599"/>
    <s v="&lt; 100 $"/>
    <s v="Baixo (&lt; 100 $)"/>
    <s v="&lt; 7 anos"/>
    <s v="Estável (4-7 anos)"/>
    <x v="3"/>
    <x v="1"/>
    <s v="divorciada/casada"/>
    <x v="0"/>
    <n v="4"/>
    <s v="carro ou outros-quitado"/>
    <n v="26"/>
    <x v="3"/>
    <s v="nenhum"/>
    <x v="2"/>
    <n v="1"/>
    <x v="1"/>
    <n v="1"/>
    <s v="não"/>
    <x v="0"/>
    <n v="1"/>
  </r>
  <r>
    <n v="343"/>
    <x v="0"/>
    <s v="&gt;= 0 &lt; 200 $"/>
    <s v="saldo baixo"/>
    <x v="12"/>
    <x v="1"/>
    <x v="0"/>
    <n v="3213"/>
    <s v="&gt;= 500 &lt; 1000 $"/>
    <s v="Alto (500-1000 $)"/>
    <s v="&lt; 1 ano"/>
    <s v="Iniciante (&lt; 1 ano)"/>
    <x v="3"/>
    <x v="0"/>
    <s v="casado/viuvo"/>
    <x v="0"/>
    <n v="3"/>
    <s v="imovel"/>
    <n v="25"/>
    <x v="3"/>
    <s v="nenhum"/>
    <x v="2"/>
    <n v="1"/>
    <x v="0"/>
    <n v="1"/>
    <s v="não"/>
    <x v="0"/>
    <n v="1"/>
  </r>
  <r>
    <n v="344"/>
    <x v="0"/>
    <s v="&gt;= 0 &lt; 200 $"/>
    <s v="saldo baixo"/>
    <x v="12"/>
    <x v="1"/>
    <x v="5"/>
    <n v="4439"/>
    <s v="&lt; 100 $"/>
    <s v="Baixo (&lt; 100 $)"/>
    <s v="&gt;= 7 anos"/>
    <s v="Muito Estável (&gt; 7 anos)"/>
    <x v="3"/>
    <x v="0"/>
    <s v="solteiro"/>
    <x v="2"/>
    <n v="1"/>
    <s v="imovel"/>
    <n v="33"/>
    <x v="3"/>
    <s v="banco"/>
    <x v="0"/>
    <n v="1"/>
    <x v="2"/>
    <n v="1"/>
    <s v="sim"/>
    <x v="0"/>
    <n v="1"/>
  </r>
  <r>
    <n v="345"/>
    <x v="0"/>
    <s v="&gt;= 200 $"/>
    <s v="saldo saudável"/>
    <x v="9"/>
    <x v="1"/>
    <x v="3"/>
    <n v="3949"/>
    <s v="&lt; 100 $"/>
    <s v="Baixo (&lt; 100 $)"/>
    <s v="&lt; 1 ano"/>
    <s v="Iniciante (&lt; 1 ano)"/>
    <x v="3"/>
    <x v="0"/>
    <s v="solteiro"/>
    <x v="1"/>
    <n v="1"/>
    <s v="poupança ou seguro de vida"/>
    <n v="37"/>
    <x v="3"/>
    <s v="nenhum"/>
    <x v="0"/>
    <n v="1"/>
    <x v="1"/>
    <n v="2"/>
    <s v="não"/>
    <x v="0"/>
    <n v="1"/>
  </r>
  <r>
    <n v="346"/>
    <x v="0"/>
    <s v="sem conta corrente"/>
    <s v="sem conta no banco"/>
    <x v="7"/>
    <x v="0"/>
    <x v="0"/>
    <n v="1459"/>
    <s v="&lt; 100 $"/>
    <s v="Baixo (&lt; 100 $)"/>
    <s v="&lt; 4 anos"/>
    <s v="Intermediário (1-4 anos)"/>
    <x v="0"/>
    <x v="1"/>
    <s v="divorciada/casada"/>
    <x v="0"/>
    <n v="2"/>
    <s v="carro ou outros-quitado"/>
    <n v="43"/>
    <x v="2"/>
    <s v="nenhum"/>
    <x v="0"/>
    <n v="1"/>
    <x v="1"/>
    <n v="1"/>
    <s v="não"/>
    <x v="0"/>
    <n v="1"/>
  </r>
  <r>
    <n v="347"/>
    <x v="0"/>
    <s v="&gt;= 0 &lt; 200 $"/>
    <s v="saldo baixo"/>
    <x v="25"/>
    <x v="0"/>
    <x v="0"/>
    <n v="882"/>
    <s v="&lt; 100 $"/>
    <s v="Baixo (&lt; 100 $)"/>
    <s v="&lt; 1 ano"/>
    <s v="Iniciante (&lt; 1 ano)"/>
    <x v="0"/>
    <x v="0"/>
    <s v="solteiro"/>
    <x v="1"/>
    <n v="4"/>
    <s v="imovel"/>
    <n v="23"/>
    <x v="1"/>
    <s v="nenhum"/>
    <x v="0"/>
    <n v="2"/>
    <x v="0"/>
    <n v="1"/>
    <s v="não"/>
    <x v="0"/>
    <n v="1"/>
  </r>
  <r>
    <n v="348"/>
    <x v="0"/>
    <s v="&gt;= 0 &lt; 200 $"/>
    <s v="saldo baixo"/>
    <x v="4"/>
    <x v="1"/>
    <x v="0"/>
    <n v="3758"/>
    <s v="&gt;= 500 &lt; 1000 $"/>
    <s v="Alto (500-1000 $)"/>
    <s v="desempregado"/>
    <s v="desempregado"/>
    <x v="3"/>
    <x v="1"/>
    <s v="divorciada/casada"/>
    <x v="0"/>
    <n v="4"/>
    <s v="sem bens"/>
    <n v="23"/>
    <x v="1"/>
    <s v="nenhum"/>
    <x v="2"/>
    <n v="1"/>
    <x v="3"/>
    <n v="1"/>
    <s v="não"/>
    <x v="0"/>
    <n v="1"/>
  </r>
  <r>
    <n v="349"/>
    <x v="0"/>
    <s v="sem conta corrente"/>
    <s v="sem conta no banco"/>
    <x v="0"/>
    <x v="2"/>
    <x v="5"/>
    <n v="1743"/>
    <s v="&gt;= 100 &lt; 500 $"/>
    <s v="Médio (100-500$)"/>
    <s v="&lt; 4 anos"/>
    <s v="Intermediário (1-4 anos)"/>
    <x v="3"/>
    <x v="0"/>
    <s v="solteiro"/>
    <x v="0"/>
    <n v="2"/>
    <s v="imovel"/>
    <n v="34"/>
    <x v="3"/>
    <s v="nenhum"/>
    <x v="0"/>
    <n v="2"/>
    <x v="1"/>
    <n v="1"/>
    <s v="não"/>
    <x v="0"/>
    <n v="1"/>
  </r>
  <r>
    <n v="350"/>
    <x v="1"/>
    <s v="&gt;= 0 &lt; 200 $"/>
    <s v="saldo baixo"/>
    <x v="8"/>
    <x v="0"/>
    <x v="1"/>
    <n v="1136"/>
    <s v="&gt;= 1000 $"/>
    <s v="Muito alto (&gt;1000$)"/>
    <s v="&gt;= 7 anos"/>
    <s v="Muito Estável (&gt; 7 anos)"/>
    <x v="0"/>
    <x v="0"/>
    <s v="solteiro"/>
    <x v="0"/>
    <n v="3"/>
    <s v="sem bens"/>
    <n v="32"/>
    <x v="3"/>
    <s v="nenhum"/>
    <x v="1"/>
    <n v="2"/>
    <x v="0"/>
    <n v="2"/>
    <s v="não"/>
    <x v="0"/>
    <n v="2"/>
  </r>
  <r>
    <n v="351"/>
    <x v="0"/>
    <s v="sem conta corrente"/>
    <s v="sem conta no banco"/>
    <x v="8"/>
    <x v="1"/>
    <x v="6"/>
    <n v="1236"/>
    <s v="&lt; 100 $"/>
    <s v="Baixo (&lt; 100 $)"/>
    <s v="&lt; 1 ano"/>
    <s v="Iniciante (&lt; 1 ano)"/>
    <x v="3"/>
    <x v="1"/>
    <s v="divorciada/casada"/>
    <x v="0"/>
    <n v="4"/>
    <s v="imovel"/>
    <n v="23"/>
    <x v="1"/>
    <s v="nenhum"/>
    <x v="2"/>
    <n v="1"/>
    <x v="0"/>
    <n v="1"/>
    <s v="sim"/>
    <x v="0"/>
    <n v="1"/>
  </r>
  <r>
    <n v="352"/>
    <x v="1"/>
    <s v="&gt;= 0 &lt; 200 $"/>
    <s v="saldo baixo"/>
    <x v="8"/>
    <x v="1"/>
    <x v="2"/>
    <n v="959"/>
    <s v="&lt; 100 $"/>
    <s v="Baixo (&lt; 100 $)"/>
    <s v="&lt; 4 anos"/>
    <s v="Intermediário (1-4 anos)"/>
    <x v="3"/>
    <x v="1"/>
    <s v="divorciada/casada"/>
    <x v="0"/>
    <n v="2"/>
    <s v="carro ou outros-quitado"/>
    <n v="29"/>
    <x v="3"/>
    <s v="nenhum"/>
    <x v="0"/>
    <n v="1"/>
    <x v="0"/>
    <n v="1"/>
    <s v="não"/>
    <x v="1"/>
    <n v="2"/>
  </r>
  <r>
    <n v="353"/>
    <x v="0"/>
    <s v="sem conta corrente"/>
    <s v="sem conta no banco"/>
    <x v="12"/>
    <x v="0"/>
    <x v="4"/>
    <n v="3229"/>
    <s v="sem poupança"/>
    <s v="sem poupança"/>
    <s v="desempregado"/>
    <s v="desempregado"/>
    <x v="1"/>
    <x v="0"/>
    <s v="solteiro"/>
    <x v="0"/>
    <n v="4"/>
    <s v="sem bens"/>
    <n v="38"/>
    <x v="3"/>
    <s v="nenhum"/>
    <x v="0"/>
    <n v="1"/>
    <x v="2"/>
    <n v="1"/>
    <s v="sim"/>
    <x v="0"/>
    <n v="1"/>
  </r>
  <r>
    <n v="354"/>
    <x v="1"/>
    <s v="&lt; 0 $"/>
    <s v="negativo/devedor"/>
    <x v="2"/>
    <x v="3"/>
    <x v="0"/>
    <n v="6199"/>
    <s v="&lt; 100 $"/>
    <s v="Baixo (&lt; 100 $)"/>
    <s v="&lt; 4 anos"/>
    <s v="Intermediário (1-4 anos)"/>
    <x v="0"/>
    <x v="0"/>
    <s v="solteiro"/>
    <x v="0"/>
    <n v="2"/>
    <s v="poupança ou seguro de vida"/>
    <n v="28"/>
    <x v="3"/>
    <s v="nenhum"/>
    <x v="2"/>
    <n v="2"/>
    <x v="0"/>
    <n v="1"/>
    <s v="sim"/>
    <x v="0"/>
    <n v="2"/>
  </r>
  <r>
    <n v="355"/>
    <x v="0"/>
    <s v="sem conta corrente"/>
    <s v="sem conta no banco"/>
    <x v="9"/>
    <x v="1"/>
    <x v="1"/>
    <n v="727"/>
    <s v="&gt;= 500 &lt; 1000 $"/>
    <s v="Alto (500-1000 $)"/>
    <s v="&gt;= 7 anos"/>
    <s v="Muito Estável (&gt; 7 anos)"/>
    <x v="0"/>
    <x v="0"/>
    <s v="solteiro"/>
    <x v="0"/>
    <n v="4"/>
    <s v="sem bens"/>
    <n v="46"/>
    <x v="2"/>
    <s v="nenhum"/>
    <x v="1"/>
    <n v="1"/>
    <x v="0"/>
    <n v="1"/>
    <s v="sim"/>
    <x v="0"/>
    <n v="1"/>
  </r>
  <r>
    <n v="356"/>
    <x v="1"/>
    <s v="&gt;= 0 &lt; 200 $"/>
    <s v="saldo baixo"/>
    <x v="4"/>
    <x v="1"/>
    <x v="3"/>
    <n v="1246"/>
    <s v="&lt; 100 $"/>
    <s v="Baixo (&lt; 100 $)"/>
    <s v="&lt; 1 ano"/>
    <s v="Iniciante (&lt; 1 ano)"/>
    <x v="0"/>
    <x v="0"/>
    <s v="solteiro"/>
    <x v="0"/>
    <n v="2"/>
    <s v="imovel"/>
    <n v="23"/>
    <x v="1"/>
    <s v="loja"/>
    <x v="0"/>
    <n v="1"/>
    <x v="1"/>
    <n v="1"/>
    <s v="não"/>
    <x v="0"/>
    <n v="2"/>
  </r>
  <r>
    <n v="357"/>
    <x v="0"/>
    <s v="sem conta corrente"/>
    <s v="sem conta no banco"/>
    <x v="2"/>
    <x v="0"/>
    <x v="0"/>
    <n v="2331"/>
    <s v="sem poupança"/>
    <s v="sem poupança"/>
    <s v="&gt;= 7 anos"/>
    <s v="Muito Estável (&gt; 7 anos)"/>
    <x v="3"/>
    <x v="0"/>
    <s v="solteiro"/>
    <x v="2"/>
    <n v="4"/>
    <s v="imovel"/>
    <n v="49"/>
    <x v="2"/>
    <s v="nenhum"/>
    <x v="0"/>
    <n v="1"/>
    <x v="0"/>
    <n v="1"/>
    <s v="sim"/>
    <x v="0"/>
    <n v="1"/>
  </r>
  <r>
    <n v="358"/>
    <x v="1"/>
    <s v="sem conta corrente"/>
    <s v="sem conta no banco"/>
    <x v="5"/>
    <x v="2"/>
    <x v="0"/>
    <n v="4463"/>
    <s v="&lt; 100 $"/>
    <s v="Baixo (&lt; 100 $)"/>
    <s v="&lt; 4 anos"/>
    <s v="Intermediário (1-4 anos)"/>
    <x v="0"/>
    <x v="0"/>
    <s v="solteiro"/>
    <x v="0"/>
    <n v="2"/>
    <s v="carro ou outros-quitado"/>
    <n v="26"/>
    <x v="3"/>
    <s v="nenhum"/>
    <x v="0"/>
    <n v="2"/>
    <x v="2"/>
    <n v="1"/>
    <s v="sim"/>
    <x v="0"/>
    <n v="2"/>
  </r>
  <r>
    <n v="359"/>
    <x v="0"/>
    <s v="sem conta corrente"/>
    <s v="sem conta no banco"/>
    <x v="2"/>
    <x v="1"/>
    <x v="0"/>
    <n v="776"/>
    <s v="&lt; 100 $"/>
    <s v="Baixo (&lt; 100 $)"/>
    <s v="&lt; 4 anos"/>
    <s v="Intermediário (1-4 anos)"/>
    <x v="0"/>
    <x v="0"/>
    <s v="casado/viuvo"/>
    <x v="0"/>
    <n v="2"/>
    <s v="imovel"/>
    <n v="28"/>
    <x v="3"/>
    <s v="nenhum"/>
    <x v="0"/>
    <n v="1"/>
    <x v="0"/>
    <n v="1"/>
    <s v="não"/>
    <x v="0"/>
    <n v="1"/>
  </r>
  <r>
    <n v="360"/>
    <x v="1"/>
    <s v="&lt; 0 $"/>
    <s v="negativo/devedor"/>
    <x v="6"/>
    <x v="1"/>
    <x v="2"/>
    <n v="2406"/>
    <s v="&lt; 100 $"/>
    <s v="Baixo (&lt; 100 $)"/>
    <s v="&lt; 7 anos"/>
    <s v="Estável (4-7 anos)"/>
    <x v="0"/>
    <x v="1"/>
    <s v="divorciada/casada"/>
    <x v="0"/>
    <n v="4"/>
    <s v="imovel"/>
    <n v="23"/>
    <x v="1"/>
    <s v="nenhum"/>
    <x v="2"/>
    <n v="1"/>
    <x v="0"/>
    <n v="1"/>
    <s v="não"/>
    <x v="0"/>
    <n v="2"/>
  </r>
  <r>
    <n v="361"/>
    <x v="0"/>
    <s v="&gt;= 0 &lt; 200 $"/>
    <s v="saldo baixo"/>
    <x v="12"/>
    <x v="1"/>
    <x v="1"/>
    <n v="1239"/>
    <s v="sem poupança"/>
    <s v="sem poupança"/>
    <s v="&lt; 4 anos"/>
    <s v="Intermediário (1-4 anos)"/>
    <x v="0"/>
    <x v="0"/>
    <s v="solteiro"/>
    <x v="0"/>
    <n v="4"/>
    <s v="sem bens"/>
    <n v="61"/>
    <x v="0"/>
    <s v="nenhum"/>
    <x v="1"/>
    <n v="1"/>
    <x v="0"/>
    <n v="1"/>
    <s v="não"/>
    <x v="0"/>
    <n v="1"/>
  </r>
  <r>
    <n v="362"/>
    <x v="0"/>
    <s v="&gt;= 200 $"/>
    <s v="saldo saudável"/>
    <x v="2"/>
    <x v="1"/>
    <x v="0"/>
    <n v="3399"/>
    <s v="sem poupança"/>
    <s v="sem poupança"/>
    <s v="&gt;= 7 anos"/>
    <s v="Muito Estável (&gt; 7 anos)"/>
    <x v="1"/>
    <x v="0"/>
    <s v="solteiro"/>
    <x v="0"/>
    <n v="3"/>
    <s v="carro ou outros-quitado"/>
    <n v="37"/>
    <x v="3"/>
    <s v="nenhum"/>
    <x v="0"/>
    <n v="1"/>
    <x v="2"/>
    <n v="1"/>
    <s v="não"/>
    <x v="0"/>
    <n v="1"/>
  </r>
  <r>
    <n v="363"/>
    <x v="0"/>
    <s v="&gt;= 200 $"/>
    <s v="saldo saudável"/>
    <x v="2"/>
    <x v="2"/>
    <x v="3"/>
    <n v="2247"/>
    <s v="&lt; 100 $"/>
    <s v="Baixo (&lt; 100 $)"/>
    <s v="&lt; 4 anos"/>
    <s v="Intermediário (1-4 anos)"/>
    <x v="1"/>
    <x v="1"/>
    <s v="divorciada/casada"/>
    <x v="0"/>
    <n v="2"/>
    <s v="carro ou outros-quitado"/>
    <n v="36"/>
    <x v="3"/>
    <s v="loja"/>
    <x v="0"/>
    <n v="2"/>
    <x v="0"/>
    <n v="1"/>
    <s v="sim"/>
    <x v="0"/>
    <n v="1"/>
  </r>
  <r>
    <n v="364"/>
    <x v="0"/>
    <s v="sem conta corrente"/>
    <s v="sem conta no banco"/>
    <x v="0"/>
    <x v="1"/>
    <x v="2"/>
    <n v="1766"/>
    <s v="&lt; 100 $"/>
    <s v="Baixo (&lt; 100 $)"/>
    <s v="&lt; 4 anos"/>
    <s v="Intermediário (1-4 anos)"/>
    <x v="3"/>
    <x v="0"/>
    <s v="casado/viuvo"/>
    <x v="0"/>
    <n v="2"/>
    <s v="poupança ou seguro de vida"/>
    <n v="21"/>
    <x v="1"/>
    <s v="nenhum"/>
    <x v="2"/>
    <n v="1"/>
    <x v="0"/>
    <n v="1"/>
    <s v="não"/>
    <x v="0"/>
    <n v="1"/>
  </r>
  <r>
    <n v="365"/>
    <x v="1"/>
    <s v="&lt; 0 $"/>
    <s v="negativo/devedor"/>
    <x v="12"/>
    <x v="1"/>
    <x v="2"/>
    <n v="2473"/>
    <s v="&lt; 100 $"/>
    <s v="Baixo (&lt; 100 $)"/>
    <s v="desempregado"/>
    <s v="desempregado"/>
    <x v="0"/>
    <x v="0"/>
    <s v="solteiro"/>
    <x v="0"/>
    <n v="1"/>
    <s v="carro ou outros-quitado"/>
    <n v="25"/>
    <x v="3"/>
    <s v="nenhum"/>
    <x v="0"/>
    <n v="1"/>
    <x v="3"/>
    <n v="1"/>
    <s v="não"/>
    <x v="0"/>
    <n v="2"/>
  </r>
  <r>
    <n v="366"/>
    <x v="0"/>
    <s v="sem conta corrente"/>
    <s v="sem conta no banco"/>
    <x v="2"/>
    <x v="1"/>
    <x v="5"/>
    <n v="1542"/>
    <s v="&lt; 100 $"/>
    <s v="Baixo (&lt; 100 $)"/>
    <s v="&lt; 7 anos"/>
    <s v="Estável (4-7 anos)"/>
    <x v="1"/>
    <x v="0"/>
    <s v="solteiro"/>
    <x v="0"/>
    <n v="4"/>
    <s v="carro ou outros-quitado"/>
    <n v="36"/>
    <x v="3"/>
    <s v="nenhum"/>
    <x v="0"/>
    <n v="1"/>
    <x v="0"/>
    <n v="1"/>
    <s v="sim"/>
    <x v="0"/>
    <n v="1"/>
  </r>
  <r>
    <n v="367"/>
    <x v="0"/>
    <s v="sem conta corrente"/>
    <s v="sem conta no banco"/>
    <x v="12"/>
    <x v="0"/>
    <x v="4"/>
    <n v="3850"/>
    <s v="&lt; 100 $"/>
    <s v="Baixo (&lt; 100 $)"/>
    <s v="&lt; 7 anos"/>
    <s v="Estável (4-7 anos)"/>
    <x v="2"/>
    <x v="0"/>
    <s v="solteiro"/>
    <x v="0"/>
    <n v="1"/>
    <s v="carro ou outros-quitado"/>
    <n v="27"/>
    <x v="3"/>
    <s v="nenhum"/>
    <x v="0"/>
    <n v="2"/>
    <x v="0"/>
    <n v="1"/>
    <s v="não"/>
    <x v="0"/>
    <n v="1"/>
  </r>
  <r>
    <n v="368"/>
    <x v="0"/>
    <s v="&lt; 0 $"/>
    <s v="negativo/devedor"/>
    <x v="12"/>
    <x v="1"/>
    <x v="2"/>
    <n v="3650"/>
    <s v="&lt; 100 $"/>
    <s v="Baixo (&lt; 100 $)"/>
    <s v="&lt; 1 ano"/>
    <s v="Iniciante (&lt; 1 ano)"/>
    <x v="3"/>
    <x v="1"/>
    <s v="divorciada/casada"/>
    <x v="0"/>
    <n v="4"/>
    <s v="carro ou outros-quitado"/>
    <n v="22"/>
    <x v="1"/>
    <s v="nenhum"/>
    <x v="2"/>
    <n v="1"/>
    <x v="0"/>
    <n v="1"/>
    <s v="não"/>
    <x v="0"/>
    <n v="1"/>
  </r>
  <r>
    <n v="369"/>
    <x v="1"/>
    <s v="&lt; 0 $"/>
    <s v="negativo/devedor"/>
    <x v="5"/>
    <x v="1"/>
    <x v="2"/>
    <n v="3446"/>
    <s v="&lt; 100 $"/>
    <s v="Baixo (&lt; 100 $)"/>
    <s v="&gt;= 7 anos"/>
    <s v="Muito Estável (&gt; 7 anos)"/>
    <x v="0"/>
    <x v="0"/>
    <s v="solteiro"/>
    <x v="0"/>
    <n v="2"/>
    <s v="carro ou outros-quitado"/>
    <n v="42"/>
    <x v="2"/>
    <s v="nenhum"/>
    <x v="0"/>
    <n v="1"/>
    <x v="0"/>
    <n v="2"/>
    <s v="não"/>
    <x v="0"/>
    <n v="2"/>
  </r>
  <r>
    <n v="370"/>
    <x v="0"/>
    <s v="&gt;= 0 &lt; 200 $"/>
    <s v="saldo baixo"/>
    <x v="12"/>
    <x v="1"/>
    <x v="2"/>
    <n v="3001"/>
    <s v="&lt; 100 $"/>
    <s v="Baixo (&lt; 100 $)"/>
    <s v="&lt; 7 anos"/>
    <s v="Estável (4-7 anos)"/>
    <x v="1"/>
    <x v="1"/>
    <s v="divorciada/casada"/>
    <x v="0"/>
    <n v="4"/>
    <s v="imovel"/>
    <n v="40"/>
    <x v="2"/>
    <s v="nenhum"/>
    <x v="2"/>
    <n v="1"/>
    <x v="0"/>
    <n v="1"/>
    <s v="não"/>
    <x v="0"/>
    <n v="1"/>
  </r>
  <r>
    <n v="371"/>
    <x v="0"/>
    <s v="sem conta corrente"/>
    <s v="sem conta no banco"/>
    <x v="5"/>
    <x v="1"/>
    <x v="3"/>
    <n v="3079"/>
    <s v="sem poupança"/>
    <s v="sem poupança"/>
    <s v="&lt; 4 anos"/>
    <s v="Intermediário (1-4 anos)"/>
    <x v="0"/>
    <x v="0"/>
    <s v="solteiro"/>
    <x v="0"/>
    <n v="4"/>
    <s v="imovel"/>
    <n v="36"/>
    <x v="3"/>
    <s v="nenhum"/>
    <x v="0"/>
    <n v="1"/>
    <x v="0"/>
    <n v="1"/>
    <s v="não"/>
    <x v="0"/>
    <n v="1"/>
  </r>
  <r>
    <n v="372"/>
    <x v="0"/>
    <s v="sem conta corrente"/>
    <s v="sem conta no banco"/>
    <x v="12"/>
    <x v="0"/>
    <x v="0"/>
    <n v="6070"/>
    <s v="&lt; 100 $"/>
    <s v="Baixo (&lt; 100 $)"/>
    <s v="&gt;= 7 anos"/>
    <s v="Muito Estável (&gt; 7 anos)"/>
    <x v="2"/>
    <x v="0"/>
    <s v="solteiro"/>
    <x v="0"/>
    <n v="4"/>
    <s v="carro ou outros-quitado"/>
    <n v="33"/>
    <x v="3"/>
    <s v="nenhum"/>
    <x v="0"/>
    <n v="2"/>
    <x v="0"/>
    <n v="1"/>
    <s v="sim"/>
    <x v="0"/>
    <n v="1"/>
  </r>
  <r>
    <n v="373"/>
    <x v="0"/>
    <s v="sem conta corrente"/>
    <s v="sem conta no banco"/>
    <x v="9"/>
    <x v="0"/>
    <x v="2"/>
    <n v="2146"/>
    <s v="&lt; 100 $"/>
    <s v="Baixo (&lt; 100 $)"/>
    <s v="&lt; 1 ano"/>
    <s v="Iniciante (&lt; 1 ano)"/>
    <x v="3"/>
    <x v="1"/>
    <s v="divorciada/casada"/>
    <x v="0"/>
    <n v="3"/>
    <s v="imovel"/>
    <n v="23"/>
    <x v="1"/>
    <s v="nenhum"/>
    <x v="2"/>
    <n v="2"/>
    <x v="0"/>
    <n v="1"/>
    <s v="não"/>
    <x v="0"/>
    <n v="1"/>
  </r>
  <r>
    <n v="374"/>
    <x v="0"/>
    <s v="sem conta corrente"/>
    <s v="sem conta no banco"/>
    <x v="11"/>
    <x v="0"/>
    <x v="3"/>
    <n v="13756"/>
    <s v="sem poupança"/>
    <s v="sem poupança"/>
    <s v="&gt;= 7 anos"/>
    <s v="Muito Estável (&gt; 7 anos)"/>
    <x v="1"/>
    <x v="0"/>
    <s v="solteiro"/>
    <x v="0"/>
    <n v="4"/>
    <s v="sem bens"/>
    <n v="63"/>
    <x v="0"/>
    <s v="banco"/>
    <x v="1"/>
    <n v="1"/>
    <x v="2"/>
    <n v="1"/>
    <s v="sim"/>
    <x v="0"/>
    <n v="1"/>
  </r>
  <r>
    <n v="375"/>
    <x v="1"/>
    <s v="&gt;= 0 &lt; 200 $"/>
    <s v="saldo baixo"/>
    <x v="11"/>
    <x v="4"/>
    <x v="8"/>
    <n v="14782"/>
    <s v="&gt;= 100 &lt; 500 $"/>
    <s v="Médio (100-500$)"/>
    <s v="&gt;= 7 anos"/>
    <s v="Muito Estável (&gt; 7 anos)"/>
    <x v="2"/>
    <x v="1"/>
    <s v="divorciada/casada"/>
    <x v="0"/>
    <n v="4"/>
    <s v="sem bens"/>
    <n v="60"/>
    <x v="0"/>
    <s v="banco"/>
    <x v="1"/>
    <n v="2"/>
    <x v="2"/>
    <n v="1"/>
    <s v="sim"/>
    <x v="0"/>
    <n v="2"/>
  </r>
  <r>
    <n v="376"/>
    <x v="1"/>
    <s v="&lt; 0 $"/>
    <s v="negativo/devedor"/>
    <x v="1"/>
    <x v="4"/>
    <x v="5"/>
    <n v="7685"/>
    <s v="&lt; 100 $"/>
    <s v="Baixo (&lt; 100 $)"/>
    <s v="&lt; 7 anos"/>
    <s v="Estável (4-7 anos)"/>
    <x v="1"/>
    <x v="1"/>
    <s v="divorciada/casada"/>
    <x v="1"/>
    <n v="4"/>
    <s v="carro ou outros-quitado"/>
    <n v="37"/>
    <x v="3"/>
    <s v="nenhum"/>
    <x v="2"/>
    <n v="1"/>
    <x v="0"/>
    <n v="1"/>
    <s v="não"/>
    <x v="0"/>
    <n v="2"/>
  </r>
  <r>
    <n v="377"/>
    <x v="0"/>
    <s v="sem conta corrente"/>
    <s v="sem conta no banco"/>
    <x v="12"/>
    <x v="2"/>
    <x v="0"/>
    <n v="2320"/>
    <s v="&lt; 100 $"/>
    <s v="Baixo (&lt; 100 $)"/>
    <s v="desempregado"/>
    <s v="desempregado"/>
    <x v="1"/>
    <x v="0"/>
    <s v="casado/viuvo"/>
    <x v="0"/>
    <n v="3"/>
    <s v="imovel"/>
    <n v="34"/>
    <x v="3"/>
    <s v="nenhum"/>
    <x v="0"/>
    <n v="2"/>
    <x v="0"/>
    <n v="1"/>
    <s v="não"/>
    <x v="0"/>
    <n v="1"/>
  </r>
  <r>
    <n v="378"/>
    <x v="0"/>
    <s v="sem conta corrente"/>
    <s v="sem conta no banco"/>
    <x v="10"/>
    <x v="2"/>
    <x v="0"/>
    <n v="846"/>
    <s v="sem poupança"/>
    <s v="sem poupança"/>
    <s v="&gt;= 7 anos"/>
    <s v="Muito Estável (&gt; 7 anos)"/>
    <x v="2"/>
    <x v="0"/>
    <s v="solteiro"/>
    <x v="0"/>
    <n v="4"/>
    <s v="sem bens"/>
    <n v="36"/>
    <x v="3"/>
    <s v="nenhum"/>
    <x v="1"/>
    <n v="1"/>
    <x v="0"/>
    <n v="1"/>
    <s v="não"/>
    <x v="0"/>
    <n v="1"/>
  </r>
  <r>
    <n v="379"/>
    <x v="1"/>
    <s v="&gt;= 0 &lt; 200 $"/>
    <s v="saldo baixo"/>
    <x v="5"/>
    <x v="1"/>
    <x v="3"/>
    <n v="14318"/>
    <s v="&lt; 100 $"/>
    <s v="Baixo (&lt; 100 $)"/>
    <s v="&gt;= 7 anos"/>
    <s v="Muito Estável (&gt; 7 anos)"/>
    <x v="0"/>
    <x v="0"/>
    <s v="solteiro"/>
    <x v="0"/>
    <n v="2"/>
    <s v="sem bens"/>
    <n v="57"/>
    <x v="2"/>
    <s v="nenhum"/>
    <x v="1"/>
    <n v="1"/>
    <x v="2"/>
    <n v="1"/>
    <s v="sim"/>
    <x v="0"/>
    <n v="2"/>
  </r>
  <r>
    <n v="380"/>
    <x v="0"/>
    <s v="sem conta corrente"/>
    <s v="sem conta no banco"/>
    <x v="0"/>
    <x v="0"/>
    <x v="3"/>
    <n v="362"/>
    <s v="&gt;= 100 &lt; 500 $"/>
    <s v="Médio (100-500$)"/>
    <s v="&lt; 4 anos"/>
    <s v="Intermediário (1-4 anos)"/>
    <x v="0"/>
    <x v="1"/>
    <s v="divorciada/casada"/>
    <x v="0"/>
    <n v="4"/>
    <s v="carro ou outros-quitado"/>
    <n v="52"/>
    <x v="2"/>
    <s v="nenhum"/>
    <x v="0"/>
    <n v="2"/>
    <x v="1"/>
    <n v="1"/>
    <s v="não"/>
    <x v="0"/>
    <n v="1"/>
  </r>
  <r>
    <n v="381"/>
    <x v="0"/>
    <s v="&lt; 0 $"/>
    <s v="negativo/devedor"/>
    <x v="18"/>
    <x v="1"/>
    <x v="2"/>
    <n v="2212"/>
    <s v="sem poupança"/>
    <s v="sem poupança"/>
    <s v="&lt; 7 anos"/>
    <s v="Estável (4-7 anos)"/>
    <x v="0"/>
    <x v="0"/>
    <s v="solteiro"/>
    <x v="0"/>
    <n v="4"/>
    <s v="carro ou outros-quitado"/>
    <n v="39"/>
    <x v="3"/>
    <s v="nenhum"/>
    <x v="0"/>
    <n v="1"/>
    <x v="0"/>
    <n v="1"/>
    <s v="sim"/>
    <x v="0"/>
    <n v="1"/>
  </r>
  <r>
    <n v="382"/>
    <x v="1"/>
    <s v="&gt;= 0 &lt; 200 $"/>
    <s v="saldo baixo"/>
    <x v="12"/>
    <x v="1"/>
    <x v="4"/>
    <n v="12976"/>
    <s v="&lt; 100 $"/>
    <s v="Baixo (&lt; 100 $)"/>
    <s v="desempregado"/>
    <s v="desempregado"/>
    <x v="2"/>
    <x v="1"/>
    <s v="divorciada/casada"/>
    <x v="0"/>
    <n v="4"/>
    <s v="sem bens"/>
    <n v="38"/>
    <x v="3"/>
    <s v="nenhum"/>
    <x v="1"/>
    <n v="1"/>
    <x v="2"/>
    <n v="1"/>
    <s v="sim"/>
    <x v="0"/>
    <n v="2"/>
  </r>
  <r>
    <n v="383"/>
    <x v="0"/>
    <s v="sem conta corrente"/>
    <s v="sem conta no banco"/>
    <x v="26"/>
    <x v="1"/>
    <x v="3"/>
    <n v="1283"/>
    <s v="sem poupança"/>
    <s v="sem poupança"/>
    <s v="&lt; 7 anos"/>
    <s v="Estável (4-7 anos)"/>
    <x v="0"/>
    <x v="1"/>
    <s v="divorciada/casada"/>
    <x v="0"/>
    <n v="4"/>
    <s v="poupança ou seguro de vida"/>
    <n v="25"/>
    <x v="3"/>
    <s v="nenhum"/>
    <x v="2"/>
    <n v="1"/>
    <x v="0"/>
    <n v="1"/>
    <s v="não"/>
    <x v="0"/>
    <n v="1"/>
  </r>
  <r>
    <n v="384"/>
    <x v="0"/>
    <s v="&gt;= 200 $"/>
    <s v="saldo saudável"/>
    <x v="2"/>
    <x v="1"/>
    <x v="3"/>
    <n v="1330"/>
    <s v="&lt; 100 $"/>
    <s v="Baixo (&lt; 100 $)"/>
    <s v="&lt; 1 ano"/>
    <s v="Iniciante (&lt; 1 ano)"/>
    <x v="0"/>
    <x v="0"/>
    <s v="solteiro"/>
    <x v="0"/>
    <n v="1"/>
    <s v="imovel"/>
    <n v="26"/>
    <x v="3"/>
    <s v="nenhum"/>
    <x v="0"/>
    <n v="1"/>
    <x v="0"/>
    <n v="1"/>
    <s v="não"/>
    <x v="0"/>
    <n v="1"/>
  </r>
  <r>
    <n v="385"/>
    <x v="0"/>
    <s v="sem conta corrente"/>
    <s v="sem conta no banco"/>
    <x v="6"/>
    <x v="2"/>
    <x v="5"/>
    <n v="4272"/>
    <s v="&gt;= 100 &lt; 500 $"/>
    <s v="Médio (100-500$)"/>
    <s v="&lt; 4 anos"/>
    <s v="Intermediário (1-4 anos)"/>
    <x v="1"/>
    <x v="0"/>
    <s v="solteiro"/>
    <x v="0"/>
    <n v="2"/>
    <s v="poupança ou seguro de vida"/>
    <n v="26"/>
    <x v="3"/>
    <s v="nenhum"/>
    <x v="0"/>
    <n v="2"/>
    <x v="1"/>
    <n v="1"/>
    <s v="não"/>
    <x v="0"/>
    <n v="1"/>
  </r>
  <r>
    <n v="386"/>
    <x v="0"/>
    <s v="sem conta corrente"/>
    <s v="sem conta no banco"/>
    <x v="12"/>
    <x v="0"/>
    <x v="0"/>
    <n v="2238"/>
    <s v="&lt; 100 $"/>
    <s v="Baixo (&lt; 100 $)"/>
    <s v="&lt; 4 anos"/>
    <s v="Intermediário (1-4 anos)"/>
    <x v="1"/>
    <x v="1"/>
    <s v="divorciada/casada"/>
    <x v="0"/>
    <n v="1"/>
    <s v="carro ou outros-quitado"/>
    <n v="25"/>
    <x v="3"/>
    <s v="nenhum"/>
    <x v="0"/>
    <n v="2"/>
    <x v="0"/>
    <n v="1"/>
    <s v="não"/>
    <x v="0"/>
    <n v="1"/>
  </r>
  <r>
    <n v="387"/>
    <x v="0"/>
    <s v="sem conta corrente"/>
    <s v="sem conta no banco"/>
    <x v="12"/>
    <x v="1"/>
    <x v="0"/>
    <n v="1126"/>
    <s v="sem poupança"/>
    <s v="sem poupança"/>
    <s v="&lt; 1 ano"/>
    <s v="Iniciante (&lt; 1 ano)"/>
    <x v="0"/>
    <x v="1"/>
    <s v="divorciada/casada"/>
    <x v="0"/>
    <n v="2"/>
    <s v="imovel"/>
    <n v="21"/>
    <x v="1"/>
    <s v="nenhum"/>
    <x v="2"/>
    <n v="1"/>
    <x v="0"/>
    <n v="1"/>
    <s v="sim"/>
    <x v="0"/>
    <n v="1"/>
  </r>
  <r>
    <n v="388"/>
    <x v="0"/>
    <s v="&gt;= 0 &lt; 200 $"/>
    <s v="saldo baixo"/>
    <x v="12"/>
    <x v="0"/>
    <x v="2"/>
    <n v="7374"/>
    <s v="&lt; 100 $"/>
    <s v="Baixo (&lt; 100 $)"/>
    <s v="desempregado"/>
    <s v="desempregado"/>
    <x v="0"/>
    <x v="0"/>
    <s v="solteiro"/>
    <x v="0"/>
    <n v="4"/>
    <s v="poupança ou seguro de vida"/>
    <n v="40"/>
    <x v="2"/>
    <s v="loja"/>
    <x v="0"/>
    <n v="2"/>
    <x v="2"/>
    <n v="1"/>
    <s v="sim"/>
    <x v="0"/>
    <n v="1"/>
  </r>
  <r>
    <n v="389"/>
    <x v="0"/>
    <s v="&gt;= 0 &lt; 200 $"/>
    <s v="saldo baixo"/>
    <x v="7"/>
    <x v="0"/>
    <x v="5"/>
    <n v="2326"/>
    <s v="&gt;= 500 &lt; 1000 $"/>
    <s v="Alto (500-1000 $)"/>
    <s v="&lt; 4 anos"/>
    <s v="Intermediário (1-4 anos)"/>
    <x v="1"/>
    <x v="0"/>
    <s v="solteiro"/>
    <x v="0"/>
    <n v="4"/>
    <s v="carro ou outros-quitado"/>
    <n v="27"/>
    <x v="3"/>
    <s v="banco"/>
    <x v="0"/>
    <n v="1"/>
    <x v="0"/>
    <n v="1"/>
    <s v="não"/>
    <x v="0"/>
    <n v="1"/>
  </r>
  <r>
    <n v="390"/>
    <x v="0"/>
    <s v="sem conta corrente"/>
    <s v="sem conta no banco"/>
    <x v="8"/>
    <x v="1"/>
    <x v="5"/>
    <n v="1449"/>
    <s v="&lt; 100 $"/>
    <s v="Baixo (&lt; 100 $)"/>
    <s v="&lt; 7 anos"/>
    <s v="Estável (4-7 anos)"/>
    <x v="2"/>
    <x v="1"/>
    <s v="divorciada/casada"/>
    <x v="0"/>
    <n v="2"/>
    <s v="carro ou outros-quitado"/>
    <n v="27"/>
    <x v="3"/>
    <s v="nenhum"/>
    <x v="0"/>
    <n v="2"/>
    <x v="0"/>
    <n v="1"/>
    <s v="não"/>
    <x v="0"/>
    <n v="1"/>
  </r>
  <r>
    <n v="391"/>
    <x v="0"/>
    <s v="sem conta corrente"/>
    <s v="sem conta no banco"/>
    <x v="12"/>
    <x v="1"/>
    <x v="3"/>
    <n v="1820"/>
    <s v="&lt; 100 $"/>
    <s v="Baixo (&lt; 100 $)"/>
    <s v="&lt; 4 anos"/>
    <s v="Intermediário (1-4 anos)"/>
    <x v="1"/>
    <x v="0"/>
    <s v="casado/viuvo"/>
    <x v="0"/>
    <n v="2"/>
    <s v="poupança ou seguro de vida"/>
    <n v="30"/>
    <x v="3"/>
    <s v="nenhum"/>
    <x v="0"/>
    <n v="1"/>
    <x v="2"/>
    <n v="1"/>
    <s v="sim"/>
    <x v="0"/>
    <n v="1"/>
  </r>
  <r>
    <n v="392"/>
    <x v="0"/>
    <s v="&gt;= 0 &lt; 200 $"/>
    <s v="saldo baixo"/>
    <x v="2"/>
    <x v="1"/>
    <x v="2"/>
    <n v="983"/>
    <s v="&gt;= 1000 $"/>
    <s v="Muito alto (&gt;1000$)"/>
    <s v="&lt; 1 ano"/>
    <s v="Iniciante (&lt; 1 ano)"/>
    <x v="3"/>
    <x v="1"/>
    <s v="divorciada/casada"/>
    <x v="0"/>
    <n v="4"/>
    <s v="imovel"/>
    <n v="19"/>
    <x v="1"/>
    <s v="nenhum"/>
    <x v="2"/>
    <n v="1"/>
    <x v="1"/>
    <n v="1"/>
    <s v="não"/>
    <x v="0"/>
    <n v="1"/>
  </r>
  <r>
    <n v="393"/>
    <x v="0"/>
    <s v="&lt; 0 $"/>
    <s v="negativo/devedor"/>
    <x v="5"/>
    <x v="1"/>
    <x v="3"/>
    <n v="3249"/>
    <s v="&lt; 100 $"/>
    <s v="Baixo (&lt; 100 $)"/>
    <s v="&lt; 7 anos"/>
    <s v="Estável (4-7 anos)"/>
    <x v="1"/>
    <x v="0"/>
    <s v="solteiro"/>
    <x v="0"/>
    <n v="4"/>
    <s v="sem bens"/>
    <n v="39"/>
    <x v="3"/>
    <s v="banco"/>
    <x v="1"/>
    <n v="1"/>
    <x v="2"/>
    <n v="2"/>
    <s v="sim"/>
    <x v="0"/>
    <n v="1"/>
  </r>
  <r>
    <n v="394"/>
    <x v="0"/>
    <s v="&lt; 0 $"/>
    <s v="negativo/devedor"/>
    <x v="0"/>
    <x v="0"/>
    <x v="0"/>
    <n v="1957"/>
    <s v="&lt; 100 $"/>
    <s v="Baixo (&lt; 100 $)"/>
    <s v="&lt; 7 anos"/>
    <s v="Estável (4-7 anos)"/>
    <x v="3"/>
    <x v="1"/>
    <s v="divorciada/casada"/>
    <x v="0"/>
    <n v="4"/>
    <s v="carro ou outros-quitado"/>
    <n v="31"/>
    <x v="3"/>
    <s v="nenhum"/>
    <x v="0"/>
    <n v="1"/>
    <x v="0"/>
    <n v="1"/>
    <s v="não"/>
    <x v="0"/>
    <n v="1"/>
  </r>
  <r>
    <n v="395"/>
    <x v="0"/>
    <s v="sem conta corrente"/>
    <s v="sem conta no banco"/>
    <x v="8"/>
    <x v="0"/>
    <x v="2"/>
    <n v="2406"/>
    <s v="&lt; 100 $"/>
    <s v="Baixo (&lt; 100 $)"/>
    <s v="desempregado"/>
    <s v="desempregado"/>
    <x v="1"/>
    <x v="0"/>
    <s v="solteiro"/>
    <x v="0"/>
    <n v="3"/>
    <s v="carro ou outros-quitado"/>
    <n v="31"/>
    <x v="3"/>
    <s v="nenhum"/>
    <x v="0"/>
    <n v="1"/>
    <x v="2"/>
    <n v="1"/>
    <s v="não"/>
    <x v="0"/>
    <n v="1"/>
  </r>
  <r>
    <n v="396"/>
    <x v="0"/>
    <s v="&gt;= 0 &lt; 200 $"/>
    <s v="saldo baixo"/>
    <x v="27"/>
    <x v="2"/>
    <x v="1"/>
    <n v="11760"/>
    <s v="&gt;= 100 &lt; 500 $"/>
    <s v="Médio (100-500$)"/>
    <s v="&lt; 7 anos"/>
    <s v="Estável (4-7 anos)"/>
    <x v="1"/>
    <x v="0"/>
    <s v="solteiro"/>
    <x v="0"/>
    <n v="3"/>
    <s v="sem bens"/>
    <n v="32"/>
    <x v="3"/>
    <s v="nenhum"/>
    <x v="2"/>
    <n v="1"/>
    <x v="0"/>
    <n v="1"/>
    <s v="sim"/>
    <x v="0"/>
    <n v="1"/>
  </r>
  <r>
    <n v="397"/>
    <x v="0"/>
    <s v="&lt; 0 $"/>
    <s v="negativo/devedor"/>
    <x v="2"/>
    <x v="1"/>
    <x v="2"/>
    <n v="2578"/>
    <s v="&lt; 100 $"/>
    <s v="Baixo (&lt; 100 $)"/>
    <s v="desempregado"/>
    <s v="desempregado"/>
    <x v="2"/>
    <x v="1"/>
    <s v="divorciada/casada"/>
    <x v="0"/>
    <n v="4"/>
    <s v="sem bens"/>
    <n v="55"/>
    <x v="2"/>
    <s v="nenhum"/>
    <x v="1"/>
    <n v="1"/>
    <x v="2"/>
    <n v="1"/>
    <s v="não"/>
    <x v="0"/>
    <n v="1"/>
  </r>
  <r>
    <n v="398"/>
    <x v="0"/>
    <s v="&lt; 0 $"/>
    <s v="negativo/devedor"/>
    <x v="5"/>
    <x v="0"/>
    <x v="2"/>
    <n v="2348"/>
    <s v="&lt; 100 $"/>
    <s v="Baixo (&lt; 100 $)"/>
    <s v="&lt; 4 anos"/>
    <s v="Intermediário (1-4 anos)"/>
    <x v="2"/>
    <x v="0"/>
    <s v="casado/viuvo"/>
    <x v="0"/>
    <n v="2"/>
    <s v="poupança ou seguro de vida"/>
    <n v="46"/>
    <x v="2"/>
    <s v="nenhum"/>
    <x v="0"/>
    <n v="2"/>
    <x v="0"/>
    <n v="1"/>
    <s v="sim"/>
    <x v="0"/>
    <n v="1"/>
  </r>
  <r>
    <n v="399"/>
    <x v="1"/>
    <s v="&gt;= 0 &lt; 200 $"/>
    <s v="saldo baixo"/>
    <x v="2"/>
    <x v="1"/>
    <x v="3"/>
    <n v="1223"/>
    <s v="&lt; 100 $"/>
    <s v="Baixo (&lt; 100 $)"/>
    <s v="&gt;= 7 anos"/>
    <s v="Muito Estável (&gt; 7 anos)"/>
    <x v="3"/>
    <x v="0"/>
    <s v="divorciado"/>
    <x v="0"/>
    <n v="1"/>
    <s v="imovel"/>
    <n v="46"/>
    <x v="2"/>
    <s v="nenhum"/>
    <x v="2"/>
    <n v="2"/>
    <x v="0"/>
    <n v="1"/>
    <s v="não"/>
    <x v="0"/>
    <n v="2"/>
  </r>
  <r>
    <n v="400"/>
    <x v="0"/>
    <s v="sem conta corrente"/>
    <s v="sem conta no banco"/>
    <x v="4"/>
    <x v="0"/>
    <x v="0"/>
    <n v="1516"/>
    <s v="&gt;= 1000 $"/>
    <s v="Muito alto (&gt;1000$)"/>
    <s v="&lt; 4 anos"/>
    <s v="Intermediário (1-4 anos)"/>
    <x v="0"/>
    <x v="1"/>
    <s v="divorciada/casada"/>
    <x v="0"/>
    <n v="1"/>
    <s v="imovel"/>
    <n v="43"/>
    <x v="2"/>
    <s v="nenhum"/>
    <x v="0"/>
    <n v="2"/>
    <x v="1"/>
    <n v="1"/>
    <s v="não"/>
    <x v="0"/>
    <n v="1"/>
  </r>
  <r>
    <n v="401"/>
    <x v="0"/>
    <s v="sem conta corrente"/>
    <s v="sem conta no banco"/>
    <x v="12"/>
    <x v="1"/>
    <x v="0"/>
    <n v="1473"/>
    <s v="&lt; 100 $"/>
    <s v="Baixo (&lt; 100 $)"/>
    <s v="&lt; 1 ano"/>
    <s v="Iniciante (&lt; 1 ano)"/>
    <x v="2"/>
    <x v="0"/>
    <s v="casado/viuvo"/>
    <x v="0"/>
    <n v="4"/>
    <s v="imovel"/>
    <n v="39"/>
    <x v="3"/>
    <s v="nenhum"/>
    <x v="0"/>
    <n v="1"/>
    <x v="0"/>
    <n v="1"/>
    <s v="sim"/>
    <x v="0"/>
    <n v="1"/>
  </r>
  <r>
    <n v="402"/>
    <x v="0"/>
    <s v="&gt;= 0 &lt; 200 $"/>
    <s v="saldo baixo"/>
    <x v="12"/>
    <x v="0"/>
    <x v="5"/>
    <n v="1887"/>
    <s v="sem poupança"/>
    <s v="sem poupança"/>
    <s v="&lt; 4 anos"/>
    <s v="Intermediário (1-4 anos)"/>
    <x v="0"/>
    <x v="0"/>
    <s v="casado/viuvo"/>
    <x v="0"/>
    <n v="4"/>
    <s v="imovel"/>
    <n v="28"/>
    <x v="3"/>
    <s v="banco"/>
    <x v="0"/>
    <n v="2"/>
    <x v="0"/>
    <n v="1"/>
    <s v="não"/>
    <x v="0"/>
    <n v="1"/>
  </r>
  <r>
    <n v="403"/>
    <x v="1"/>
    <s v="sem conta corrente"/>
    <s v="sem conta no banco"/>
    <x v="4"/>
    <x v="2"/>
    <x v="5"/>
    <n v="8648"/>
    <s v="&lt; 100 $"/>
    <s v="Baixo (&lt; 100 $)"/>
    <s v="&lt; 1 ano"/>
    <s v="Iniciante (&lt; 1 ano)"/>
    <x v="1"/>
    <x v="0"/>
    <s v="solteiro"/>
    <x v="0"/>
    <n v="2"/>
    <s v="carro ou outros-quitado"/>
    <n v="27"/>
    <x v="3"/>
    <s v="banco"/>
    <x v="0"/>
    <n v="2"/>
    <x v="0"/>
    <n v="1"/>
    <s v="sim"/>
    <x v="0"/>
    <n v="2"/>
  </r>
  <r>
    <n v="404"/>
    <x v="0"/>
    <s v="sem conta corrente"/>
    <s v="sem conta no banco"/>
    <x v="19"/>
    <x v="2"/>
    <x v="3"/>
    <n v="802"/>
    <s v="&lt; 100 $"/>
    <s v="Baixo (&lt; 100 $)"/>
    <s v="&lt; 4 anos"/>
    <s v="Intermediário (1-4 anos)"/>
    <x v="0"/>
    <x v="0"/>
    <s v="solteiro"/>
    <x v="0"/>
    <n v="2"/>
    <s v="carro ou outros-quitado"/>
    <n v="27"/>
    <x v="3"/>
    <s v="nenhum"/>
    <x v="0"/>
    <n v="2"/>
    <x v="1"/>
    <n v="1"/>
    <s v="não"/>
    <x v="0"/>
    <n v="1"/>
  </r>
  <r>
    <n v="405"/>
    <x v="0"/>
    <s v="&gt;= 0 &lt; 200 $"/>
    <s v="saldo baixo"/>
    <x v="12"/>
    <x v="2"/>
    <x v="3"/>
    <n v="2899"/>
    <s v="sem poupança"/>
    <s v="sem poupança"/>
    <s v="&gt;= 7 anos"/>
    <s v="Muito Estável (&gt; 7 anos)"/>
    <x v="0"/>
    <x v="0"/>
    <s v="solteiro"/>
    <x v="0"/>
    <n v="4"/>
    <s v="carro ou outros-quitado"/>
    <n v="43"/>
    <x v="2"/>
    <s v="nenhum"/>
    <x v="0"/>
    <n v="1"/>
    <x v="0"/>
    <n v="2"/>
    <s v="não"/>
    <x v="0"/>
    <n v="1"/>
  </r>
  <r>
    <n v="406"/>
    <x v="1"/>
    <s v="&gt;= 0 &lt; 200 $"/>
    <s v="saldo baixo"/>
    <x v="4"/>
    <x v="1"/>
    <x v="0"/>
    <n v="2039"/>
    <s v="&lt; 100 $"/>
    <s v="Baixo (&lt; 100 $)"/>
    <s v="&lt; 1 ano"/>
    <s v="Iniciante (&lt; 1 ano)"/>
    <x v="3"/>
    <x v="0"/>
    <s v="casado/viuvo"/>
    <x v="0"/>
    <n v="1"/>
    <s v="poupança ou seguro de vida"/>
    <n v="22"/>
    <x v="1"/>
    <s v="nenhum"/>
    <x v="0"/>
    <n v="1"/>
    <x v="0"/>
    <n v="1"/>
    <s v="sim"/>
    <x v="0"/>
    <n v="2"/>
  </r>
  <r>
    <n v="407"/>
    <x v="0"/>
    <s v="sem conta corrente"/>
    <s v="sem conta no banco"/>
    <x v="4"/>
    <x v="0"/>
    <x v="4"/>
    <n v="2197"/>
    <s v="sem poupança"/>
    <s v="sem poupança"/>
    <s v="&lt; 7 anos"/>
    <s v="Estável (4-7 anos)"/>
    <x v="0"/>
    <x v="0"/>
    <s v="solteiro"/>
    <x v="0"/>
    <n v="4"/>
    <s v="carro ou outros-quitado"/>
    <n v="43"/>
    <x v="2"/>
    <s v="nenhum"/>
    <x v="0"/>
    <n v="2"/>
    <x v="0"/>
    <n v="2"/>
    <s v="sim"/>
    <x v="0"/>
    <n v="1"/>
  </r>
  <r>
    <n v="408"/>
    <x v="0"/>
    <s v="&lt; 0 $"/>
    <s v="negativo/devedor"/>
    <x v="7"/>
    <x v="1"/>
    <x v="0"/>
    <n v="1053"/>
    <s v="&lt; 100 $"/>
    <s v="Baixo (&lt; 100 $)"/>
    <s v="&lt; 1 ano"/>
    <s v="Iniciante (&lt; 1 ano)"/>
    <x v="0"/>
    <x v="0"/>
    <s v="casado/viuvo"/>
    <x v="0"/>
    <n v="2"/>
    <s v="imovel"/>
    <n v="27"/>
    <x v="3"/>
    <s v="nenhum"/>
    <x v="0"/>
    <n v="1"/>
    <x v="0"/>
    <n v="1"/>
    <s v="não"/>
    <x v="1"/>
    <n v="1"/>
  </r>
  <r>
    <n v="409"/>
    <x v="0"/>
    <s v="sem conta corrente"/>
    <s v="sem conta no banco"/>
    <x v="4"/>
    <x v="1"/>
    <x v="0"/>
    <n v="3235"/>
    <s v="&gt;= 500 &lt; 1000 $"/>
    <s v="Alto (500-1000 $)"/>
    <s v="&gt;= 7 anos"/>
    <s v="Muito Estável (&gt; 7 anos)"/>
    <x v="2"/>
    <x v="0"/>
    <s v="divorciado"/>
    <x v="0"/>
    <n v="2"/>
    <s v="carro ou outros-quitado"/>
    <n v="26"/>
    <x v="3"/>
    <s v="nenhum"/>
    <x v="0"/>
    <n v="1"/>
    <x v="2"/>
    <n v="1"/>
    <s v="sim"/>
    <x v="0"/>
    <n v="1"/>
  </r>
  <r>
    <n v="410"/>
    <x v="1"/>
    <s v="&gt;= 200 $"/>
    <s v="saldo saudável"/>
    <x v="2"/>
    <x v="0"/>
    <x v="3"/>
    <n v="939"/>
    <s v="&gt;= 500 &lt; 1000 $"/>
    <s v="Alto (500-1000 $)"/>
    <s v="&lt; 7 anos"/>
    <s v="Estável (4-7 anos)"/>
    <x v="0"/>
    <x v="0"/>
    <s v="casado/viuvo"/>
    <x v="0"/>
    <n v="2"/>
    <s v="imovel"/>
    <n v="28"/>
    <x v="3"/>
    <s v="nenhum"/>
    <x v="0"/>
    <n v="3"/>
    <x v="0"/>
    <n v="1"/>
    <s v="sim"/>
    <x v="0"/>
    <n v="2"/>
  </r>
  <r>
    <n v="411"/>
    <x v="0"/>
    <s v="&gt;= 0 &lt; 200 $"/>
    <s v="saldo baixo"/>
    <x v="4"/>
    <x v="1"/>
    <x v="0"/>
    <n v="1967"/>
    <s v="&lt; 100 $"/>
    <s v="Baixo (&lt; 100 $)"/>
    <s v="&gt;= 7 anos"/>
    <s v="Muito Estável (&gt; 7 anos)"/>
    <x v="0"/>
    <x v="1"/>
    <s v="divorciada/casada"/>
    <x v="0"/>
    <n v="4"/>
    <s v="carro ou outros-quitado"/>
    <n v="20"/>
    <x v="1"/>
    <s v="nenhum"/>
    <x v="0"/>
    <n v="1"/>
    <x v="0"/>
    <n v="1"/>
    <s v="sim"/>
    <x v="0"/>
    <n v="1"/>
  </r>
  <r>
    <n v="412"/>
    <x v="0"/>
    <s v="sem conta corrente"/>
    <s v="sem conta no banco"/>
    <x v="20"/>
    <x v="0"/>
    <x v="4"/>
    <n v="7253"/>
    <s v="&lt; 100 $"/>
    <s v="Baixo (&lt; 100 $)"/>
    <s v="&lt; 7 anos"/>
    <s v="Estável (4-7 anos)"/>
    <x v="2"/>
    <x v="0"/>
    <s v="solteiro"/>
    <x v="0"/>
    <n v="2"/>
    <s v="carro ou outros-quitado"/>
    <n v="35"/>
    <x v="3"/>
    <s v="nenhum"/>
    <x v="0"/>
    <n v="2"/>
    <x v="2"/>
    <n v="1"/>
    <s v="sim"/>
    <x v="0"/>
    <n v="1"/>
  </r>
  <r>
    <n v="413"/>
    <x v="1"/>
    <s v="sem conta corrente"/>
    <s v="sem conta no banco"/>
    <x v="2"/>
    <x v="0"/>
    <x v="5"/>
    <n v="2292"/>
    <s v="&lt; 100 $"/>
    <s v="Baixo (&lt; 100 $)"/>
    <s v="desempregado"/>
    <s v="desempregado"/>
    <x v="0"/>
    <x v="0"/>
    <s v="solteiro"/>
    <x v="0"/>
    <n v="2"/>
    <s v="carro ou outros-quitado"/>
    <n v="42"/>
    <x v="2"/>
    <s v="loja"/>
    <x v="0"/>
    <n v="2"/>
    <x v="2"/>
    <n v="1"/>
    <s v="sim"/>
    <x v="0"/>
    <n v="2"/>
  </r>
  <r>
    <n v="414"/>
    <x v="0"/>
    <s v="sem conta corrente"/>
    <s v="sem conta no banco"/>
    <x v="9"/>
    <x v="1"/>
    <x v="3"/>
    <n v="1597"/>
    <s v="&gt;= 500 &lt; 1000 $"/>
    <s v="Alto (500-1000 $)"/>
    <s v="&lt; 4 anos"/>
    <s v="Intermediário (1-4 anos)"/>
    <x v="2"/>
    <x v="0"/>
    <s v="solteiro"/>
    <x v="0"/>
    <n v="2"/>
    <s v="sem bens"/>
    <n v="40"/>
    <x v="2"/>
    <s v="nenhum"/>
    <x v="2"/>
    <n v="1"/>
    <x v="1"/>
    <n v="2"/>
    <s v="não"/>
    <x v="1"/>
    <n v="1"/>
  </r>
  <r>
    <n v="415"/>
    <x v="1"/>
    <s v="&lt; 0 $"/>
    <s v="negativo/devedor"/>
    <x v="4"/>
    <x v="1"/>
    <x v="3"/>
    <n v="1381"/>
    <s v="sem poupança"/>
    <s v="sem poupança"/>
    <s v="&lt; 4 anos"/>
    <s v="Intermediário (1-4 anos)"/>
    <x v="0"/>
    <x v="1"/>
    <s v="divorciada/casada"/>
    <x v="0"/>
    <n v="2"/>
    <s v="poupança ou seguro de vida"/>
    <n v="35"/>
    <x v="3"/>
    <s v="nenhum"/>
    <x v="0"/>
    <n v="1"/>
    <x v="0"/>
    <n v="1"/>
    <s v="não"/>
    <x v="0"/>
    <n v="2"/>
  </r>
  <r>
    <n v="416"/>
    <x v="0"/>
    <s v="sem conta corrente"/>
    <s v="sem conta no banco"/>
    <x v="5"/>
    <x v="0"/>
    <x v="4"/>
    <n v="5842"/>
    <s v="&lt; 100 $"/>
    <s v="Baixo (&lt; 100 $)"/>
    <s v="&gt;= 7 anos"/>
    <s v="Muito Estável (&gt; 7 anos)"/>
    <x v="1"/>
    <x v="0"/>
    <s v="solteiro"/>
    <x v="0"/>
    <n v="2"/>
    <s v="poupança ou seguro de vida"/>
    <n v="35"/>
    <x v="3"/>
    <s v="nenhum"/>
    <x v="0"/>
    <n v="2"/>
    <x v="0"/>
    <n v="2"/>
    <s v="sim"/>
    <x v="0"/>
    <n v="1"/>
  </r>
  <r>
    <n v="417"/>
    <x v="1"/>
    <s v="&lt; 0 $"/>
    <s v="negativo/devedor"/>
    <x v="2"/>
    <x v="1"/>
    <x v="3"/>
    <n v="2579"/>
    <s v="&lt; 100 $"/>
    <s v="Baixo (&lt; 100 $)"/>
    <s v="&lt; 1 ano"/>
    <s v="Iniciante (&lt; 1 ano)"/>
    <x v="0"/>
    <x v="0"/>
    <s v="solteiro"/>
    <x v="0"/>
    <n v="1"/>
    <s v="imovel"/>
    <n v="33"/>
    <x v="3"/>
    <s v="nenhum"/>
    <x v="0"/>
    <n v="1"/>
    <x v="1"/>
    <n v="2"/>
    <s v="não"/>
    <x v="0"/>
    <n v="2"/>
  </r>
  <r>
    <n v="418"/>
    <x v="0"/>
    <s v="&lt; 0 $"/>
    <s v="negativo/devedor"/>
    <x v="12"/>
    <x v="2"/>
    <x v="1"/>
    <n v="8471"/>
    <s v="sem poupança"/>
    <s v="sem poupança"/>
    <s v="&lt; 4 anos"/>
    <s v="Intermediário (1-4 anos)"/>
    <x v="3"/>
    <x v="1"/>
    <s v="divorciada/casada"/>
    <x v="0"/>
    <n v="2"/>
    <s v="carro ou outros-quitado"/>
    <n v="23"/>
    <x v="1"/>
    <s v="nenhum"/>
    <x v="2"/>
    <n v="2"/>
    <x v="0"/>
    <n v="1"/>
    <s v="sim"/>
    <x v="0"/>
    <n v="1"/>
  </r>
  <r>
    <n v="419"/>
    <x v="0"/>
    <s v="sem conta corrente"/>
    <s v="sem conta no banco"/>
    <x v="21"/>
    <x v="1"/>
    <x v="3"/>
    <n v="2782"/>
    <s v="&gt;= 500 &lt; 1000 $"/>
    <s v="Alto (500-1000 $)"/>
    <s v="&lt; 7 anos"/>
    <s v="Estável (4-7 anos)"/>
    <x v="3"/>
    <x v="1"/>
    <s v="divorciada/casada"/>
    <x v="0"/>
    <n v="2"/>
    <s v="carro ou outros-quitado"/>
    <n v="31"/>
    <x v="3"/>
    <s v="banco"/>
    <x v="0"/>
    <n v="1"/>
    <x v="2"/>
    <n v="1"/>
    <s v="não"/>
    <x v="0"/>
    <n v="1"/>
  </r>
  <r>
    <n v="420"/>
    <x v="1"/>
    <s v="&gt;= 0 &lt; 200 $"/>
    <s v="saldo baixo"/>
    <x v="12"/>
    <x v="1"/>
    <x v="3"/>
    <n v="1042"/>
    <s v="sem poupança"/>
    <s v="sem poupança"/>
    <s v="&lt; 4 anos"/>
    <s v="Intermediário (1-4 anos)"/>
    <x v="0"/>
    <x v="1"/>
    <s v="divorciada/casada"/>
    <x v="0"/>
    <n v="2"/>
    <s v="poupança ou seguro de vida"/>
    <n v="33"/>
    <x v="3"/>
    <s v="nenhum"/>
    <x v="0"/>
    <n v="1"/>
    <x v="0"/>
    <n v="1"/>
    <s v="não"/>
    <x v="0"/>
    <n v="2"/>
  </r>
  <r>
    <n v="421"/>
    <x v="0"/>
    <s v="sem conta corrente"/>
    <s v="sem conta no banco"/>
    <x v="7"/>
    <x v="1"/>
    <x v="3"/>
    <n v="3186"/>
    <s v="&gt;= 1000 $"/>
    <s v="Muito alto (&gt;1000$)"/>
    <s v="&lt; 7 anos"/>
    <s v="Estável (4-7 anos)"/>
    <x v="1"/>
    <x v="1"/>
    <s v="divorciada/casada"/>
    <x v="0"/>
    <n v="3"/>
    <s v="carro ou outros-quitado"/>
    <n v="20"/>
    <x v="1"/>
    <s v="nenhum"/>
    <x v="2"/>
    <n v="1"/>
    <x v="0"/>
    <n v="1"/>
    <s v="não"/>
    <x v="0"/>
    <n v="1"/>
  </r>
  <r>
    <n v="422"/>
    <x v="0"/>
    <s v="&gt;= 0 &lt; 200 $"/>
    <s v="saldo baixo"/>
    <x v="2"/>
    <x v="1"/>
    <x v="4"/>
    <n v="2028"/>
    <s v="sem poupança"/>
    <s v="sem poupança"/>
    <s v="&lt; 4 anos"/>
    <s v="Intermediário (1-4 anos)"/>
    <x v="0"/>
    <x v="0"/>
    <s v="solteiro"/>
    <x v="0"/>
    <n v="2"/>
    <s v="carro ou outros-quitado"/>
    <n v="30"/>
    <x v="3"/>
    <s v="nenhum"/>
    <x v="0"/>
    <n v="1"/>
    <x v="0"/>
    <n v="1"/>
    <s v="não"/>
    <x v="0"/>
    <n v="1"/>
  </r>
  <r>
    <n v="423"/>
    <x v="0"/>
    <s v="&gt;= 0 &lt; 200 $"/>
    <s v="saldo baixo"/>
    <x v="2"/>
    <x v="0"/>
    <x v="3"/>
    <n v="958"/>
    <s v="&lt; 100 $"/>
    <s v="Baixo (&lt; 100 $)"/>
    <s v="&lt; 7 anos"/>
    <s v="Estável (4-7 anos)"/>
    <x v="1"/>
    <x v="0"/>
    <s v="solteiro"/>
    <x v="0"/>
    <n v="3"/>
    <s v="imovel"/>
    <n v="47"/>
    <x v="2"/>
    <s v="nenhum"/>
    <x v="0"/>
    <n v="2"/>
    <x v="1"/>
    <n v="2"/>
    <s v="não"/>
    <x v="0"/>
    <n v="1"/>
  </r>
  <r>
    <n v="424"/>
    <x v="0"/>
    <s v="sem conta corrente"/>
    <s v="sem conta no banco"/>
    <x v="21"/>
    <x v="2"/>
    <x v="2"/>
    <n v="1591"/>
    <s v="&gt;= 100 &lt; 500 $"/>
    <s v="Médio (100-500$)"/>
    <s v="&lt; 7 anos"/>
    <s v="Estável (4-7 anos)"/>
    <x v="0"/>
    <x v="0"/>
    <s v="solteiro"/>
    <x v="0"/>
    <n v="3"/>
    <s v="imovel"/>
    <n v="34"/>
    <x v="3"/>
    <s v="nenhum"/>
    <x v="0"/>
    <n v="2"/>
    <x v="2"/>
    <n v="1"/>
    <s v="não"/>
    <x v="0"/>
    <n v="1"/>
  </r>
  <r>
    <n v="425"/>
    <x v="1"/>
    <s v="&gt;= 0 &lt; 200 $"/>
    <s v="saldo baixo"/>
    <x v="2"/>
    <x v="1"/>
    <x v="2"/>
    <n v="2762"/>
    <s v="sem poupança"/>
    <s v="sem poupança"/>
    <s v="&gt;= 7 anos"/>
    <s v="Muito Estável (&gt; 7 anos)"/>
    <x v="3"/>
    <x v="1"/>
    <s v="divorciada/casada"/>
    <x v="0"/>
    <n v="2"/>
    <s v="poupança ou seguro de vida"/>
    <n v="25"/>
    <x v="3"/>
    <s v="banco"/>
    <x v="0"/>
    <n v="1"/>
    <x v="0"/>
    <n v="1"/>
    <s v="sim"/>
    <x v="0"/>
    <n v="2"/>
  </r>
  <r>
    <n v="426"/>
    <x v="0"/>
    <s v="&gt;= 0 &lt; 200 $"/>
    <s v="saldo baixo"/>
    <x v="12"/>
    <x v="1"/>
    <x v="4"/>
    <n v="2779"/>
    <s v="&lt; 100 $"/>
    <s v="Baixo (&lt; 100 $)"/>
    <s v="&lt; 4 anos"/>
    <s v="Intermediário (1-4 anos)"/>
    <x v="3"/>
    <x v="0"/>
    <s v="casado/viuvo"/>
    <x v="0"/>
    <n v="3"/>
    <s v="carro ou outros-quitado"/>
    <n v="21"/>
    <x v="1"/>
    <s v="nenhum"/>
    <x v="2"/>
    <n v="1"/>
    <x v="0"/>
    <n v="1"/>
    <s v="sim"/>
    <x v="0"/>
    <n v="1"/>
  </r>
  <r>
    <n v="427"/>
    <x v="0"/>
    <s v="sem conta corrente"/>
    <s v="sem conta no banco"/>
    <x v="28"/>
    <x v="0"/>
    <x v="0"/>
    <n v="2743"/>
    <s v="&lt; 100 $"/>
    <s v="Baixo (&lt; 100 $)"/>
    <s v="&gt;= 7 anos"/>
    <s v="Muito Estável (&gt; 7 anos)"/>
    <x v="0"/>
    <x v="0"/>
    <s v="solteiro"/>
    <x v="0"/>
    <n v="2"/>
    <s v="carro ou outros-quitado"/>
    <n v="29"/>
    <x v="3"/>
    <s v="nenhum"/>
    <x v="0"/>
    <n v="2"/>
    <x v="0"/>
    <n v="1"/>
    <s v="não"/>
    <x v="0"/>
    <n v="1"/>
  </r>
  <r>
    <n v="428"/>
    <x v="0"/>
    <s v="sem conta corrente"/>
    <s v="sem conta no banco"/>
    <x v="12"/>
    <x v="0"/>
    <x v="0"/>
    <n v="1149"/>
    <s v="&gt;= 1000 $"/>
    <s v="Muito alto (&gt;1000$)"/>
    <s v="&lt; 4 anos"/>
    <s v="Intermediário (1-4 anos)"/>
    <x v="0"/>
    <x v="0"/>
    <s v="solteiro"/>
    <x v="0"/>
    <n v="3"/>
    <s v="imovel"/>
    <n v="46"/>
    <x v="2"/>
    <s v="nenhum"/>
    <x v="0"/>
    <n v="2"/>
    <x v="0"/>
    <n v="1"/>
    <s v="não"/>
    <x v="0"/>
    <n v="1"/>
  </r>
  <r>
    <n v="429"/>
    <x v="0"/>
    <s v="sem conta corrente"/>
    <s v="sem conta no banco"/>
    <x v="8"/>
    <x v="1"/>
    <x v="2"/>
    <n v="1313"/>
    <s v="&lt; 100 $"/>
    <s v="Baixo (&lt; 100 $)"/>
    <s v="&gt;= 7 anos"/>
    <s v="Muito Estável (&gt; 7 anos)"/>
    <x v="3"/>
    <x v="0"/>
    <s v="solteiro"/>
    <x v="0"/>
    <n v="4"/>
    <s v="carro ou outros-quitado"/>
    <n v="20"/>
    <x v="1"/>
    <s v="nenhum"/>
    <x v="0"/>
    <n v="1"/>
    <x v="0"/>
    <n v="1"/>
    <s v="não"/>
    <x v="0"/>
    <n v="1"/>
  </r>
  <r>
    <n v="430"/>
    <x v="1"/>
    <s v="&lt; 0 $"/>
    <s v="negativo/devedor"/>
    <x v="12"/>
    <x v="0"/>
    <x v="7"/>
    <n v="1190"/>
    <s v="&lt; 100 $"/>
    <s v="Baixo (&lt; 100 $)"/>
    <s v="desempregado"/>
    <s v="desempregado"/>
    <x v="1"/>
    <x v="1"/>
    <s v="divorciada/casada"/>
    <x v="0"/>
    <n v="4"/>
    <s v="sem bens"/>
    <n v="55"/>
    <x v="2"/>
    <s v="nenhum"/>
    <x v="1"/>
    <n v="3"/>
    <x v="3"/>
    <n v="2"/>
    <s v="não"/>
    <x v="0"/>
    <n v="2"/>
  </r>
  <r>
    <n v="431"/>
    <x v="0"/>
    <s v="sem conta corrente"/>
    <s v="sem conta no banco"/>
    <x v="29"/>
    <x v="1"/>
    <x v="5"/>
    <n v="3448"/>
    <s v="&lt; 100 $"/>
    <s v="Baixo (&lt; 100 $)"/>
    <s v="&lt; 7 anos"/>
    <s v="Estável (4-7 anos)"/>
    <x v="3"/>
    <x v="0"/>
    <s v="solteiro"/>
    <x v="0"/>
    <n v="4"/>
    <s v="imovel"/>
    <n v="74"/>
    <x v="0"/>
    <s v="nenhum"/>
    <x v="0"/>
    <n v="1"/>
    <x v="1"/>
    <n v="1"/>
    <s v="não"/>
    <x v="0"/>
    <n v="1"/>
  </r>
  <r>
    <n v="432"/>
    <x v="1"/>
    <s v="&gt;= 0 &lt; 200 $"/>
    <s v="saldo baixo"/>
    <x v="4"/>
    <x v="1"/>
    <x v="8"/>
    <n v="11328"/>
    <s v="&lt; 100 $"/>
    <s v="Baixo (&lt; 100 $)"/>
    <s v="&lt; 4 anos"/>
    <s v="Intermediário (1-4 anos)"/>
    <x v="1"/>
    <x v="0"/>
    <s v="solteiro"/>
    <x v="2"/>
    <n v="3"/>
    <s v="carro ou outros-quitado"/>
    <n v="29"/>
    <x v="3"/>
    <s v="banco"/>
    <x v="0"/>
    <n v="2"/>
    <x v="2"/>
    <n v="1"/>
    <s v="sim"/>
    <x v="0"/>
    <n v="2"/>
  </r>
  <r>
    <n v="433"/>
    <x v="0"/>
    <s v="&lt; 0 $"/>
    <s v="negativo/devedor"/>
    <x v="0"/>
    <x v="0"/>
    <x v="2"/>
    <n v="1872"/>
    <s v="&lt; 100 $"/>
    <s v="Baixo (&lt; 100 $)"/>
    <s v="desempregado"/>
    <s v="desempregado"/>
    <x v="0"/>
    <x v="0"/>
    <s v="solteiro"/>
    <x v="0"/>
    <n v="4"/>
    <s v="sem bens"/>
    <n v="36"/>
    <x v="3"/>
    <s v="nenhum"/>
    <x v="1"/>
    <n v="3"/>
    <x v="2"/>
    <n v="1"/>
    <s v="sim"/>
    <x v="0"/>
    <n v="1"/>
  </r>
  <r>
    <n v="434"/>
    <x v="0"/>
    <s v="sem conta corrente"/>
    <s v="sem conta no banco"/>
    <x v="4"/>
    <x v="0"/>
    <x v="7"/>
    <n v="2058"/>
    <s v="&lt; 100 $"/>
    <s v="Baixo (&lt; 100 $)"/>
    <s v="&lt; 4 anos"/>
    <s v="Intermediário (1-4 anos)"/>
    <x v="0"/>
    <x v="0"/>
    <s v="divorciado"/>
    <x v="0"/>
    <n v="2"/>
    <s v="imovel"/>
    <n v="33"/>
    <x v="3"/>
    <s v="nenhum"/>
    <x v="0"/>
    <n v="2"/>
    <x v="0"/>
    <n v="1"/>
    <s v="sim"/>
    <x v="0"/>
    <n v="1"/>
  </r>
  <r>
    <n v="435"/>
    <x v="0"/>
    <s v="&lt; 0 $"/>
    <s v="negativo/devedor"/>
    <x v="8"/>
    <x v="1"/>
    <x v="2"/>
    <n v="2136"/>
    <s v="&lt; 100 $"/>
    <s v="Baixo (&lt; 100 $)"/>
    <s v="&lt; 4 anos"/>
    <s v="Intermediário (1-4 anos)"/>
    <x v="2"/>
    <x v="0"/>
    <s v="solteiro"/>
    <x v="0"/>
    <n v="2"/>
    <s v="imovel"/>
    <n v="25"/>
    <x v="3"/>
    <s v="nenhum"/>
    <x v="0"/>
    <n v="1"/>
    <x v="0"/>
    <n v="1"/>
    <s v="não"/>
    <x v="0"/>
    <n v="1"/>
  </r>
  <r>
    <n v="436"/>
    <x v="1"/>
    <s v="&gt;= 0 &lt; 200 $"/>
    <s v="saldo baixo"/>
    <x v="2"/>
    <x v="1"/>
    <x v="0"/>
    <n v="1484"/>
    <s v="sem poupança"/>
    <s v="sem poupança"/>
    <s v="&lt; 4 anos"/>
    <s v="Intermediário (1-4 anos)"/>
    <x v="1"/>
    <x v="0"/>
    <s v="casado/viuvo"/>
    <x v="0"/>
    <n v="1"/>
    <s v="imovel"/>
    <n v="25"/>
    <x v="3"/>
    <s v="nenhum"/>
    <x v="0"/>
    <n v="1"/>
    <x v="0"/>
    <n v="1"/>
    <s v="sim"/>
    <x v="0"/>
    <n v="2"/>
  </r>
  <r>
    <n v="437"/>
    <x v="0"/>
    <s v="sem conta corrente"/>
    <s v="sem conta no banco"/>
    <x v="0"/>
    <x v="1"/>
    <x v="7"/>
    <n v="660"/>
    <s v="&gt;= 500 &lt; 1000 $"/>
    <s v="Alto (500-1000 $)"/>
    <s v="&lt; 7 anos"/>
    <s v="Estável (4-7 anos)"/>
    <x v="1"/>
    <x v="0"/>
    <s v="casado/viuvo"/>
    <x v="0"/>
    <n v="4"/>
    <s v="imovel"/>
    <n v="23"/>
    <x v="1"/>
    <s v="nenhum"/>
    <x v="2"/>
    <n v="1"/>
    <x v="1"/>
    <n v="1"/>
    <s v="não"/>
    <x v="0"/>
    <n v="1"/>
  </r>
  <r>
    <n v="438"/>
    <x v="0"/>
    <s v="sem conta corrente"/>
    <s v="sem conta no banco"/>
    <x v="4"/>
    <x v="0"/>
    <x v="3"/>
    <n v="1287"/>
    <s v="&gt;= 1000 $"/>
    <s v="Muito alto (&gt;1000$)"/>
    <s v="&gt;= 7 anos"/>
    <s v="Muito Estável (&gt; 7 anos)"/>
    <x v="0"/>
    <x v="1"/>
    <s v="divorciada/casada"/>
    <x v="0"/>
    <n v="4"/>
    <s v="imovel"/>
    <n v="37"/>
    <x v="3"/>
    <s v="nenhum"/>
    <x v="0"/>
    <n v="2"/>
    <x v="0"/>
    <n v="1"/>
    <s v="sim"/>
    <x v="0"/>
    <n v="1"/>
  </r>
  <r>
    <n v="439"/>
    <x v="0"/>
    <s v="&lt; 0 $"/>
    <s v="negativo/devedor"/>
    <x v="3"/>
    <x v="0"/>
    <x v="7"/>
    <n v="3394"/>
    <s v="&lt; 100 $"/>
    <s v="Baixo (&lt; 100 $)"/>
    <s v="desempregado"/>
    <s v="desempregado"/>
    <x v="0"/>
    <x v="0"/>
    <s v="solteiro"/>
    <x v="2"/>
    <n v="4"/>
    <s v="carro ou outros-quitado"/>
    <n v="65"/>
    <x v="0"/>
    <s v="nenhum"/>
    <x v="0"/>
    <n v="2"/>
    <x v="3"/>
    <n v="1"/>
    <s v="não"/>
    <x v="0"/>
    <n v="1"/>
  </r>
  <r>
    <n v="440"/>
    <x v="1"/>
    <s v="&gt;= 200 $"/>
    <s v="saldo saudável"/>
    <x v="2"/>
    <x v="4"/>
    <x v="5"/>
    <n v="609"/>
    <s v="&lt; 100 $"/>
    <s v="Baixo (&lt; 100 $)"/>
    <s v="&lt; 1 ano"/>
    <s v="Iniciante (&lt; 1 ano)"/>
    <x v="0"/>
    <x v="1"/>
    <s v="divorciada/casada"/>
    <x v="0"/>
    <n v="1"/>
    <s v="imovel"/>
    <n v="26"/>
    <x v="3"/>
    <s v="nenhum"/>
    <x v="0"/>
    <n v="1"/>
    <x v="3"/>
    <n v="1"/>
    <s v="não"/>
    <x v="0"/>
    <n v="2"/>
  </r>
  <r>
    <n v="441"/>
    <x v="0"/>
    <s v="sem conta corrente"/>
    <s v="sem conta no banco"/>
    <x v="2"/>
    <x v="1"/>
    <x v="3"/>
    <n v="1884"/>
    <s v="&lt; 100 $"/>
    <s v="Baixo (&lt; 100 $)"/>
    <s v="&gt;= 7 anos"/>
    <s v="Muito Estável (&gt; 7 anos)"/>
    <x v="0"/>
    <x v="0"/>
    <s v="solteiro"/>
    <x v="0"/>
    <n v="4"/>
    <s v="carro ou outros-quitado"/>
    <n v="39"/>
    <x v="3"/>
    <s v="nenhum"/>
    <x v="0"/>
    <n v="1"/>
    <x v="2"/>
    <n v="1"/>
    <s v="sim"/>
    <x v="0"/>
    <n v="1"/>
  </r>
  <r>
    <n v="442"/>
    <x v="0"/>
    <s v="&lt; 0 $"/>
    <s v="negativo/devedor"/>
    <x v="2"/>
    <x v="1"/>
    <x v="2"/>
    <n v="1620"/>
    <s v="&lt; 100 $"/>
    <s v="Baixo (&lt; 100 $)"/>
    <s v="&lt; 4 anos"/>
    <s v="Intermediário (1-4 anos)"/>
    <x v="1"/>
    <x v="1"/>
    <s v="divorciada/casada"/>
    <x v="2"/>
    <n v="3"/>
    <s v="poupança ou seguro de vida"/>
    <n v="30"/>
    <x v="3"/>
    <s v="nenhum"/>
    <x v="0"/>
    <n v="1"/>
    <x v="0"/>
    <n v="1"/>
    <s v="não"/>
    <x v="0"/>
    <n v="1"/>
  </r>
  <r>
    <n v="443"/>
    <x v="0"/>
    <s v="&gt;= 0 &lt; 200 $"/>
    <s v="saldo baixo"/>
    <x v="18"/>
    <x v="2"/>
    <x v="8"/>
    <n v="2629"/>
    <s v="&lt; 100 $"/>
    <s v="Baixo (&lt; 100 $)"/>
    <s v="&lt; 4 anos"/>
    <s v="Intermediário (1-4 anos)"/>
    <x v="1"/>
    <x v="0"/>
    <s v="solteiro"/>
    <x v="0"/>
    <n v="3"/>
    <s v="carro ou outros-quitado"/>
    <n v="29"/>
    <x v="3"/>
    <s v="banco"/>
    <x v="0"/>
    <n v="2"/>
    <x v="0"/>
    <n v="1"/>
    <s v="sim"/>
    <x v="0"/>
    <n v="1"/>
  </r>
  <r>
    <n v="444"/>
    <x v="1"/>
    <s v="sem conta corrente"/>
    <s v="sem conta no banco"/>
    <x v="2"/>
    <x v="1"/>
    <x v="1"/>
    <n v="719"/>
    <s v="&lt; 100 $"/>
    <s v="Baixo (&lt; 100 $)"/>
    <s v="&gt;= 7 anos"/>
    <s v="Muito Estável (&gt; 7 anos)"/>
    <x v="0"/>
    <x v="0"/>
    <s v="solteiro"/>
    <x v="0"/>
    <n v="4"/>
    <s v="carro ou outros-quitado"/>
    <n v="41"/>
    <x v="2"/>
    <s v="banco"/>
    <x v="0"/>
    <n v="1"/>
    <x v="1"/>
    <n v="2"/>
    <s v="não"/>
    <x v="0"/>
    <n v="2"/>
  </r>
  <r>
    <n v="445"/>
    <x v="1"/>
    <s v="&gt;= 0 &lt; 200 $"/>
    <s v="saldo baixo"/>
    <x v="1"/>
    <x v="0"/>
    <x v="2"/>
    <n v="5096"/>
    <s v="&lt; 100 $"/>
    <s v="Baixo (&lt; 100 $)"/>
    <s v="&lt; 4 anos"/>
    <s v="Intermediário (1-4 anos)"/>
    <x v="1"/>
    <x v="1"/>
    <s v="divorciada/casada"/>
    <x v="0"/>
    <n v="3"/>
    <s v="carro ou outros-quitado"/>
    <n v="30"/>
    <x v="3"/>
    <s v="nenhum"/>
    <x v="0"/>
    <n v="1"/>
    <x v="2"/>
    <n v="1"/>
    <s v="sim"/>
    <x v="0"/>
    <n v="2"/>
  </r>
  <r>
    <n v="446"/>
    <x v="0"/>
    <s v="sem conta corrente"/>
    <s v="sem conta no banco"/>
    <x v="8"/>
    <x v="0"/>
    <x v="1"/>
    <n v="1244"/>
    <s v="sem poupança"/>
    <s v="sem poupança"/>
    <s v="&gt;= 7 anos"/>
    <s v="Muito Estável (&gt; 7 anos)"/>
    <x v="0"/>
    <x v="1"/>
    <s v="divorciada/casada"/>
    <x v="0"/>
    <n v="4"/>
    <s v="poupança ou seguro de vida"/>
    <n v="41"/>
    <x v="2"/>
    <s v="nenhum"/>
    <x v="2"/>
    <n v="2"/>
    <x v="1"/>
    <n v="1"/>
    <s v="não"/>
    <x v="0"/>
    <n v="1"/>
  </r>
  <r>
    <n v="447"/>
    <x v="1"/>
    <s v="&lt; 0 $"/>
    <s v="negativo/devedor"/>
    <x v="5"/>
    <x v="1"/>
    <x v="3"/>
    <n v="1842"/>
    <s v="&lt; 100 $"/>
    <s v="Baixo (&lt; 100 $)"/>
    <s v="&lt; 1 ano"/>
    <s v="Iniciante (&lt; 1 ano)"/>
    <x v="0"/>
    <x v="1"/>
    <s v="divorciada/casada"/>
    <x v="0"/>
    <n v="4"/>
    <s v="carro ou outros-quitado"/>
    <n v="34"/>
    <x v="3"/>
    <s v="nenhum"/>
    <x v="0"/>
    <n v="1"/>
    <x v="0"/>
    <n v="1"/>
    <s v="sim"/>
    <x v="0"/>
    <n v="2"/>
  </r>
  <r>
    <n v="448"/>
    <x v="0"/>
    <s v="&gt;= 0 &lt; 200 $"/>
    <s v="saldo baixo"/>
    <x v="10"/>
    <x v="1"/>
    <x v="0"/>
    <n v="2576"/>
    <s v="&lt; 100 $"/>
    <s v="Baixo (&lt; 100 $)"/>
    <s v="&lt; 4 anos"/>
    <s v="Intermediário (1-4 anos)"/>
    <x v="1"/>
    <x v="0"/>
    <s v="solteiro"/>
    <x v="1"/>
    <n v="2"/>
    <s v="imovel"/>
    <n v="35"/>
    <x v="3"/>
    <s v="nenhum"/>
    <x v="0"/>
    <n v="1"/>
    <x v="0"/>
    <n v="1"/>
    <s v="não"/>
    <x v="0"/>
    <n v="1"/>
  </r>
  <r>
    <n v="449"/>
    <x v="0"/>
    <s v="&gt;= 200 $"/>
    <s v="saldo saudável"/>
    <x v="2"/>
    <x v="1"/>
    <x v="2"/>
    <n v="1424"/>
    <s v="sem poupança"/>
    <s v="sem poupança"/>
    <s v="&gt;= 7 anos"/>
    <s v="Muito Estável (&gt; 7 anos)"/>
    <x v="2"/>
    <x v="1"/>
    <s v="divorciada/casada"/>
    <x v="0"/>
    <n v="4"/>
    <s v="imovel"/>
    <n v="55"/>
    <x v="2"/>
    <s v="nenhum"/>
    <x v="0"/>
    <n v="1"/>
    <x v="2"/>
    <n v="1"/>
    <s v="sim"/>
    <x v="0"/>
    <n v="1"/>
  </r>
  <r>
    <n v="450"/>
    <x v="1"/>
    <s v="&gt;= 0 &lt; 200 $"/>
    <s v="saldo baixo"/>
    <x v="7"/>
    <x v="2"/>
    <x v="7"/>
    <n v="1512"/>
    <s v="&gt;= 1000 $"/>
    <s v="Muito alto (&gt;1000$)"/>
    <s v="&lt; 4 anos"/>
    <s v="Intermediário (1-4 anos)"/>
    <x v="2"/>
    <x v="0"/>
    <s v="casado/viuvo"/>
    <x v="0"/>
    <n v="3"/>
    <s v="poupança ou seguro de vida"/>
    <n v="61"/>
    <x v="0"/>
    <s v="loja"/>
    <x v="0"/>
    <n v="2"/>
    <x v="0"/>
    <n v="1"/>
    <s v="não"/>
    <x v="0"/>
    <n v="2"/>
  </r>
  <r>
    <n v="451"/>
    <x v="0"/>
    <s v="sem conta corrente"/>
    <s v="sem conta no banco"/>
    <x v="5"/>
    <x v="0"/>
    <x v="4"/>
    <n v="11054"/>
    <s v="sem poupança"/>
    <s v="sem poupança"/>
    <s v="&lt; 4 anos"/>
    <s v="Intermediário (1-4 anos)"/>
    <x v="0"/>
    <x v="0"/>
    <s v="solteiro"/>
    <x v="0"/>
    <n v="2"/>
    <s v="carro ou outros-quitado"/>
    <n v="30"/>
    <x v="3"/>
    <s v="nenhum"/>
    <x v="0"/>
    <n v="1"/>
    <x v="2"/>
    <n v="1"/>
    <s v="sim"/>
    <x v="0"/>
    <n v="1"/>
  </r>
  <r>
    <n v="452"/>
    <x v="0"/>
    <s v="sem conta corrente"/>
    <s v="sem conta no banco"/>
    <x v="0"/>
    <x v="1"/>
    <x v="0"/>
    <n v="518"/>
    <s v="&lt; 100 $"/>
    <s v="Baixo (&lt; 100 $)"/>
    <s v="&lt; 4 anos"/>
    <s v="Intermediário (1-4 anos)"/>
    <x v="2"/>
    <x v="1"/>
    <s v="divorciada/casada"/>
    <x v="0"/>
    <n v="1"/>
    <s v="imovel"/>
    <n v="29"/>
    <x v="3"/>
    <s v="nenhum"/>
    <x v="0"/>
    <n v="1"/>
    <x v="0"/>
    <n v="1"/>
    <s v="não"/>
    <x v="0"/>
    <n v="1"/>
  </r>
  <r>
    <n v="453"/>
    <x v="0"/>
    <s v="sem conta corrente"/>
    <s v="sem conta no banco"/>
    <x v="2"/>
    <x v="3"/>
    <x v="2"/>
    <n v="2759"/>
    <s v="&lt; 100 $"/>
    <s v="Baixo (&lt; 100 $)"/>
    <s v="&gt;= 7 anos"/>
    <s v="Muito Estável (&gt; 7 anos)"/>
    <x v="1"/>
    <x v="0"/>
    <s v="solteiro"/>
    <x v="0"/>
    <n v="4"/>
    <s v="poupança ou seguro de vida"/>
    <n v="34"/>
    <x v="3"/>
    <s v="nenhum"/>
    <x v="0"/>
    <n v="2"/>
    <x v="0"/>
    <n v="1"/>
    <s v="não"/>
    <x v="0"/>
    <n v="1"/>
  </r>
  <r>
    <n v="454"/>
    <x v="0"/>
    <s v="sem conta corrente"/>
    <s v="sem conta no banco"/>
    <x v="4"/>
    <x v="1"/>
    <x v="4"/>
    <n v="2670"/>
    <s v="&lt; 100 $"/>
    <s v="Baixo (&lt; 100 $)"/>
    <s v="&gt;= 7 anos"/>
    <s v="Muito Estável (&gt; 7 anos)"/>
    <x v="0"/>
    <x v="0"/>
    <s v="solteiro"/>
    <x v="0"/>
    <n v="4"/>
    <s v="carro ou outros-quitado"/>
    <n v="35"/>
    <x v="3"/>
    <s v="nenhum"/>
    <x v="0"/>
    <n v="1"/>
    <x v="2"/>
    <n v="1"/>
    <s v="sim"/>
    <x v="0"/>
    <n v="1"/>
  </r>
  <r>
    <n v="455"/>
    <x v="1"/>
    <s v="&lt; 0 $"/>
    <s v="negativo/devedor"/>
    <x v="4"/>
    <x v="1"/>
    <x v="3"/>
    <n v="4817"/>
    <s v="&lt; 100 $"/>
    <s v="Baixo (&lt; 100 $)"/>
    <s v="&lt; 7 anos"/>
    <s v="Estável (4-7 anos)"/>
    <x v="1"/>
    <x v="0"/>
    <s v="solteiro"/>
    <x v="2"/>
    <n v="3"/>
    <s v="poupança ou seguro de vida"/>
    <n v="31"/>
    <x v="3"/>
    <s v="nenhum"/>
    <x v="0"/>
    <n v="1"/>
    <x v="0"/>
    <n v="1"/>
    <s v="sim"/>
    <x v="0"/>
    <n v="2"/>
  </r>
  <r>
    <n v="456"/>
    <x v="0"/>
    <s v="sem conta corrente"/>
    <s v="sem conta no banco"/>
    <x v="4"/>
    <x v="1"/>
    <x v="4"/>
    <n v="2679"/>
    <s v="&lt; 100 $"/>
    <s v="Baixo (&lt; 100 $)"/>
    <s v="&lt; 1 ano"/>
    <s v="Iniciante (&lt; 1 ano)"/>
    <x v="0"/>
    <x v="1"/>
    <s v="divorciada/casada"/>
    <x v="0"/>
    <n v="1"/>
    <s v="sem bens"/>
    <n v="29"/>
    <x v="3"/>
    <s v="nenhum"/>
    <x v="0"/>
    <n v="1"/>
    <x v="2"/>
    <n v="1"/>
    <s v="sim"/>
    <x v="0"/>
    <n v="1"/>
  </r>
  <r>
    <n v="457"/>
    <x v="0"/>
    <s v="&lt; 0 $"/>
    <s v="negativo/devedor"/>
    <x v="14"/>
    <x v="0"/>
    <x v="3"/>
    <n v="3905"/>
    <s v="&lt; 100 $"/>
    <s v="Baixo (&lt; 100 $)"/>
    <s v="&lt; 4 anos"/>
    <s v="Intermediário (1-4 anos)"/>
    <x v="1"/>
    <x v="0"/>
    <s v="solteiro"/>
    <x v="0"/>
    <n v="2"/>
    <s v="imovel"/>
    <n v="36"/>
    <x v="3"/>
    <s v="nenhum"/>
    <x v="2"/>
    <n v="2"/>
    <x v="0"/>
    <n v="2"/>
    <s v="não"/>
    <x v="0"/>
    <n v="1"/>
  </r>
  <r>
    <n v="458"/>
    <x v="1"/>
    <s v="&lt; 0 $"/>
    <s v="negativo/devedor"/>
    <x v="2"/>
    <x v="1"/>
    <x v="4"/>
    <n v="3386"/>
    <s v="&lt; 100 $"/>
    <s v="Baixo (&lt; 100 $)"/>
    <s v="&gt;= 7 anos"/>
    <s v="Muito Estável (&gt; 7 anos)"/>
    <x v="2"/>
    <x v="0"/>
    <s v="solteiro"/>
    <x v="0"/>
    <n v="4"/>
    <s v="sem bens"/>
    <n v="35"/>
    <x v="3"/>
    <s v="nenhum"/>
    <x v="1"/>
    <n v="1"/>
    <x v="0"/>
    <n v="1"/>
    <s v="sim"/>
    <x v="0"/>
    <n v="2"/>
  </r>
  <r>
    <n v="459"/>
    <x v="0"/>
    <s v="&lt; 0 $"/>
    <s v="negativo/devedor"/>
    <x v="0"/>
    <x v="1"/>
    <x v="6"/>
    <n v="343"/>
    <s v="&lt; 100 $"/>
    <s v="Baixo (&lt; 100 $)"/>
    <s v="&lt; 1 ano"/>
    <s v="Iniciante (&lt; 1 ano)"/>
    <x v="0"/>
    <x v="1"/>
    <s v="divorciada/casada"/>
    <x v="0"/>
    <n v="1"/>
    <s v="imovel"/>
    <n v="27"/>
    <x v="3"/>
    <s v="nenhum"/>
    <x v="0"/>
    <n v="1"/>
    <x v="0"/>
    <n v="1"/>
    <s v="não"/>
    <x v="0"/>
    <n v="1"/>
  </r>
  <r>
    <n v="460"/>
    <x v="0"/>
    <s v="sem conta corrente"/>
    <s v="sem conta no banco"/>
    <x v="12"/>
    <x v="1"/>
    <x v="0"/>
    <n v="4594"/>
    <s v="&lt; 100 $"/>
    <s v="Baixo (&lt; 100 $)"/>
    <s v="&lt; 1 ano"/>
    <s v="Iniciante (&lt; 1 ano)"/>
    <x v="2"/>
    <x v="0"/>
    <s v="solteiro"/>
    <x v="0"/>
    <n v="2"/>
    <s v="carro ou outros-quitado"/>
    <n v="32"/>
    <x v="3"/>
    <s v="nenhum"/>
    <x v="0"/>
    <n v="1"/>
    <x v="0"/>
    <n v="1"/>
    <s v="sim"/>
    <x v="0"/>
    <n v="1"/>
  </r>
  <r>
    <n v="461"/>
    <x v="0"/>
    <s v="&lt; 0 $"/>
    <s v="negativo/devedor"/>
    <x v="5"/>
    <x v="1"/>
    <x v="2"/>
    <n v="3620"/>
    <s v="&lt; 100 $"/>
    <s v="Baixo (&lt; 100 $)"/>
    <s v="&lt; 4 anos"/>
    <s v="Intermediário (1-4 anos)"/>
    <x v="3"/>
    <x v="0"/>
    <s v="solteiro"/>
    <x v="1"/>
    <n v="2"/>
    <s v="poupança ou seguro de vida"/>
    <n v="37"/>
    <x v="3"/>
    <s v="nenhum"/>
    <x v="0"/>
    <n v="1"/>
    <x v="0"/>
    <n v="2"/>
    <s v="não"/>
    <x v="0"/>
    <n v="1"/>
  </r>
  <r>
    <n v="462"/>
    <x v="0"/>
    <s v="&lt; 0 $"/>
    <s v="negativo/devedor"/>
    <x v="7"/>
    <x v="1"/>
    <x v="3"/>
    <n v="1721"/>
    <s v="&lt; 100 $"/>
    <s v="Baixo (&lt; 100 $)"/>
    <s v="&lt; 1 ano"/>
    <s v="Iniciante (&lt; 1 ano)"/>
    <x v="1"/>
    <x v="0"/>
    <s v="solteiro"/>
    <x v="0"/>
    <n v="3"/>
    <s v="imovel"/>
    <n v="36"/>
    <x v="3"/>
    <s v="nenhum"/>
    <x v="0"/>
    <n v="1"/>
    <x v="0"/>
    <n v="1"/>
    <s v="não"/>
    <x v="0"/>
    <n v="1"/>
  </r>
  <r>
    <n v="463"/>
    <x v="0"/>
    <s v="&gt;= 0 &lt; 200 $"/>
    <s v="saldo baixo"/>
    <x v="2"/>
    <x v="1"/>
    <x v="2"/>
    <n v="3017"/>
    <s v="&lt; 100 $"/>
    <s v="Baixo (&lt; 100 $)"/>
    <s v="&lt; 1 ano"/>
    <s v="Iniciante (&lt; 1 ano)"/>
    <x v="2"/>
    <x v="1"/>
    <s v="divorciada/casada"/>
    <x v="0"/>
    <n v="1"/>
    <s v="imovel"/>
    <n v="34"/>
    <x v="3"/>
    <s v="nenhum"/>
    <x v="2"/>
    <n v="1"/>
    <x v="2"/>
    <n v="1"/>
    <s v="não"/>
    <x v="0"/>
    <n v="1"/>
  </r>
  <r>
    <n v="464"/>
    <x v="0"/>
    <s v="&gt;= 0 &lt; 200 $"/>
    <s v="saldo baixo"/>
    <x v="2"/>
    <x v="1"/>
    <x v="9"/>
    <n v="754"/>
    <s v="sem poupança"/>
    <s v="sem poupança"/>
    <s v="&gt;= 7 anos"/>
    <s v="Muito Estável (&gt; 7 anos)"/>
    <x v="0"/>
    <x v="0"/>
    <s v="solteiro"/>
    <x v="0"/>
    <n v="4"/>
    <s v="poupança ou seguro de vida"/>
    <n v="38"/>
    <x v="3"/>
    <s v="nenhum"/>
    <x v="0"/>
    <n v="2"/>
    <x v="0"/>
    <n v="1"/>
    <s v="não"/>
    <x v="0"/>
    <n v="1"/>
  </r>
  <r>
    <n v="465"/>
    <x v="0"/>
    <s v="sem conta corrente"/>
    <s v="sem conta no banco"/>
    <x v="12"/>
    <x v="1"/>
    <x v="5"/>
    <n v="1950"/>
    <s v="&lt; 100 $"/>
    <s v="Baixo (&lt; 100 $)"/>
    <s v="&lt; 7 anos"/>
    <s v="Estável (4-7 anos)"/>
    <x v="0"/>
    <x v="0"/>
    <s v="solteiro"/>
    <x v="0"/>
    <n v="1"/>
    <s v="carro ou outros-quitado"/>
    <n v="34"/>
    <x v="3"/>
    <s v="loja"/>
    <x v="0"/>
    <n v="2"/>
    <x v="0"/>
    <n v="1"/>
    <s v="sim"/>
    <x v="0"/>
    <n v="1"/>
  </r>
  <r>
    <n v="466"/>
    <x v="0"/>
    <s v="&lt; 0 $"/>
    <s v="negativo/devedor"/>
    <x v="4"/>
    <x v="1"/>
    <x v="4"/>
    <n v="2924"/>
    <s v="&lt; 100 $"/>
    <s v="Baixo (&lt; 100 $)"/>
    <s v="&lt; 4 anos"/>
    <s v="Intermediário (1-4 anos)"/>
    <x v="2"/>
    <x v="0"/>
    <s v="solteiro"/>
    <x v="1"/>
    <n v="4"/>
    <s v="sem bens"/>
    <n v="63"/>
    <x v="0"/>
    <s v="banco"/>
    <x v="0"/>
    <n v="1"/>
    <x v="0"/>
    <n v="2"/>
    <s v="sim"/>
    <x v="0"/>
    <n v="1"/>
  </r>
  <r>
    <n v="467"/>
    <x v="1"/>
    <s v="&lt; 0 $"/>
    <s v="negativo/devedor"/>
    <x v="4"/>
    <x v="2"/>
    <x v="0"/>
    <n v="1659"/>
    <s v="&lt; 100 $"/>
    <s v="Baixo (&lt; 100 $)"/>
    <s v="&lt; 1 ano"/>
    <s v="Iniciante (&lt; 1 ano)"/>
    <x v="0"/>
    <x v="1"/>
    <s v="divorciada/casada"/>
    <x v="0"/>
    <n v="2"/>
    <s v="carro ou outros-quitado"/>
    <n v="29"/>
    <x v="3"/>
    <s v="nenhum"/>
    <x v="2"/>
    <n v="1"/>
    <x v="1"/>
    <n v="1"/>
    <s v="sim"/>
    <x v="0"/>
    <n v="2"/>
  </r>
  <r>
    <n v="468"/>
    <x v="0"/>
    <s v="sem conta corrente"/>
    <s v="sem conta no banco"/>
    <x v="1"/>
    <x v="2"/>
    <x v="0"/>
    <n v="7238"/>
    <s v="sem poupança"/>
    <s v="sem poupança"/>
    <s v="&gt;= 7 anos"/>
    <s v="Muito Estável (&gt; 7 anos)"/>
    <x v="2"/>
    <x v="0"/>
    <s v="solteiro"/>
    <x v="0"/>
    <n v="3"/>
    <s v="carro ou outros-quitado"/>
    <n v="32"/>
    <x v="3"/>
    <s v="banco"/>
    <x v="0"/>
    <n v="2"/>
    <x v="0"/>
    <n v="2"/>
    <s v="não"/>
    <x v="0"/>
    <n v="1"/>
  </r>
  <r>
    <n v="469"/>
    <x v="0"/>
    <s v="sem conta corrente"/>
    <s v="sem conta no banco"/>
    <x v="20"/>
    <x v="2"/>
    <x v="5"/>
    <n v="2764"/>
    <s v="&lt; 100 $"/>
    <s v="Baixo (&lt; 100 $)"/>
    <s v="&lt; 4 anos"/>
    <s v="Intermediário (1-4 anos)"/>
    <x v="1"/>
    <x v="1"/>
    <s v="divorciada/casada"/>
    <x v="0"/>
    <n v="2"/>
    <s v="carro ou outros-quitado"/>
    <n v="26"/>
    <x v="3"/>
    <s v="nenhum"/>
    <x v="0"/>
    <n v="2"/>
    <x v="0"/>
    <n v="1"/>
    <s v="sim"/>
    <x v="0"/>
    <n v="1"/>
  </r>
  <r>
    <n v="470"/>
    <x v="0"/>
    <s v="sem conta corrente"/>
    <s v="sem conta no banco"/>
    <x v="4"/>
    <x v="2"/>
    <x v="4"/>
    <n v="4679"/>
    <s v="&lt; 100 $"/>
    <s v="Baixo (&lt; 100 $)"/>
    <s v="&lt; 7 anos"/>
    <s v="Estável (4-7 anos)"/>
    <x v="2"/>
    <x v="0"/>
    <s v="solteiro"/>
    <x v="0"/>
    <n v="3"/>
    <s v="carro ou outros-quitado"/>
    <n v="35"/>
    <x v="3"/>
    <s v="nenhum"/>
    <x v="0"/>
    <n v="2"/>
    <x v="1"/>
    <n v="1"/>
    <s v="sim"/>
    <x v="0"/>
    <n v="1"/>
  </r>
  <r>
    <n v="471"/>
    <x v="1"/>
    <s v="&gt;= 0 &lt; 200 $"/>
    <s v="saldo baixo"/>
    <x v="4"/>
    <x v="1"/>
    <x v="0"/>
    <n v="3092"/>
    <s v="&gt;= 100 &lt; 500 $"/>
    <s v="Médio (100-500$)"/>
    <s v="&lt; 1 ano"/>
    <s v="Iniciante (&lt; 1 ano)"/>
    <x v="2"/>
    <x v="0"/>
    <s v="casado/viuvo"/>
    <x v="0"/>
    <n v="2"/>
    <s v="carro ou outros-quitado"/>
    <n v="22"/>
    <x v="1"/>
    <s v="nenhum"/>
    <x v="2"/>
    <n v="1"/>
    <x v="0"/>
    <n v="1"/>
    <s v="sim"/>
    <x v="0"/>
    <n v="2"/>
  </r>
  <r>
    <n v="472"/>
    <x v="1"/>
    <s v="&lt; 0 $"/>
    <s v="negativo/devedor"/>
    <x v="0"/>
    <x v="1"/>
    <x v="1"/>
    <n v="448"/>
    <s v="&lt; 100 $"/>
    <s v="Baixo (&lt; 100 $)"/>
    <s v="&lt; 1 ano"/>
    <s v="Iniciante (&lt; 1 ano)"/>
    <x v="0"/>
    <x v="1"/>
    <s v="divorciada/casada"/>
    <x v="0"/>
    <n v="4"/>
    <s v="poupança ou seguro de vida"/>
    <n v="23"/>
    <x v="1"/>
    <s v="nenhum"/>
    <x v="0"/>
    <n v="1"/>
    <x v="0"/>
    <n v="1"/>
    <s v="não"/>
    <x v="0"/>
    <n v="2"/>
  </r>
  <r>
    <n v="473"/>
    <x v="1"/>
    <s v="&lt; 0 $"/>
    <s v="negativo/devedor"/>
    <x v="8"/>
    <x v="1"/>
    <x v="3"/>
    <n v="654"/>
    <s v="&lt; 100 $"/>
    <s v="Baixo (&lt; 100 $)"/>
    <s v="&lt; 4 anos"/>
    <s v="Intermediário (1-4 anos)"/>
    <x v="0"/>
    <x v="0"/>
    <s v="solteiro"/>
    <x v="0"/>
    <n v="3"/>
    <s v="carro ou outros-quitado"/>
    <n v="28"/>
    <x v="3"/>
    <s v="nenhum"/>
    <x v="0"/>
    <n v="1"/>
    <x v="1"/>
    <n v="1"/>
    <s v="não"/>
    <x v="0"/>
    <n v="2"/>
  </r>
  <r>
    <n v="474"/>
    <x v="0"/>
    <s v="sem conta corrente"/>
    <s v="sem conta no banco"/>
    <x v="0"/>
    <x v="1"/>
    <x v="9"/>
    <n v="1238"/>
    <s v="sem poupança"/>
    <s v="sem poupança"/>
    <s v="desempregado"/>
    <s v="desempregado"/>
    <x v="0"/>
    <x v="0"/>
    <s v="solteiro"/>
    <x v="0"/>
    <n v="4"/>
    <s v="poupança ou seguro de vida"/>
    <n v="36"/>
    <x v="3"/>
    <s v="nenhum"/>
    <x v="0"/>
    <n v="1"/>
    <x v="2"/>
    <n v="2"/>
    <s v="sim"/>
    <x v="0"/>
    <n v="1"/>
  </r>
  <r>
    <n v="475"/>
    <x v="1"/>
    <s v="&gt;= 0 &lt; 200 $"/>
    <s v="saldo baixo"/>
    <x v="12"/>
    <x v="0"/>
    <x v="0"/>
    <n v="1245"/>
    <s v="&lt; 100 $"/>
    <s v="Baixo (&lt; 100 $)"/>
    <s v="&lt; 4 anos"/>
    <s v="Intermediário (1-4 anos)"/>
    <x v="0"/>
    <x v="0"/>
    <s v="casado/viuvo"/>
    <x v="0"/>
    <n v="2"/>
    <s v="carro ou outros-quitado"/>
    <n v="33"/>
    <x v="3"/>
    <s v="nenhum"/>
    <x v="0"/>
    <n v="1"/>
    <x v="0"/>
    <n v="1"/>
    <s v="não"/>
    <x v="0"/>
    <n v="2"/>
  </r>
  <r>
    <n v="476"/>
    <x v="1"/>
    <s v="&lt; 0 $"/>
    <s v="negativo/devedor"/>
    <x v="12"/>
    <x v="3"/>
    <x v="2"/>
    <n v="3114"/>
    <s v="&lt; 100 $"/>
    <s v="Baixo (&lt; 100 $)"/>
    <s v="&lt; 1 ano"/>
    <s v="Iniciante (&lt; 1 ano)"/>
    <x v="3"/>
    <x v="1"/>
    <s v="divorciada/casada"/>
    <x v="0"/>
    <n v="4"/>
    <s v="poupança ou seguro de vida"/>
    <n v="26"/>
    <x v="3"/>
    <s v="nenhum"/>
    <x v="2"/>
    <n v="1"/>
    <x v="0"/>
    <n v="1"/>
    <s v="não"/>
    <x v="0"/>
    <n v="2"/>
  </r>
  <r>
    <n v="477"/>
    <x v="0"/>
    <s v="sem conta corrente"/>
    <s v="sem conta no banco"/>
    <x v="27"/>
    <x v="1"/>
    <x v="4"/>
    <n v="2569"/>
    <s v="&gt;= 500 &lt; 1000 $"/>
    <s v="Alto (500-1000 $)"/>
    <s v="&lt; 4 anos"/>
    <s v="Intermediário (1-4 anos)"/>
    <x v="0"/>
    <x v="0"/>
    <s v="solteiro"/>
    <x v="0"/>
    <n v="4"/>
    <s v="carro ou outros-quitado"/>
    <n v="24"/>
    <x v="1"/>
    <s v="nenhum"/>
    <x v="0"/>
    <n v="1"/>
    <x v="0"/>
    <n v="1"/>
    <s v="não"/>
    <x v="0"/>
    <n v="1"/>
  </r>
  <r>
    <n v="478"/>
    <x v="0"/>
    <s v="&gt;= 200 $"/>
    <s v="saldo saudável"/>
    <x v="4"/>
    <x v="1"/>
    <x v="0"/>
    <n v="5152"/>
    <s v="&lt; 100 $"/>
    <s v="Baixo (&lt; 100 $)"/>
    <s v="&lt; 7 anos"/>
    <s v="Estável (4-7 anos)"/>
    <x v="0"/>
    <x v="0"/>
    <s v="solteiro"/>
    <x v="0"/>
    <n v="2"/>
    <s v="carro ou outros-quitado"/>
    <n v="25"/>
    <x v="3"/>
    <s v="banco"/>
    <x v="0"/>
    <n v="1"/>
    <x v="0"/>
    <n v="1"/>
    <s v="não"/>
    <x v="0"/>
    <n v="1"/>
  </r>
  <r>
    <n v="479"/>
    <x v="0"/>
    <s v="&gt;= 0 &lt; 200 $"/>
    <s v="saldo baixo"/>
    <x v="2"/>
    <x v="1"/>
    <x v="5"/>
    <n v="1037"/>
    <s v="&gt;= 100 &lt; 500 $"/>
    <s v="Médio (100-500$)"/>
    <s v="&lt; 7 anos"/>
    <s v="Estável (4-7 anos)"/>
    <x v="2"/>
    <x v="0"/>
    <s v="solteiro"/>
    <x v="0"/>
    <n v="4"/>
    <s v="imovel"/>
    <n v="39"/>
    <x v="3"/>
    <s v="nenhum"/>
    <x v="0"/>
    <n v="1"/>
    <x v="1"/>
    <n v="1"/>
    <s v="não"/>
    <x v="0"/>
    <n v="1"/>
  </r>
  <r>
    <n v="480"/>
    <x v="0"/>
    <s v="&lt; 0 $"/>
    <s v="negativo/devedor"/>
    <x v="7"/>
    <x v="0"/>
    <x v="2"/>
    <n v="1478"/>
    <s v="&lt; 100 $"/>
    <s v="Baixo (&lt; 100 $)"/>
    <s v="&gt;= 7 anos"/>
    <s v="Muito Estável (&gt; 7 anos)"/>
    <x v="0"/>
    <x v="0"/>
    <s v="solteiro"/>
    <x v="0"/>
    <n v="4"/>
    <s v="carro ou outros-quitado"/>
    <n v="44"/>
    <x v="2"/>
    <s v="nenhum"/>
    <x v="0"/>
    <n v="2"/>
    <x v="0"/>
    <n v="2"/>
    <s v="sim"/>
    <x v="0"/>
    <n v="1"/>
  </r>
  <r>
    <n v="481"/>
    <x v="0"/>
    <s v="&gt;= 0 &lt; 200 $"/>
    <s v="saldo baixo"/>
    <x v="2"/>
    <x v="0"/>
    <x v="0"/>
    <n v="3573"/>
    <s v="&lt; 100 $"/>
    <s v="Baixo (&lt; 100 $)"/>
    <s v="&lt; 4 anos"/>
    <s v="Intermediário (1-4 anos)"/>
    <x v="3"/>
    <x v="1"/>
    <s v="divorciada/casada"/>
    <x v="0"/>
    <n v="1"/>
    <s v="imovel"/>
    <n v="23"/>
    <x v="1"/>
    <s v="nenhum"/>
    <x v="0"/>
    <n v="1"/>
    <x v="1"/>
    <n v="1"/>
    <s v="não"/>
    <x v="0"/>
    <n v="1"/>
  </r>
  <r>
    <n v="482"/>
    <x v="0"/>
    <s v="&gt;= 0 &lt; 200 $"/>
    <s v="saldo baixo"/>
    <x v="4"/>
    <x v="1"/>
    <x v="3"/>
    <n v="1201"/>
    <s v="&lt; 100 $"/>
    <s v="Baixo (&lt; 100 $)"/>
    <s v="&lt; 1 ano"/>
    <s v="Iniciante (&lt; 1 ano)"/>
    <x v="0"/>
    <x v="0"/>
    <s v="solteiro"/>
    <x v="0"/>
    <n v="1"/>
    <s v="poupança ou seguro de vida"/>
    <n v="26"/>
    <x v="3"/>
    <s v="nenhum"/>
    <x v="0"/>
    <n v="1"/>
    <x v="0"/>
    <n v="1"/>
    <s v="não"/>
    <x v="0"/>
    <n v="1"/>
  </r>
  <r>
    <n v="483"/>
    <x v="0"/>
    <s v="&lt; 0 $"/>
    <s v="negativo/devedor"/>
    <x v="6"/>
    <x v="1"/>
    <x v="2"/>
    <n v="3622"/>
    <s v="&gt;= 1000 $"/>
    <s v="Muito alto (&gt;1000$)"/>
    <s v="&gt;= 7 anos"/>
    <s v="Muito Estável (&gt; 7 anos)"/>
    <x v="0"/>
    <x v="1"/>
    <s v="divorciada/casada"/>
    <x v="0"/>
    <n v="4"/>
    <s v="poupança ou seguro de vida"/>
    <n v="57"/>
    <x v="2"/>
    <s v="nenhum"/>
    <x v="2"/>
    <n v="2"/>
    <x v="0"/>
    <n v="1"/>
    <s v="sim"/>
    <x v="0"/>
    <n v="1"/>
  </r>
  <r>
    <n v="484"/>
    <x v="0"/>
    <s v="sem conta corrente"/>
    <s v="sem conta no banco"/>
    <x v="7"/>
    <x v="2"/>
    <x v="2"/>
    <n v="960"/>
    <s v="&gt;= 1000 $"/>
    <s v="Muito alto (&gt;1000$)"/>
    <s v="&lt; 7 anos"/>
    <s v="Estável (4-7 anos)"/>
    <x v="2"/>
    <x v="1"/>
    <s v="divorciada/casada"/>
    <x v="0"/>
    <n v="2"/>
    <s v="poupança ou seguro de vida"/>
    <n v="30"/>
    <x v="3"/>
    <s v="nenhum"/>
    <x v="0"/>
    <n v="2"/>
    <x v="0"/>
    <n v="1"/>
    <s v="não"/>
    <x v="0"/>
    <n v="1"/>
  </r>
  <r>
    <n v="485"/>
    <x v="0"/>
    <s v="sem conta corrente"/>
    <s v="sem conta no banco"/>
    <x v="2"/>
    <x v="0"/>
    <x v="3"/>
    <n v="1163"/>
    <s v="&gt;= 500 &lt; 1000 $"/>
    <s v="Alto (500-1000 $)"/>
    <s v="&lt; 4 anos"/>
    <s v="Intermediário (1-4 anos)"/>
    <x v="0"/>
    <x v="0"/>
    <s v="solteiro"/>
    <x v="0"/>
    <n v="4"/>
    <s v="imovel"/>
    <n v="44"/>
    <x v="2"/>
    <s v="nenhum"/>
    <x v="0"/>
    <n v="1"/>
    <x v="0"/>
    <n v="1"/>
    <s v="sim"/>
    <x v="0"/>
    <n v="1"/>
  </r>
  <r>
    <n v="486"/>
    <x v="1"/>
    <s v="&gt;= 0 &lt; 200 $"/>
    <s v="saldo baixo"/>
    <x v="0"/>
    <x v="2"/>
    <x v="3"/>
    <n v="1209"/>
    <s v="&lt; 100 $"/>
    <s v="Baixo (&lt; 100 $)"/>
    <s v="desempregado"/>
    <s v="desempregado"/>
    <x v="0"/>
    <x v="0"/>
    <s v="solteiro"/>
    <x v="0"/>
    <n v="4"/>
    <s v="poupança ou seguro de vida"/>
    <n v="47"/>
    <x v="2"/>
    <s v="nenhum"/>
    <x v="0"/>
    <n v="1"/>
    <x v="2"/>
    <n v="1"/>
    <s v="sim"/>
    <x v="0"/>
    <n v="2"/>
  </r>
  <r>
    <n v="487"/>
    <x v="0"/>
    <s v="sem conta corrente"/>
    <s v="sem conta no banco"/>
    <x v="2"/>
    <x v="1"/>
    <x v="0"/>
    <n v="3077"/>
    <s v="&lt; 100 $"/>
    <s v="Baixo (&lt; 100 $)"/>
    <s v="&lt; 4 anos"/>
    <s v="Intermediário (1-4 anos)"/>
    <x v="1"/>
    <x v="0"/>
    <s v="solteiro"/>
    <x v="0"/>
    <n v="4"/>
    <s v="carro ou outros-quitado"/>
    <n v="52"/>
    <x v="2"/>
    <s v="nenhum"/>
    <x v="0"/>
    <n v="1"/>
    <x v="0"/>
    <n v="1"/>
    <s v="sim"/>
    <x v="0"/>
    <n v="1"/>
  </r>
  <r>
    <n v="488"/>
    <x v="0"/>
    <s v="sem conta corrente"/>
    <s v="sem conta no banco"/>
    <x v="4"/>
    <x v="1"/>
    <x v="3"/>
    <n v="3757"/>
    <s v="&lt; 100 $"/>
    <s v="Baixo (&lt; 100 $)"/>
    <s v="&gt;= 7 anos"/>
    <s v="Muito Estável (&gt; 7 anos)"/>
    <x v="0"/>
    <x v="1"/>
    <s v="divorciada/casada"/>
    <x v="2"/>
    <n v="4"/>
    <s v="sem bens"/>
    <n v="62"/>
    <x v="0"/>
    <s v="nenhum"/>
    <x v="1"/>
    <n v="1"/>
    <x v="0"/>
    <n v="1"/>
    <s v="sim"/>
    <x v="0"/>
    <n v="1"/>
  </r>
  <r>
    <n v="489"/>
    <x v="0"/>
    <s v="sem conta corrente"/>
    <s v="sem conta no banco"/>
    <x v="9"/>
    <x v="1"/>
    <x v="3"/>
    <n v="1418"/>
    <s v="&gt;= 100 &lt; 500 $"/>
    <s v="Médio (100-500$)"/>
    <s v="&lt; 4 anos"/>
    <s v="Intermediário (1-4 anos)"/>
    <x v="2"/>
    <x v="0"/>
    <s v="solteiro"/>
    <x v="0"/>
    <n v="2"/>
    <s v="imovel"/>
    <n v="35"/>
    <x v="3"/>
    <s v="nenhum"/>
    <x v="2"/>
    <n v="1"/>
    <x v="1"/>
    <n v="1"/>
    <s v="não"/>
    <x v="1"/>
    <n v="1"/>
  </r>
  <r>
    <n v="490"/>
    <x v="0"/>
    <s v="sem conta corrente"/>
    <s v="sem conta no banco"/>
    <x v="0"/>
    <x v="1"/>
    <x v="3"/>
    <n v="3518"/>
    <s v="&lt; 100 $"/>
    <s v="Baixo (&lt; 100 $)"/>
    <s v="&lt; 4 anos"/>
    <s v="Intermediário (1-4 anos)"/>
    <x v="1"/>
    <x v="0"/>
    <s v="solteiro"/>
    <x v="1"/>
    <n v="3"/>
    <s v="poupança ou seguro de vida"/>
    <n v="26"/>
    <x v="3"/>
    <s v="nenhum"/>
    <x v="2"/>
    <n v="1"/>
    <x v="0"/>
    <n v="1"/>
    <s v="não"/>
    <x v="0"/>
    <n v="1"/>
  </r>
  <r>
    <n v="491"/>
    <x v="0"/>
    <s v="sem conta corrente"/>
    <s v="sem conta no banco"/>
    <x v="2"/>
    <x v="0"/>
    <x v="0"/>
    <n v="1934"/>
    <s v="&lt; 100 $"/>
    <s v="Baixo (&lt; 100 $)"/>
    <s v="&gt;= 7 anos"/>
    <s v="Muito Estável (&gt; 7 anos)"/>
    <x v="1"/>
    <x v="0"/>
    <s v="solteiro"/>
    <x v="0"/>
    <n v="2"/>
    <s v="sem bens"/>
    <n v="26"/>
    <x v="3"/>
    <s v="nenhum"/>
    <x v="0"/>
    <n v="2"/>
    <x v="0"/>
    <n v="1"/>
    <s v="não"/>
    <x v="0"/>
    <n v="1"/>
  </r>
  <r>
    <n v="492"/>
    <x v="1"/>
    <s v="&gt;= 0 &lt; 200 $"/>
    <s v="saldo baixo"/>
    <x v="15"/>
    <x v="3"/>
    <x v="5"/>
    <n v="8318"/>
    <s v="&lt; 100 $"/>
    <s v="Baixo (&lt; 100 $)"/>
    <s v="&gt;= 7 anos"/>
    <s v="Muito Estável (&gt; 7 anos)"/>
    <x v="1"/>
    <x v="1"/>
    <s v="divorciada/casada"/>
    <x v="0"/>
    <n v="4"/>
    <s v="sem bens"/>
    <n v="42"/>
    <x v="2"/>
    <s v="nenhum"/>
    <x v="1"/>
    <n v="2"/>
    <x v="2"/>
    <n v="1"/>
    <s v="sim"/>
    <x v="0"/>
    <n v="2"/>
  </r>
  <r>
    <n v="493"/>
    <x v="0"/>
    <s v="sem conta corrente"/>
    <s v="sem conta no banco"/>
    <x v="0"/>
    <x v="0"/>
    <x v="0"/>
    <n v="1237"/>
    <s v="&gt;= 100 &lt; 500 $"/>
    <s v="Médio (100-500$)"/>
    <s v="&lt; 4 anos"/>
    <s v="Intermediário (1-4 anos)"/>
    <x v="3"/>
    <x v="1"/>
    <s v="divorciada/casada"/>
    <x v="0"/>
    <n v="1"/>
    <s v="poupança ou seguro de vida"/>
    <n v="27"/>
    <x v="3"/>
    <s v="nenhum"/>
    <x v="0"/>
    <n v="2"/>
    <x v="0"/>
    <n v="1"/>
    <s v="não"/>
    <x v="0"/>
    <n v="1"/>
  </r>
  <r>
    <n v="494"/>
    <x v="0"/>
    <s v="&gt;= 0 &lt; 200 $"/>
    <s v="saldo baixo"/>
    <x v="0"/>
    <x v="1"/>
    <x v="0"/>
    <n v="368"/>
    <s v="sem poupança"/>
    <s v="sem poupança"/>
    <s v="&gt;= 7 anos"/>
    <s v="Muito Estável (&gt; 7 anos)"/>
    <x v="0"/>
    <x v="0"/>
    <s v="solteiro"/>
    <x v="0"/>
    <n v="4"/>
    <s v="poupança ou seguro de vida"/>
    <n v="38"/>
    <x v="3"/>
    <s v="nenhum"/>
    <x v="0"/>
    <n v="1"/>
    <x v="0"/>
    <n v="1"/>
    <s v="não"/>
    <x v="0"/>
    <n v="1"/>
  </r>
  <r>
    <n v="495"/>
    <x v="0"/>
    <s v="&lt; 0 $"/>
    <s v="negativo/devedor"/>
    <x v="2"/>
    <x v="0"/>
    <x v="3"/>
    <n v="2122"/>
    <s v="&lt; 100 $"/>
    <s v="Baixo (&lt; 100 $)"/>
    <s v="&lt; 4 anos"/>
    <s v="Intermediário (1-4 anos)"/>
    <x v="2"/>
    <x v="0"/>
    <s v="solteiro"/>
    <x v="0"/>
    <n v="2"/>
    <s v="imovel"/>
    <n v="39"/>
    <x v="3"/>
    <s v="nenhum"/>
    <x v="2"/>
    <n v="2"/>
    <x v="1"/>
    <n v="2"/>
    <s v="não"/>
    <x v="1"/>
    <n v="1"/>
  </r>
  <r>
    <n v="496"/>
    <x v="1"/>
    <s v="&lt; 0 $"/>
    <s v="negativo/devedor"/>
    <x v="4"/>
    <x v="1"/>
    <x v="2"/>
    <n v="2996"/>
    <s v="sem poupança"/>
    <s v="sem poupança"/>
    <s v="&lt; 4 anos"/>
    <s v="Intermediário (1-4 anos)"/>
    <x v="1"/>
    <x v="0"/>
    <s v="casado/viuvo"/>
    <x v="0"/>
    <n v="4"/>
    <s v="carro ou outros-quitado"/>
    <n v="20"/>
    <x v="1"/>
    <s v="nenhum"/>
    <x v="0"/>
    <n v="1"/>
    <x v="0"/>
    <n v="1"/>
    <s v="não"/>
    <x v="0"/>
    <n v="2"/>
  </r>
  <r>
    <n v="497"/>
    <x v="1"/>
    <s v="&gt;= 0 &lt; 200 $"/>
    <s v="saldo baixo"/>
    <x v="5"/>
    <x v="1"/>
    <x v="2"/>
    <n v="9034"/>
    <s v="&gt;= 100 &lt; 500 $"/>
    <s v="Médio (100-500$)"/>
    <s v="&lt; 1 ano"/>
    <s v="Iniciante (&lt; 1 ano)"/>
    <x v="0"/>
    <x v="0"/>
    <s v="solteiro"/>
    <x v="2"/>
    <n v="1"/>
    <s v="sem bens"/>
    <n v="29"/>
    <x v="3"/>
    <s v="nenhum"/>
    <x v="2"/>
    <n v="1"/>
    <x v="2"/>
    <n v="1"/>
    <s v="sim"/>
    <x v="0"/>
    <n v="2"/>
  </r>
  <r>
    <n v="498"/>
    <x v="0"/>
    <s v="sem conta corrente"/>
    <s v="sem conta no banco"/>
    <x v="4"/>
    <x v="0"/>
    <x v="2"/>
    <n v="1585"/>
    <s v="&lt; 100 $"/>
    <s v="Baixo (&lt; 100 $)"/>
    <s v="&lt; 7 anos"/>
    <s v="Estável (4-7 anos)"/>
    <x v="0"/>
    <x v="0"/>
    <s v="solteiro"/>
    <x v="0"/>
    <n v="3"/>
    <s v="poupança ou seguro de vida"/>
    <n v="40"/>
    <x v="2"/>
    <s v="nenhum"/>
    <x v="0"/>
    <n v="2"/>
    <x v="0"/>
    <n v="1"/>
    <s v="não"/>
    <x v="0"/>
    <n v="1"/>
  </r>
  <r>
    <n v="499"/>
    <x v="0"/>
    <s v="&gt;= 0 &lt; 200 $"/>
    <s v="saldo baixo"/>
    <x v="12"/>
    <x v="1"/>
    <x v="0"/>
    <n v="1301"/>
    <s v="&lt; 100 $"/>
    <s v="Baixo (&lt; 100 $)"/>
    <s v="&gt;= 7 anos"/>
    <s v="Muito Estável (&gt; 7 anos)"/>
    <x v="0"/>
    <x v="0"/>
    <s v="casado/viuvo"/>
    <x v="1"/>
    <n v="2"/>
    <s v="imovel"/>
    <n v="32"/>
    <x v="3"/>
    <s v="nenhum"/>
    <x v="0"/>
    <n v="1"/>
    <x v="1"/>
    <n v="1"/>
    <s v="não"/>
    <x v="0"/>
    <n v="1"/>
  </r>
  <r>
    <n v="500"/>
    <x v="0"/>
    <s v="&gt;= 200 $"/>
    <s v="saldo saudável"/>
    <x v="0"/>
    <x v="0"/>
    <x v="3"/>
    <n v="1323"/>
    <s v="&gt;= 100 &lt; 500 $"/>
    <s v="Médio (100-500$)"/>
    <s v="&gt;= 7 anos"/>
    <s v="Muito Estável (&gt; 7 anos)"/>
    <x v="1"/>
    <x v="0"/>
    <s v="divorciado"/>
    <x v="0"/>
    <n v="4"/>
    <s v="carro ou outros-quitado"/>
    <n v="28"/>
    <x v="3"/>
    <s v="nenhum"/>
    <x v="0"/>
    <n v="2"/>
    <x v="0"/>
    <n v="2"/>
    <s v="sim"/>
    <x v="0"/>
    <n v="1"/>
  </r>
  <r>
    <n v="501"/>
    <x v="1"/>
    <s v="&lt; 0 $"/>
    <s v="negativo/devedor"/>
    <x v="4"/>
    <x v="1"/>
    <x v="3"/>
    <n v="3123"/>
    <s v="&lt; 100 $"/>
    <s v="Baixo (&lt; 100 $)"/>
    <s v="&lt; 1 ano"/>
    <s v="Iniciante (&lt; 1 ano)"/>
    <x v="0"/>
    <x v="1"/>
    <s v="divorciada/casada"/>
    <x v="0"/>
    <n v="1"/>
    <s v="poupança ou seguro de vida"/>
    <n v="27"/>
    <x v="3"/>
    <s v="nenhum"/>
    <x v="0"/>
    <n v="1"/>
    <x v="0"/>
    <n v="1"/>
    <s v="não"/>
    <x v="0"/>
    <n v="2"/>
  </r>
  <r>
    <n v="502"/>
    <x v="0"/>
    <s v="&lt; 0 $"/>
    <s v="negativo/devedor"/>
    <x v="5"/>
    <x v="1"/>
    <x v="4"/>
    <n v="5493"/>
    <s v="&lt; 100 $"/>
    <s v="Baixo (&lt; 100 $)"/>
    <s v="&gt;= 7 anos"/>
    <s v="Muito Estável (&gt; 7 anos)"/>
    <x v="1"/>
    <x v="0"/>
    <s v="solteiro"/>
    <x v="0"/>
    <n v="4"/>
    <s v="sem bens"/>
    <n v="42"/>
    <x v="2"/>
    <s v="nenhum"/>
    <x v="1"/>
    <n v="1"/>
    <x v="0"/>
    <n v="2"/>
    <s v="não"/>
    <x v="0"/>
    <n v="1"/>
  </r>
  <r>
    <n v="503"/>
    <x v="0"/>
    <s v="&gt;= 200 $"/>
    <s v="saldo saudável"/>
    <x v="8"/>
    <x v="1"/>
    <x v="0"/>
    <n v="1126"/>
    <s v="&gt;= 100 &lt; 500 $"/>
    <s v="Médio (100-500$)"/>
    <s v="&gt;= 7 anos"/>
    <s v="Muito Estável (&gt; 7 anos)"/>
    <x v="1"/>
    <x v="0"/>
    <s v="divorciado"/>
    <x v="0"/>
    <n v="4"/>
    <s v="imovel"/>
    <n v="49"/>
    <x v="2"/>
    <s v="nenhum"/>
    <x v="0"/>
    <n v="1"/>
    <x v="0"/>
    <n v="1"/>
    <s v="não"/>
    <x v="0"/>
    <n v="1"/>
  </r>
  <r>
    <n v="504"/>
    <x v="1"/>
    <s v="&gt;= 0 &lt; 200 $"/>
    <s v="saldo baixo"/>
    <x v="4"/>
    <x v="0"/>
    <x v="0"/>
    <n v="1216"/>
    <s v="&gt;= 100 &lt; 500 $"/>
    <s v="Médio (100-500$)"/>
    <s v="&lt; 1 ano"/>
    <s v="Iniciante (&lt; 1 ano)"/>
    <x v="0"/>
    <x v="0"/>
    <s v="solteiro"/>
    <x v="0"/>
    <n v="4"/>
    <s v="sem bens"/>
    <n v="38"/>
    <x v="3"/>
    <s v="banco"/>
    <x v="0"/>
    <n v="2"/>
    <x v="0"/>
    <n v="2"/>
    <s v="não"/>
    <x v="0"/>
    <n v="2"/>
  </r>
  <r>
    <n v="505"/>
    <x v="1"/>
    <s v="&lt; 0 $"/>
    <s v="negativo/devedor"/>
    <x v="4"/>
    <x v="1"/>
    <x v="3"/>
    <n v="1207"/>
    <s v="&lt; 100 $"/>
    <s v="Baixo (&lt; 100 $)"/>
    <s v="&lt; 1 ano"/>
    <s v="Iniciante (&lt; 1 ano)"/>
    <x v="0"/>
    <x v="1"/>
    <s v="divorciada/casada"/>
    <x v="0"/>
    <n v="4"/>
    <s v="poupança ou seguro de vida"/>
    <n v="24"/>
    <x v="1"/>
    <s v="nenhum"/>
    <x v="2"/>
    <n v="1"/>
    <x v="0"/>
    <n v="1"/>
    <s v="não"/>
    <x v="0"/>
    <n v="2"/>
  </r>
  <r>
    <n v="506"/>
    <x v="1"/>
    <s v="sem conta corrente"/>
    <s v="sem conta no banco"/>
    <x v="9"/>
    <x v="1"/>
    <x v="3"/>
    <n v="1309"/>
    <s v="sem poupança"/>
    <s v="sem poupança"/>
    <s v="&lt; 4 anos"/>
    <s v="Intermediário (1-4 anos)"/>
    <x v="0"/>
    <x v="0"/>
    <s v="solteiro"/>
    <x v="1"/>
    <n v="4"/>
    <s v="poupança ou seguro de vida"/>
    <n v="27"/>
    <x v="3"/>
    <s v="nenhum"/>
    <x v="0"/>
    <n v="1"/>
    <x v="1"/>
    <n v="1"/>
    <s v="não"/>
    <x v="0"/>
    <n v="2"/>
  </r>
  <r>
    <n v="507"/>
    <x v="0"/>
    <s v="&gt;= 200 $"/>
    <s v="saldo saudável"/>
    <x v="7"/>
    <x v="0"/>
    <x v="4"/>
    <n v="2360"/>
    <s v="&gt;= 500 &lt; 1000 $"/>
    <s v="Alto (500-1000 $)"/>
    <s v="&lt; 4 anos"/>
    <s v="Intermediário (1-4 anos)"/>
    <x v="1"/>
    <x v="0"/>
    <s v="solteiro"/>
    <x v="0"/>
    <n v="2"/>
    <s v="carro ou outros-quitado"/>
    <n v="36"/>
    <x v="3"/>
    <s v="nenhum"/>
    <x v="0"/>
    <n v="1"/>
    <x v="0"/>
    <n v="1"/>
    <s v="sim"/>
    <x v="0"/>
    <n v="1"/>
  </r>
  <r>
    <n v="508"/>
    <x v="1"/>
    <s v="&gt;= 0 &lt; 200 $"/>
    <s v="saldo baixo"/>
    <x v="7"/>
    <x v="4"/>
    <x v="3"/>
    <n v="6850"/>
    <s v="&gt;= 100 &lt; 500 $"/>
    <s v="Médio (100-500$)"/>
    <s v="desempregado"/>
    <s v="desempregado"/>
    <x v="3"/>
    <x v="0"/>
    <s v="solteiro"/>
    <x v="0"/>
    <n v="2"/>
    <s v="poupança ou seguro de vida"/>
    <n v="34"/>
    <x v="3"/>
    <s v="nenhum"/>
    <x v="0"/>
    <n v="1"/>
    <x v="2"/>
    <n v="2"/>
    <s v="sim"/>
    <x v="0"/>
    <n v="2"/>
  </r>
  <r>
    <n v="509"/>
    <x v="0"/>
    <s v="sem conta corrente"/>
    <s v="sem conta no banco"/>
    <x v="4"/>
    <x v="1"/>
    <x v="0"/>
    <n v="1413"/>
    <s v="&lt; 100 $"/>
    <s v="Baixo (&lt; 100 $)"/>
    <s v="&lt; 4 anos"/>
    <s v="Intermediário (1-4 anos)"/>
    <x v="0"/>
    <x v="0"/>
    <s v="casado/viuvo"/>
    <x v="0"/>
    <n v="2"/>
    <s v="poupança ou seguro de vida"/>
    <n v="28"/>
    <x v="3"/>
    <s v="nenhum"/>
    <x v="0"/>
    <n v="1"/>
    <x v="0"/>
    <n v="1"/>
    <s v="não"/>
    <x v="0"/>
    <n v="1"/>
  </r>
  <r>
    <n v="510"/>
    <x v="0"/>
    <s v="sem conta corrente"/>
    <s v="sem conta no banco"/>
    <x v="27"/>
    <x v="1"/>
    <x v="4"/>
    <n v="8588"/>
    <s v="&gt;= 100 &lt; 500 $"/>
    <s v="Médio (100-500$)"/>
    <s v="&gt;= 7 anos"/>
    <s v="Muito Estável (&gt; 7 anos)"/>
    <x v="0"/>
    <x v="0"/>
    <s v="solteiro"/>
    <x v="0"/>
    <n v="2"/>
    <s v="carro ou outros-quitado"/>
    <n v="45"/>
    <x v="2"/>
    <s v="nenhum"/>
    <x v="0"/>
    <n v="1"/>
    <x v="2"/>
    <n v="1"/>
    <s v="sim"/>
    <x v="0"/>
    <n v="1"/>
  </r>
  <r>
    <n v="511"/>
    <x v="1"/>
    <s v="&lt; 0 $"/>
    <s v="negativo/devedor"/>
    <x v="2"/>
    <x v="1"/>
    <x v="3"/>
    <n v="759"/>
    <s v="&lt; 100 $"/>
    <s v="Baixo (&lt; 100 $)"/>
    <s v="&lt; 7 anos"/>
    <s v="Estável (4-7 anos)"/>
    <x v="0"/>
    <x v="0"/>
    <s v="solteiro"/>
    <x v="0"/>
    <n v="2"/>
    <s v="imovel"/>
    <n v="26"/>
    <x v="3"/>
    <s v="nenhum"/>
    <x v="0"/>
    <n v="1"/>
    <x v="0"/>
    <n v="1"/>
    <s v="não"/>
    <x v="0"/>
    <n v="2"/>
  </r>
  <r>
    <n v="512"/>
    <x v="0"/>
    <s v="sem conta corrente"/>
    <s v="sem conta no banco"/>
    <x v="5"/>
    <x v="1"/>
    <x v="4"/>
    <n v="4686"/>
    <s v="&lt; 100 $"/>
    <s v="Baixo (&lt; 100 $)"/>
    <s v="&lt; 4 anos"/>
    <s v="Intermediário (1-4 anos)"/>
    <x v="1"/>
    <x v="0"/>
    <s v="solteiro"/>
    <x v="0"/>
    <n v="2"/>
    <s v="sem bens"/>
    <n v="32"/>
    <x v="3"/>
    <s v="nenhum"/>
    <x v="1"/>
    <n v="1"/>
    <x v="2"/>
    <n v="1"/>
    <s v="sim"/>
    <x v="0"/>
    <n v="1"/>
  </r>
  <r>
    <n v="513"/>
    <x v="0"/>
    <s v="&gt;= 200 $"/>
    <s v="saldo saudável"/>
    <x v="7"/>
    <x v="1"/>
    <x v="5"/>
    <n v="2687"/>
    <s v="&lt; 100 $"/>
    <s v="Baixo (&lt; 100 $)"/>
    <s v="&lt; 7 anos"/>
    <s v="Estável (4-7 anos)"/>
    <x v="1"/>
    <x v="0"/>
    <s v="solteiro"/>
    <x v="0"/>
    <n v="4"/>
    <s v="poupança ou seguro de vida"/>
    <n v="26"/>
    <x v="3"/>
    <s v="nenhum"/>
    <x v="2"/>
    <n v="1"/>
    <x v="0"/>
    <n v="1"/>
    <s v="sim"/>
    <x v="0"/>
    <n v="1"/>
  </r>
  <r>
    <n v="514"/>
    <x v="0"/>
    <s v="&gt;= 0 &lt; 200 $"/>
    <s v="saldo baixo"/>
    <x v="2"/>
    <x v="2"/>
    <x v="0"/>
    <n v="585"/>
    <s v="&lt; 100 $"/>
    <s v="Baixo (&lt; 100 $)"/>
    <s v="&lt; 4 anos"/>
    <s v="Intermediário (1-4 anos)"/>
    <x v="0"/>
    <x v="0"/>
    <s v="casado/viuvo"/>
    <x v="2"/>
    <n v="4"/>
    <s v="imovel"/>
    <n v="20"/>
    <x v="1"/>
    <s v="nenhum"/>
    <x v="2"/>
    <n v="2"/>
    <x v="0"/>
    <n v="1"/>
    <s v="não"/>
    <x v="0"/>
    <n v="1"/>
  </r>
  <r>
    <n v="515"/>
    <x v="0"/>
    <s v="sem conta corrente"/>
    <s v="sem conta no banco"/>
    <x v="4"/>
    <x v="1"/>
    <x v="3"/>
    <n v="2255"/>
    <s v="sem poupança"/>
    <s v="sem poupança"/>
    <s v="&lt; 1 ano"/>
    <s v="Iniciante (&lt; 1 ano)"/>
    <x v="0"/>
    <x v="0"/>
    <s v="solteiro"/>
    <x v="0"/>
    <n v="1"/>
    <s v="poupança ou seguro de vida"/>
    <n v="54"/>
    <x v="2"/>
    <s v="nenhum"/>
    <x v="0"/>
    <n v="1"/>
    <x v="0"/>
    <n v="1"/>
    <s v="não"/>
    <x v="0"/>
    <n v="1"/>
  </r>
  <r>
    <n v="516"/>
    <x v="0"/>
    <s v="&lt; 0 $"/>
    <s v="negativo/devedor"/>
    <x v="0"/>
    <x v="0"/>
    <x v="3"/>
    <n v="609"/>
    <s v="&lt; 100 $"/>
    <s v="Baixo (&lt; 100 $)"/>
    <s v="&lt; 7 anos"/>
    <s v="Estável (4-7 anos)"/>
    <x v="0"/>
    <x v="1"/>
    <s v="divorciada/casada"/>
    <x v="0"/>
    <n v="3"/>
    <s v="poupança ou seguro de vida"/>
    <n v="37"/>
    <x v="3"/>
    <s v="nenhum"/>
    <x v="0"/>
    <n v="2"/>
    <x v="0"/>
    <n v="1"/>
    <s v="não"/>
    <x v="1"/>
    <n v="1"/>
  </r>
  <r>
    <n v="517"/>
    <x v="0"/>
    <s v="&lt; 0 $"/>
    <s v="negativo/devedor"/>
    <x v="0"/>
    <x v="0"/>
    <x v="3"/>
    <n v="1361"/>
    <s v="&lt; 100 $"/>
    <s v="Baixo (&lt; 100 $)"/>
    <s v="&lt; 1 ano"/>
    <s v="Iniciante (&lt; 1 ano)"/>
    <x v="1"/>
    <x v="0"/>
    <s v="solteiro"/>
    <x v="0"/>
    <n v="4"/>
    <s v="imovel"/>
    <n v="40"/>
    <x v="2"/>
    <s v="nenhum"/>
    <x v="0"/>
    <n v="1"/>
    <x v="1"/>
    <n v="2"/>
    <s v="não"/>
    <x v="1"/>
    <n v="1"/>
  </r>
  <r>
    <n v="518"/>
    <x v="1"/>
    <s v="sem conta corrente"/>
    <s v="sem conta no banco"/>
    <x v="5"/>
    <x v="0"/>
    <x v="2"/>
    <n v="7127"/>
    <s v="&lt; 100 $"/>
    <s v="Baixo (&lt; 100 $)"/>
    <s v="&lt; 1 ano"/>
    <s v="Iniciante (&lt; 1 ano)"/>
    <x v="1"/>
    <x v="1"/>
    <s v="divorciada/casada"/>
    <x v="0"/>
    <n v="4"/>
    <s v="poupança ou seguro de vida"/>
    <n v="23"/>
    <x v="1"/>
    <s v="nenhum"/>
    <x v="2"/>
    <n v="2"/>
    <x v="0"/>
    <n v="1"/>
    <s v="sim"/>
    <x v="0"/>
    <n v="2"/>
  </r>
  <r>
    <n v="519"/>
    <x v="0"/>
    <s v="&lt; 0 $"/>
    <s v="negativo/devedor"/>
    <x v="0"/>
    <x v="1"/>
    <x v="3"/>
    <n v="1203"/>
    <s v="&gt;= 100 &lt; 500 $"/>
    <s v="Médio (100-500$)"/>
    <s v="&gt;= 7 anos"/>
    <s v="Muito Estável (&gt; 7 anos)"/>
    <x v="2"/>
    <x v="0"/>
    <s v="solteiro"/>
    <x v="0"/>
    <n v="2"/>
    <s v="poupança ou seguro de vida"/>
    <n v="43"/>
    <x v="2"/>
    <s v="nenhum"/>
    <x v="0"/>
    <n v="1"/>
    <x v="0"/>
    <n v="1"/>
    <s v="sim"/>
    <x v="0"/>
    <n v="1"/>
  </r>
  <r>
    <n v="520"/>
    <x v="0"/>
    <s v="sem conta corrente"/>
    <s v="sem conta no banco"/>
    <x v="0"/>
    <x v="0"/>
    <x v="0"/>
    <n v="700"/>
    <s v="sem poupança"/>
    <s v="sem poupança"/>
    <s v="&gt;= 7 anos"/>
    <s v="Muito Estável (&gt; 7 anos)"/>
    <x v="0"/>
    <x v="0"/>
    <s v="solteiro"/>
    <x v="0"/>
    <n v="4"/>
    <s v="sem bens"/>
    <n v="36"/>
    <x v="3"/>
    <s v="nenhum"/>
    <x v="1"/>
    <n v="2"/>
    <x v="0"/>
    <n v="1"/>
    <s v="não"/>
    <x v="0"/>
    <n v="1"/>
  </r>
  <r>
    <n v="521"/>
    <x v="0"/>
    <s v="sem conta corrente"/>
    <s v="sem conta no banco"/>
    <x v="4"/>
    <x v="0"/>
    <x v="7"/>
    <n v="5507"/>
    <s v="&lt; 100 $"/>
    <s v="Baixo (&lt; 100 $)"/>
    <s v="&gt;= 7 anos"/>
    <s v="Muito Estável (&gt; 7 anos)"/>
    <x v="2"/>
    <x v="0"/>
    <s v="solteiro"/>
    <x v="0"/>
    <n v="4"/>
    <s v="sem bens"/>
    <n v="44"/>
    <x v="2"/>
    <s v="nenhum"/>
    <x v="1"/>
    <n v="2"/>
    <x v="0"/>
    <n v="1"/>
    <s v="não"/>
    <x v="0"/>
    <n v="1"/>
  </r>
  <r>
    <n v="522"/>
    <x v="1"/>
    <s v="&lt; 0 $"/>
    <s v="negativo/devedor"/>
    <x v="12"/>
    <x v="1"/>
    <x v="0"/>
    <n v="3190"/>
    <s v="&lt; 100 $"/>
    <s v="Baixo (&lt; 100 $)"/>
    <s v="&lt; 4 anos"/>
    <s v="Intermediário (1-4 anos)"/>
    <x v="1"/>
    <x v="1"/>
    <s v="divorciada/casada"/>
    <x v="0"/>
    <n v="2"/>
    <s v="imovel"/>
    <n v="24"/>
    <x v="1"/>
    <s v="nenhum"/>
    <x v="0"/>
    <n v="1"/>
    <x v="0"/>
    <n v="1"/>
    <s v="não"/>
    <x v="0"/>
    <n v="2"/>
  </r>
  <r>
    <n v="523"/>
    <x v="1"/>
    <s v="&lt; 0 $"/>
    <s v="negativo/devedor"/>
    <x v="1"/>
    <x v="3"/>
    <x v="2"/>
    <n v="7119"/>
    <s v="&lt; 100 $"/>
    <s v="Baixo (&lt; 100 $)"/>
    <s v="&lt; 4 anos"/>
    <s v="Intermediário (1-4 anos)"/>
    <x v="2"/>
    <x v="0"/>
    <s v="solteiro"/>
    <x v="0"/>
    <n v="4"/>
    <s v="sem bens"/>
    <n v="53"/>
    <x v="2"/>
    <s v="nenhum"/>
    <x v="1"/>
    <n v="2"/>
    <x v="0"/>
    <n v="2"/>
    <s v="não"/>
    <x v="0"/>
    <n v="2"/>
  </r>
  <r>
    <n v="524"/>
    <x v="0"/>
    <s v="sem conta corrente"/>
    <s v="sem conta no banco"/>
    <x v="4"/>
    <x v="1"/>
    <x v="4"/>
    <n v="3488"/>
    <s v="&gt;= 100 &lt; 500 $"/>
    <s v="Médio (100-500$)"/>
    <s v="&lt; 7 anos"/>
    <s v="Estável (4-7 anos)"/>
    <x v="2"/>
    <x v="1"/>
    <s v="divorciada/casada"/>
    <x v="0"/>
    <n v="4"/>
    <s v="carro ou outros-quitado"/>
    <n v="23"/>
    <x v="1"/>
    <s v="nenhum"/>
    <x v="0"/>
    <n v="1"/>
    <x v="0"/>
    <n v="1"/>
    <s v="não"/>
    <x v="0"/>
    <n v="1"/>
  </r>
  <r>
    <n v="525"/>
    <x v="0"/>
    <s v="&gt;= 0 &lt; 200 $"/>
    <s v="saldo baixo"/>
    <x v="12"/>
    <x v="1"/>
    <x v="0"/>
    <n v="1113"/>
    <s v="&lt; 100 $"/>
    <s v="Baixo (&lt; 100 $)"/>
    <s v="&lt; 4 anos"/>
    <s v="Intermediário (1-4 anos)"/>
    <x v="0"/>
    <x v="1"/>
    <s v="divorciada/casada"/>
    <x v="1"/>
    <n v="4"/>
    <s v="imovel"/>
    <n v="26"/>
    <x v="3"/>
    <s v="nenhum"/>
    <x v="0"/>
    <n v="1"/>
    <x v="1"/>
    <n v="2"/>
    <s v="não"/>
    <x v="0"/>
    <n v="1"/>
  </r>
  <r>
    <n v="526"/>
    <x v="0"/>
    <s v="&gt;= 0 &lt; 200 $"/>
    <s v="saldo baixo"/>
    <x v="30"/>
    <x v="1"/>
    <x v="4"/>
    <n v="7966"/>
    <s v="&lt; 100 $"/>
    <s v="Baixo (&lt; 100 $)"/>
    <s v="&lt; 1 ano"/>
    <s v="Iniciante (&lt; 1 ano)"/>
    <x v="1"/>
    <x v="0"/>
    <s v="solteiro"/>
    <x v="0"/>
    <n v="3"/>
    <s v="carro ou outros-quitado"/>
    <n v="30"/>
    <x v="3"/>
    <s v="nenhum"/>
    <x v="0"/>
    <n v="2"/>
    <x v="0"/>
    <n v="1"/>
    <s v="não"/>
    <x v="0"/>
    <n v="1"/>
  </r>
  <r>
    <n v="527"/>
    <x v="0"/>
    <s v="sem conta corrente"/>
    <s v="sem conta no banco"/>
    <x v="7"/>
    <x v="0"/>
    <x v="1"/>
    <n v="1532"/>
    <s v="&gt;= 100 &lt; 500 $"/>
    <s v="Médio (100-500$)"/>
    <s v="&lt; 4 anos"/>
    <s v="Intermediário (1-4 anos)"/>
    <x v="0"/>
    <x v="1"/>
    <s v="divorciada/casada"/>
    <x v="0"/>
    <n v="3"/>
    <s v="carro ou outros-quitado"/>
    <n v="31"/>
    <x v="3"/>
    <s v="nenhum"/>
    <x v="0"/>
    <n v="1"/>
    <x v="0"/>
    <n v="1"/>
    <s v="não"/>
    <x v="0"/>
    <n v="1"/>
  </r>
  <r>
    <n v="528"/>
    <x v="0"/>
    <s v="sem conta corrente"/>
    <s v="sem conta no banco"/>
    <x v="23"/>
    <x v="0"/>
    <x v="0"/>
    <n v="1503"/>
    <s v="&lt; 100 $"/>
    <s v="Baixo (&lt; 100 $)"/>
    <s v="&lt; 7 anos"/>
    <s v="Estável (4-7 anos)"/>
    <x v="1"/>
    <x v="0"/>
    <s v="solteiro"/>
    <x v="0"/>
    <n v="1"/>
    <s v="imovel"/>
    <n v="42"/>
    <x v="2"/>
    <s v="nenhum"/>
    <x v="0"/>
    <n v="2"/>
    <x v="1"/>
    <n v="2"/>
    <s v="não"/>
    <x v="0"/>
    <n v="1"/>
  </r>
  <r>
    <n v="529"/>
    <x v="1"/>
    <s v="&lt; 0 $"/>
    <s v="negativo/devedor"/>
    <x v="5"/>
    <x v="1"/>
    <x v="0"/>
    <n v="2302"/>
    <s v="&lt; 100 $"/>
    <s v="Baixo (&lt; 100 $)"/>
    <s v="&lt; 4 anos"/>
    <s v="Intermediário (1-4 anos)"/>
    <x v="0"/>
    <x v="0"/>
    <s v="divorciado"/>
    <x v="0"/>
    <n v="4"/>
    <s v="carro ou outros-quitado"/>
    <n v="31"/>
    <x v="3"/>
    <s v="nenhum"/>
    <x v="2"/>
    <n v="1"/>
    <x v="0"/>
    <n v="1"/>
    <s v="não"/>
    <x v="0"/>
    <n v="2"/>
  </r>
  <r>
    <n v="530"/>
    <x v="0"/>
    <s v="&lt; 0 $"/>
    <s v="negativo/devedor"/>
    <x v="0"/>
    <x v="1"/>
    <x v="3"/>
    <n v="662"/>
    <s v="&lt; 100 $"/>
    <s v="Baixo (&lt; 100 $)"/>
    <s v="&lt; 1 ano"/>
    <s v="Iniciante (&lt; 1 ano)"/>
    <x v="2"/>
    <x v="0"/>
    <s v="solteiro"/>
    <x v="0"/>
    <n v="4"/>
    <s v="imovel"/>
    <n v="41"/>
    <x v="2"/>
    <s v="nenhum"/>
    <x v="0"/>
    <n v="1"/>
    <x v="1"/>
    <n v="2"/>
    <s v="sim"/>
    <x v="0"/>
    <n v="1"/>
  </r>
  <r>
    <n v="531"/>
    <x v="0"/>
    <s v="&gt;= 0 &lt; 200 $"/>
    <s v="saldo baixo"/>
    <x v="5"/>
    <x v="1"/>
    <x v="1"/>
    <n v="2273"/>
    <s v="&lt; 100 $"/>
    <s v="Baixo (&lt; 100 $)"/>
    <s v="&lt; 7 anos"/>
    <s v="Estável (4-7 anos)"/>
    <x v="2"/>
    <x v="0"/>
    <s v="solteiro"/>
    <x v="0"/>
    <n v="1"/>
    <s v="carro ou outros-quitado"/>
    <n v="32"/>
    <x v="3"/>
    <s v="nenhum"/>
    <x v="0"/>
    <n v="2"/>
    <x v="0"/>
    <n v="2"/>
    <s v="não"/>
    <x v="0"/>
    <n v="1"/>
  </r>
  <r>
    <n v="532"/>
    <x v="1"/>
    <s v="&gt;= 0 &lt; 200 $"/>
    <s v="saldo baixo"/>
    <x v="7"/>
    <x v="1"/>
    <x v="3"/>
    <n v="2631"/>
    <s v="&gt;= 100 &lt; 500 $"/>
    <s v="Médio (100-500$)"/>
    <s v="&lt; 4 anos"/>
    <s v="Intermediário (1-4 anos)"/>
    <x v="1"/>
    <x v="1"/>
    <s v="divorciada/casada"/>
    <x v="0"/>
    <n v="4"/>
    <s v="carro ou outros-quitado"/>
    <n v="28"/>
    <x v="3"/>
    <s v="nenhum"/>
    <x v="2"/>
    <n v="2"/>
    <x v="0"/>
    <n v="1"/>
    <s v="sim"/>
    <x v="0"/>
    <n v="2"/>
  </r>
  <r>
    <n v="533"/>
    <x v="0"/>
    <s v="sem conta corrente"/>
    <s v="sem conta no banco"/>
    <x v="2"/>
    <x v="2"/>
    <x v="4"/>
    <n v="1503"/>
    <s v="&lt; 100 $"/>
    <s v="Baixo (&lt; 100 $)"/>
    <s v="&lt; 4 anos"/>
    <s v="Intermediário (1-4 anos)"/>
    <x v="0"/>
    <x v="0"/>
    <s v="casado/viuvo"/>
    <x v="0"/>
    <n v="4"/>
    <s v="imovel"/>
    <n v="41"/>
    <x v="2"/>
    <s v="nenhum"/>
    <x v="2"/>
    <n v="1"/>
    <x v="0"/>
    <n v="1"/>
    <s v="não"/>
    <x v="0"/>
    <n v="1"/>
  </r>
  <r>
    <n v="534"/>
    <x v="0"/>
    <s v="sem conta corrente"/>
    <s v="sem conta no banco"/>
    <x v="4"/>
    <x v="1"/>
    <x v="0"/>
    <n v="1311"/>
    <s v="&gt;= 100 &lt; 500 $"/>
    <s v="Médio (100-500$)"/>
    <s v="&lt; 7 anos"/>
    <s v="Estável (4-7 anos)"/>
    <x v="0"/>
    <x v="0"/>
    <s v="casado/viuvo"/>
    <x v="0"/>
    <n v="3"/>
    <s v="poupança ou seguro de vida"/>
    <n v="26"/>
    <x v="3"/>
    <s v="nenhum"/>
    <x v="0"/>
    <n v="1"/>
    <x v="0"/>
    <n v="1"/>
    <s v="sim"/>
    <x v="0"/>
    <n v="1"/>
  </r>
  <r>
    <n v="535"/>
    <x v="0"/>
    <s v="sem conta corrente"/>
    <s v="sem conta no banco"/>
    <x v="4"/>
    <x v="1"/>
    <x v="0"/>
    <n v="3105"/>
    <s v="sem poupança"/>
    <s v="sem poupança"/>
    <s v="&lt; 1 ano"/>
    <s v="Iniciante (&lt; 1 ano)"/>
    <x v="0"/>
    <x v="0"/>
    <s v="solteiro"/>
    <x v="0"/>
    <n v="2"/>
    <s v="carro ou outros-quitado"/>
    <n v="25"/>
    <x v="3"/>
    <s v="nenhum"/>
    <x v="0"/>
    <n v="2"/>
    <x v="0"/>
    <n v="1"/>
    <s v="não"/>
    <x v="0"/>
    <n v="1"/>
  </r>
  <r>
    <n v="536"/>
    <x v="1"/>
    <s v="&gt;= 200 $"/>
    <s v="saldo saudável"/>
    <x v="21"/>
    <x v="0"/>
    <x v="1"/>
    <n v="2319"/>
    <s v="&lt; 100 $"/>
    <s v="Baixo (&lt; 100 $)"/>
    <s v="&lt; 1 ano"/>
    <s v="Iniciante (&lt; 1 ano)"/>
    <x v="1"/>
    <x v="0"/>
    <s v="divorciado"/>
    <x v="0"/>
    <n v="1"/>
    <s v="carro ou outros-quitado"/>
    <n v="33"/>
    <x v="3"/>
    <s v="nenhum"/>
    <x v="2"/>
    <n v="1"/>
    <x v="0"/>
    <n v="1"/>
    <s v="não"/>
    <x v="0"/>
    <n v="2"/>
  </r>
  <r>
    <n v="537"/>
    <x v="0"/>
    <s v="&lt; 0 $"/>
    <s v="negativo/devedor"/>
    <x v="0"/>
    <x v="1"/>
    <x v="3"/>
    <n v="1374"/>
    <s v="sem poupança"/>
    <s v="sem poupança"/>
    <s v="desempregado"/>
    <s v="desempregado"/>
    <x v="0"/>
    <x v="1"/>
    <s v="divorciada/casada"/>
    <x v="0"/>
    <n v="3"/>
    <s v="poupança ou seguro de vida"/>
    <n v="75"/>
    <x v="0"/>
    <s v="nenhum"/>
    <x v="0"/>
    <n v="1"/>
    <x v="2"/>
    <n v="1"/>
    <s v="sim"/>
    <x v="0"/>
    <n v="1"/>
  </r>
  <r>
    <n v="538"/>
    <x v="0"/>
    <s v="&gt;= 0 &lt; 200 $"/>
    <s v="saldo baixo"/>
    <x v="12"/>
    <x v="0"/>
    <x v="2"/>
    <n v="3612"/>
    <s v="&lt; 100 $"/>
    <s v="Baixo (&lt; 100 $)"/>
    <s v="&gt;= 7 anos"/>
    <s v="Muito Estável (&gt; 7 anos)"/>
    <x v="2"/>
    <x v="1"/>
    <s v="divorciada/casada"/>
    <x v="0"/>
    <n v="4"/>
    <s v="poupança ou seguro de vida"/>
    <n v="37"/>
    <x v="3"/>
    <s v="nenhum"/>
    <x v="0"/>
    <n v="1"/>
    <x v="0"/>
    <n v="1"/>
    <s v="sim"/>
    <x v="0"/>
    <n v="1"/>
  </r>
  <r>
    <n v="539"/>
    <x v="1"/>
    <s v="&lt; 0 $"/>
    <s v="negativo/devedor"/>
    <x v="1"/>
    <x v="1"/>
    <x v="3"/>
    <n v="7763"/>
    <s v="&lt; 100 $"/>
    <s v="Baixo (&lt; 100 $)"/>
    <s v="&gt;= 7 anos"/>
    <s v="Muito Estável (&gt; 7 anos)"/>
    <x v="0"/>
    <x v="0"/>
    <s v="solteiro"/>
    <x v="0"/>
    <n v="4"/>
    <s v="sem bens"/>
    <n v="42"/>
    <x v="2"/>
    <s v="banco"/>
    <x v="1"/>
    <n v="1"/>
    <x v="2"/>
    <n v="1"/>
    <s v="não"/>
    <x v="0"/>
    <n v="2"/>
  </r>
  <r>
    <n v="540"/>
    <x v="0"/>
    <s v="&gt;= 200 $"/>
    <s v="saldo saudável"/>
    <x v="12"/>
    <x v="1"/>
    <x v="2"/>
    <n v="3049"/>
    <s v="&lt; 100 $"/>
    <s v="Baixo (&lt; 100 $)"/>
    <s v="&lt; 1 ano"/>
    <s v="Iniciante (&lt; 1 ano)"/>
    <x v="3"/>
    <x v="1"/>
    <s v="divorciada/casada"/>
    <x v="0"/>
    <n v="1"/>
    <s v="poupança ou seguro de vida"/>
    <n v="45"/>
    <x v="2"/>
    <s v="loja"/>
    <x v="0"/>
    <n v="1"/>
    <x v="1"/>
    <n v="1"/>
    <s v="não"/>
    <x v="0"/>
    <n v="1"/>
  </r>
  <r>
    <n v="541"/>
    <x v="1"/>
    <s v="&gt;= 0 &lt; 200 $"/>
    <s v="saldo baixo"/>
    <x v="2"/>
    <x v="1"/>
    <x v="0"/>
    <n v="1534"/>
    <s v="&lt; 100 $"/>
    <s v="Baixo (&lt; 100 $)"/>
    <s v="&lt; 1 ano"/>
    <s v="Iniciante (&lt; 1 ano)"/>
    <x v="3"/>
    <x v="0"/>
    <s v="casado/viuvo"/>
    <x v="0"/>
    <n v="1"/>
    <s v="imovel"/>
    <n v="23"/>
    <x v="1"/>
    <s v="nenhum"/>
    <x v="2"/>
    <n v="1"/>
    <x v="0"/>
    <n v="1"/>
    <s v="não"/>
    <x v="0"/>
    <n v="2"/>
  </r>
  <r>
    <n v="542"/>
    <x v="0"/>
    <s v="sem conta corrente"/>
    <s v="sem conta no banco"/>
    <x v="4"/>
    <x v="2"/>
    <x v="3"/>
    <n v="2032"/>
    <s v="&lt; 100 $"/>
    <s v="Baixo (&lt; 100 $)"/>
    <s v="&gt;= 7 anos"/>
    <s v="Muito Estável (&gt; 7 anos)"/>
    <x v="0"/>
    <x v="0"/>
    <s v="solteiro"/>
    <x v="0"/>
    <n v="4"/>
    <s v="sem bens"/>
    <n v="60"/>
    <x v="0"/>
    <s v="nenhum"/>
    <x v="1"/>
    <n v="2"/>
    <x v="0"/>
    <n v="1"/>
    <s v="sim"/>
    <x v="0"/>
    <n v="1"/>
  </r>
  <r>
    <n v="543"/>
    <x v="1"/>
    <s v="&lt; 0 $"/>
    <s v="negativo/devedor"/>
    <x v="6"/>
    <x v="1"/>
    <x v="2"/>
    <n v="6350"/>
    <s v="sem poupança"/>
    <s v="sem poupança"/>
    <s v="&gt;= 7 anos"/>
    <s v="Muito Estável (&gt; 7 anos)"/>
    <x v="0"/>
    <x v="0"/>
    <s v="solteiro"/>
    <x v="0"/>
    <n v="4"/>
    <s v="poupança ou seguro de vida"/>
    <n v="31"/>
    <x v="3"/>
    <s v="nenhum"/>
    <x v="0"/>
    <n v="1"/>
    <x v="0"/>
    <n v="1"/>
    <s v="não"/>
    <x v="0"/>
    <n v="2"/>
  </r>
  <r>
    <n v="544"/>
    <x v="1"/>
    <s v="&gt;= 200 $"/>
    <s v="saldo saudável"/>
    <x v="12"/>
    <x v="1"/>
    <x v="2"/>
    <n v="2864"/>
    <s v="&lt; 100 $"/>
    <s v="Baixo (&lt; 100 $)"/>
    <s v="&lt; 4 anos"/>
    <s v="Intermediário (1-4 anos)"/>
    <x v="1"/>
    <x v="0"/>
    <s v="solteiro"/>
    <x v="0"/>
    <n v="1"/>
    <s v="imovel"/>
    <n v="34"/>
    <x v="3"/>
    <s v="nenhum"/>
    <x v="0"/>
    <n v="1"/>
    <x v="1"/>
    <n v="2"/>
    <s v="não"/>
    <x v="0"/>
    <n v="2"/>
  </r>
  <r>
    <n v="545"/>
    <x v="0"/>
    <s v="sem conta corrente"/>
    <s v="sem conta no banco"/>
    <x v="2"/>
    <x v="0"/>
    <x v="3"/>
    <n v="1255"/>
    <s v="&lt; 100 $"/>
    <s v="Baixo (&lt; 100 $)"/>
    <s v="&gt;= 7 anos"/>
    <s v="Muito Estável (&gt; 7 anos)"/>
    <x v="0"/>
    <x v="0"/>
    <s v="solteiro"/>
    <x v="0"/>
    <n v="4"/>
    <s v="imovel"/>
    <n v="61"/>
    <x v="0"/>
    <s v="nenhum"/>
    <x v="0"/>
    <n v="2"/>
    <x v="1"/>
    <n v="1"/>
    <s v="não"/>
    <x v="0"/>
    <n v="1"/>
  </r>
  <r>
    <n v="546"/>
    <x v="1"/>
    <s v="&lt; 0 $"/>
    <s v="negativo/devedor"/>
    <x v="4"/>
    <x v="2"/>
    <x v="3"/>
    <n v="1333"/>
    <s v="&lt; 100 $"/>
    <s v="Baixo (&lt; 100 $)"/>
    <s v="desempregado"/>
    <s v="desempregado"/>
    <x v="0"/>
    <x v="0"/>
    <s v="solteiro"/>
    <x v="0"/>
    <n v="2"/>
    <s v="imovel"/>
    <n v="43"/>
    <x v="2"/>
    <s v="nenhum"/>
    <x v="1"/>
    <n v="2"/>
    <x v="0"/>
    <n v="2"/>
    <s v="não"/>
    <x v="0"/>
    <n v="2"/>
  </r>
  <r>
    <n v="547"/>
    <x v="0"/>
    <s v="sem conta corrente"/>
    <s v="sem conta no banco"/>
    <x v="4"/>
    <x v="0"/>
    <x v="3"/>
    <n v="2022"/>
    <s v="&lt; 100 $"/>
    <s v="Baixo (&lt; 100 $)"/>
    <s v="&lt; 4 anos"/>
    <s v="Intermediário (1-4 anos)"/>
    <x v="0"/>
    <x v="1"/>
    <s v="divorciada/casada"/>
    <x v="0"/>
    <n v="4"/>
    <s v="carro ou outros-quitado"/>
    <n v="37"/>
    <x v="3"/>
    <s v="nenhum"/>
    <x v="0"/>
    <n v="1"/>
    <x v="0"/>
    <n v="1"/>
    <s v="sim"/>
    <x v="0"/>
    <n v="1"/>
  </r>
  <r>
    <n v="548"/>
    <x v="0"/>
    <s v="sem conta corrente"/>
    <s v="sem conta no banco"/>
    <x v="4"/>
    <x v="1"/>
    <x v="0"/>
    <n v="1552"/>
    <s v="&lt; 100 $"/>
    <s v="Baixo (&lt; 100 $)"/>
    <s v="&lt; 7 anos"/>
    <s v="Estável (4-7 anos)"/>
    <x v="2"/>
    <x v="0"/>
    <s v="solteiro"/>
    <x v="0"/>
    <n v="1"/>
    <s v="carro ou outros-quitado"/>
    <n v="32"/>
    <x v="3"/>
    <s v="banco"/>
    <x v="0"/>
    <n v="1"/>
    <x v="0"/>
    <n v="2"/>
    <s v="não"/>
    <x v="0"/>
    <n v="1"/>
  </r>
  <r>
    <n v="549"/>
    <x v="1"/>
    <s v="&lt; 0 $"/>
    <s v="negativo/devedor"/>
    <x v="2"/>
    <x v="4"/>
    <x v="0"/>
    <n v="626"/>
    <s v="&lt; 100 $"/>
    <s v="Baixo (&lt; 100 $)"/>
    <s v="&lt; 4 anos"/>
    <s v="Intermediário (1-4 anos)"/>
    <x v="0"/>
    <x v="1"/>
    <s v="divorciada/casada"/>
    <x v="0"/>
    <n v="4"/>
    <s v="imovel"/>
    <n v="24"/>
    <x v="1"/>
    <s v="banco"/>
    <x v="0"/>
    <n v="1"/>
    <x v="1"/>
    <n v="1"/>
    <s v="não"/>
    <x v="0"/>
    <n v="2"/>
  </r>
  <r>
    <n v="550"/>
    <x v="0"/>
    <s v="sem conta corrente"/>
    <s v="sem conta no banco"/>
    <x v="1"/>
    <x v="0"/>
    <x v="4"/>
    <n v="8858"/>
    <s v="sem poupança"/>
    <s v="sem poupança"/>
    <s v="&lt; 7 anos"/>
    <s v="Estável (4-7 anos)"/>
    <x v="1"/>
    <x v="0"/>
    <s v="solteiro"/>
    <x v="0"/>
    <n v="1"/>
    <s v="sem bens"/>
    <n v="35"/>
    <x v="3"/>
    <s v="nenhum"/>
    <x v="1"/>
    <n v="2"/>
    <x v="0"/>
    <n v="1"/>
    <s v="sim"/>
    <x v="0"/>
    <n v="1"/>
  </r>
  <r>
    <n v="551"/>
    <x v="0"/>
    <s v="sem conta corrente"/>
    <s v="sem conta no banco"/>
    <x v="2"/>
    <x v="0"/>
    <x v="7"/>
    <n v="996"/>
    <s v="sem poupança"/>
    <s v="sem poupança"/>
    <s v="&lt; 7 anos"/>
    <s v="Estável (4-7 anos)"/>
    <x v="0"/>
    <x v="1"/>
    <s v="divorciada/casada"/>
    <x v="0"/>
    <n v="4"/>
    <s v="imovel"/>
    <n v="23"/>
    <x v="1"/>
    <s v="nenhum"/>
    <x v="0"/>
    <n v="2"/>
    <x v="0"/>
    <n v="1"/>
    <s v="não"/>
    <x v="0"/>
    <n v="1"/>
  </r>
  <r>
    <n v="552"/>
    <x v="0"/>
    <s v="sem conta corrente"/>
    <s v="sem conta no banco"/>
    <x v="0"/>
    <x v="4"/>
    <x v="0"/>
    <n v="1750"/>
    <s v="&gt;= 500 &lt; 1000 $"/>
    <s v="Alto (500-1000 $)"/>
    <s v="&gt;= 7 anos"/>
    <s v="Muito Estável (&gt; 7 anos)"/>
    <x v="1"/>
    <x v="0"/>
    <s v="solteiro"/>
    <x v="0"/>
    <n v="4"/>
    <s v="poupança ou seguro de vida"/>
    <n v="45"/>
    <x v="2"/>
    <s v="banco"/>
    <x v="0"/>
    <n v="1"/>
    <x v="1"/>
    <n v="2"/>
    <s v="não"/>
    <x v="0"/>
    <n v="1"/>
  </r>
  <r>
    <n v="553"/>
    <x v="1"/>
    <s v="&lt; 0 $"/>
    <s v="negativo/devedor"/>
    <x v="1"/>
    <x v="1"/>
    <x v="0"/>
    <n v="6999"/>
    <s v="&lt; 100 $"/>
    <s v="Baixo (&lt; 100 $)"/>
    <s v="&lt; 7 anos"/>
    <s v="Estável (4-7 anos)"/>
    <x v="3"/>
    <x v="0"/>
    <s v="casado/viuvo"/>
    <x v="1"/>
    <n v="1"/>
    <s v="imovel"/>
    <n v="34"/>
    <x v="3"/>
    <s v="nenhum"/>
    <x v="0"/>
    <n v="2"/>
    <x v="0"/>
    <n v="1"/>
    <s v="sim"/>
    <x v="0"/>
    <n v="2"/>
  </r>
  <r>
    <n v="554"/>
    <x v="0"/>
    <s v="&gt;= 0 &lt; 200 $"/>
    <s v="saldo baixo"/>
    <x v="2"/>
    <x v="0"/>
    <x v="3"/>
    <n v="1995"/>
    <s v="&gt;= 100 &lt; 500 $"/>
    <s v="Médio (100-500$)"/>
    <s v="&lt; 1 ano"/>
    <s v="Iniciante (&lt; 1 ano)"/>
    <x v="0"/>
    <x v="0"/>
    <s v="solteiro"/>
    <x v="0"/>
    <n v="1"/>
    <s v="carro ou outros-quitado"/>
    <n v="27"/>
    <x v="3"/>
    <s v="nenhum"/>
    <x v="0"/>
    <n v="1"/>
    <x v="0"/>
    <n v="1"/>
    <s v="não"/>
    <x v="0"/>
    <n v="1"/>
  </r>
  <r>
    <n v="555"/>
    <x v="0"/>
    <s v="&gt;= 0 &lt; 200 $"/>
    <s v="saldo baixo"/>
    <x v="8"/>
    <x v="1"/>
    <x v="1"/>
    <n v="1199"/>
    <s v="&lt; 100 $"/>
    <s v="Baixo (&lt; 100 $)"/>
    <s v="&lt; 7 anos"/>
    <s v="Estável (4-7 anos)"/>
    <x v="0"/>
    <x v="1"/>
    <s v="divorciada/casada"/>
    <x v="0"/>
    <n v="4"/>
    <s v="poupança ou seguro de vida"/>
    <n v="67"/>
    <x v="0"/>
    <s v="nenhum"/>
    <x v="0"/>
    <n v="2"/>
    <x v="2"/>
    <n v="1"/>
    <s v="sim"/>
    <x v="0"/>
    <n v="1"/>
  </r>
  <r>
    <n v="556"/>
    <x v="1"/>
    <s v="&gt;= 0 &lt; 200 $"/>
    <s v="saldo baixo"/>
    <x v="2"/>
    <x v="1"/>
    <x v="0"/>
    <n v="1331"/>
    <s v="&lt; 100 $"/>
    <s v="Baixo (&lt; 100 $)"/>
    <s v="&lt; 1 ano"/>
    <s v="Iniciante (&lt; 1 ano)"/>
    <x v="1"/>
    <x v="0"/>
    <s v="solteiro"/>
    <x v="0"/>
    <n v="1"/>
    <s v="carro ou outros-quitado"/>
    <n v="22"/>
    <x v="1"/>
    <s v="loja"/>
    <x v="0"/>
    <n v="1"/>
    <x v="0"/>
    <n v="1"/>
    <s v="não"/>
    <x v="0"/>
    <n v="2"/>
  </r>
  <r>
    <n v="557"/>
    <x v="1"/>
    <s v="&gt;= 0 &lt; 200 $"/>
    <s v="saldo baixo"/>
    <x v="12"/>
    <x v="3"/>
    <x v="3"/>
    <n v="2278"/>
    <s v="&gt;= 100 &lt; 500 $"/>
    <s v="Médio (100-500$)"/>
    <s v="&lt; 1 ano"/>
    <s v="Iniciante (&lt; 1 ano)"/>
    <x v="2"/>
    <x v="1"/>
    <s v="divorciada/casada"/>
    <x v="0"/>
    <n v="3"/>
    <s v="carro ou outros-quitado"/>
    <n v="28"/>
    <x v="3"/>
    <s v="nenhum"/>
    <x v="0"/>
    <n v="2"/>
    <x v="0"/>
    <n v="1"/>
    <s v="não"/>
    <x v="0"/>
    <n v="2"/>
  </r>
  <r>
    <n v="558"/>
    <x v="1"/>
    <s v="sem conta corrente"/>
    <s v="sem conta no banco"/>
    <x v="21"/>
    <x v="3"/>
    <x v="3"/>
    <n v="5003"/>
    <s v="sem poupança"/>
    <s v="sem poupança"/>
    <s v="&lt; 4 anos"/>
    <s v="Intermediário (1-4 anos)"/>
    <x v="3"/>
    <x v="1"/>
    <s v="divorciada/casada"/>
    <x v="0"/>
    <n v="4"/>
    <s v="poupança ou seguro de vida"/>
    <n v="29"/>
    <x v="3"/>
    <s v="banco"/>
    <x v="0"/>
    <n v="2"/>
    <x v="0"/>
    <n v="1"/>
    <s v="sim"/>
    <x v="0"/>
    <n v="2"/>
  </r>
  <r>
    <n v="559"/>
    <x v="1"/>
    <s v="&lt; 0 $"/>
    <s v="negativo/devedor"/>
    <x v="4"/>
    <x v="4"/>
    <x v="2"/>
    <n v="3552"/>
    <s v="&lt; 100 $"/>
    <s v="Baixo (&lt; 100 $)"/>
    <s v="&lt; 7 anos"/>
    <s v="Estável (4-7 anos)"/>
    <x v="2"/>
    <x v="0"/>
    <s v="solteiro"/>
    <x v="0"/>
    <n v="4"/>
    <s v="carro ou outros-quitado"/>
    <n v="27"/>
    <x v="3"/>
    <s v="banco"/>
    <x v="0"/>
    <n v="1"/>
    <x v="0"/>
    <n v="1"/>
    <s v="não"/>
    <x v="0"/>
    <n v="2"/>
  </r>
  <r>
    <n v="560"/>
    <x v="1"/>
    <s v="&gt;= 0 &lt; 200 $"/>
    <s v="saldo baixo"/>
    <x v="12"/>
    <x v="0"/>
    <x v="2"/>
    <n v="1928"/>
    <s v="&lt; 100 $"/>
    <s v="Baixo (&lt; 100 $)"/>
    <s v="&lt; 1 ano"/>
    <s v="Iniciante (&lt; 1 ano)"/>
    <x v="1"/>
    <x v="0"/>
    <s v="solteiro"/>
    <x v="0"/>
    <n v="2"/>
    <s v="imovel"/>
    <n v="31"/>
    <x v="3"/>
    <s v="nenhum"/>
    <x v="0"/>
    <n v="2"/>
    <x v="1"/>
    <n v="1"/>
    <s v="não"/>
    <x v="0"/>
    <n v="2"/>
  </r>
  <r>
    <n v="561"/>
    <x v="0"/>
    <s v="&lt; 0 $"/>
    <s v="negativo/devedor"/>
    <x v="4"/>
    <x v="1"/>
    <x v="4"/>
    <n v="2964"/>
    <s v="sem poupança"/>
    <s v="sem poupança"/>
    <s v="&gt;= 7 anos"/>
    <s v="Muito Estável (&gt; 7 anos)"/>
    <x v="0"/>
    <x v="0"/>
    <s v="solteiro"/>
    <x v="0"/>
    <n v="4"/>
    <s v="sem bens"/>
    <n v="49"/>
    <x v="2"/>
    <s v="banco"/>
    <x v="1"/>
    <n v="1"/>
    <x v="0"/>
    <n v="2"/>
    <s v="sim"/>
    <x v="0"/>
    <n v="1"/>
  </r>
  <r>
    <n v="562"/>
    <x v="1"/>
    <s v="&lt; 0 $"/>
    <s v="negativo/devedor"/>
    <x v="4"/>
    <x v="4"/>
    <x v="0"/>
    <n v="1546"/>
    <s v="&lt; 100 $"/>
    <s v="Baixo (&lt; 100 $)"/>
    <s v="&lt; 7 anos"/>
    <s v="Estável (4-7 anos)"/>
    <x v="0"/>
    <x v="0"/>
    <s v="solteiro"/>
    <x v="1"/>
    <n v="4"/>
    <s v="carro ou outros-quitado"/>
    <n v="24"/>
    <x v="1"/>
    <s v="banco"/>
    <x v="2"/>
    <n v="1"/>
    <x v="1"/>
    <n v="1"/>
    <s v="não"/>
    <x v="0"/>
    <n v="2"/>
  </r>
  <r>
    <n v="563"/>
    <x v="0"/>
    <s v="&gt;= 200 $"/>
    <s v="saldo saudável"/>
    <x v="0"/>
    <x v="2"/>
    <x v="0"/>
    <n v="683"/>
    <s v="&lt; 100 $"/>
    <s v="Baixo (&lt; 100 $)"/>
    <s v="&lt; 1 ano"/>
    <s v="Iniciante (&lt; 1 ano)"/>
    <x v="1"/>
    <x v="1"/>
    <s v="divorciada/casada"/>
    <x v="0"/>
    <n v="1"/>
    <s v="poupança ou seguro de vida"/>
    <n v="29"/>
    <x v="3"/>
    <s v="banco"/>
    <x v="0"/>
    <n v="1"/>
    <x v="0"/>
    <n v="1"/>
    <s v="não"/>
    <x v="0"/>
    <n v="1"/>
  </r>
  <r>
    <n v="564"/>
    <x v="1"/>
    <s v="&gt;= 0 &lt; 200 $"/>
    <s v="saldo baixo"/>
    <x v="5"/>
    <x v="1"/>
    <x v="3"/>
    <n v="12389"/>
    <s v="sem poupança"/>
    <s v="sem poupança"/>
    <s v="&lt; 4 anos"/>
    <s v="Intermediário (1-4 anos)"/>
    <x v="3"/>
    <x v="0"/>
    <s v="solteiro"/>
    <x v="0"/>
    <n v="4"/>
    <s v="sem bens"/>
    <n v="37"/>
    <x v="3"/>
    <s v="nenhum"/>
    <x v="1"/>
    <n v="1"/>
    <x v="0"/>
    <n v="1"/>
    <s v="sim"/>
    <x v="0"/>
    <n v="2"/>
  </r>
  <r>
    <n v="565"/>
    <x v="0"/>
    <s v="&gt;= 0 &lt; 200 $"/>
    <s v="saldo baixo"/>
    <x v="4"/>
    <x v="2"/>
    <x v="5"/>
    <n v="4712"/>
    <s v="sem poupança"/>
    <s v="sem poupança"/>
    <s v="&lt; 4 anos"/>
    <s v="Intermediário (1-4 anos)"/>
    <x v="0"/>
    <x v="0"/>
    <s v="solteiro"/>
    <x v="0"/>
    <n v="2"/>
    <s v="poupança ou seguro de vida"/>
    <n v="37"/>
    <x v="3"/>
    <s v="banco"/>
    <x v="0"/>
    <n v="2"/>
    <x v="2"/>
    <n v="1"/>
    <s v="sim"/>
    <x v="0"/>
    <n v="1"/>
  </r>
  <r>
    <n v="566"/>
    <x v="0"/>
    <s v="&gt;= 0 &lt; 200 $"/>
    <s v="saldo baixo"/>
    <x v="4"/>
    <x v="2"/>
    <x v="0"/>
    <n v="1553"/>
    <s v="&gt;= 100 &lt; 500 $"/>
    <s v="Médio (100-500$)"/>
    <s v="&lt; 7 anos"/>
    <s v="Estável (4-7 anos)"/>
    <x v="2"/>
    <x v="1"/>
    <s v="divorciada/casada"/>
    <x v="0"/>
    <n v="2"/>
    <s v="poupança ou seguro de vida"/>
    <n v="23"/>
    <x v="1"/>
    <s v="nenhum"/>
    <x v="2"/>
    <n v="2"/>
    <x v="0"/>
    <n v="1"/>
    <s v="sim"/>
    <x v="0"/>
    <n v="1"/>
  </r>
  <r>
    <n v="567"/>
    <x v="1"/>
    <s v="&lt; 0 $"/>
    <s v="negativo/devedor"/>
    <x v="2"/>
    <x v="1"/>
    <x v="3"/>
    <n v="1372"/>
    <s v="&lt; 100 $"/>
    <s v="Baixo (&lt; 100 $)"/>
    <s v="&lt; 7 anos"/>
    <s v="Estável (4-7 anos)"/>
    <x v="1"/>
    <x v="0"/>
    <s v="divorciado"/>
    <x v="0"/>
    <n v="3"/>
    <s v="carro ou outros-quitado"/>
    <n v="36"/>
    <x v="3"/>
    <s v="nenhum"/>
    <x v="0"/>
    <n v="1"/>
    <x v="0"/>
    <n v="1"/>
    <s v="não"/>
    <x v="0"/>
    <n v="2"/>
  </r>
  <r>
    <n v="568"/>
    <x v="0"/>
    <s v="sem conta corrente"/>
    <s v="sem conta no banco"/>
    <x v="4"/>
    <x v="0"/>
    <x v="0"/>
    <n v="2578"/>
    <s v="&gt;= 1000 $"/>
    <s v="Muito alto (&gt;1000$)"/>
    <s v="&gt;= 7 anos"/>
    <s v="Muito Estável (&gt; 7 anos)"/>
    <x v="1"/>
    <x v="0"/>
    <s v="solteiro"/>
    <x v="0"/>
    <n v="2"/>
    <s v="carro ou outros-quitado"/>
    <n v="34"/>
    <x v="3"/>
    <s v="nenhum"/>
    <x v="0"/>
    <n v="1"/>
    <x v="0"/>
    <n v="1"/>
    <s v="não"/>
    <x v="0"/>
    <n v="1"/>
  </r>
  <r>
    <n v="569"/>
    <x v="0"/>
    <s v="&gt;= 0 &lt; 200 $"/>
    <s v="saldo baixo"/>
    <x v="1"/>
    <x v="1"/>
    <x v="0"/>
    <n v="3979"/>
    <s v="sem poupança"/>
    <s v="sem poupança"/>
    <s v="&lt; 7 anos"/>
    <s v="Estável (4-7 anos)"/>
    <x v="0"/>
    <x v="0"/>
    <s v="solteiro"/>
    <x v="0"/>
    <n v="1"/>
    <s v="carro ou outros-quitado"/>
    <n v="41"/>
    <x v="2"/>
    <s v="nenhum"/>
    <x v="0"/>
    <n v="2"/>
    <x v="0"/>
    <n v="2"/>
    <s v="sim"/>
    <x v="0"/>
    <n v="1"/>
  </r>
  <r>
    <n v="570"/>
    <x v="1"/>
    <s v="&lt; 0 $"/>
    <s v="negativo/devedor"/>
    <x v="1"/>
    <x v="1"/>
    <x v="0"/>
    <n v="6758"/>
    <s v="&lt; 100 $"/>
    <s v="Baixo (&lt; 100 $)"/>
    <s v="&lt; 4 anos"/>
    <s v="Intermediário (1-4 anos)"/>
    <x v="2"/>
    <x v="1"/>
    <s v="divorciada/casada"/>
    <x v="0"/>
    <n v="2"/>
    <s v="carro ou outros-quitado"/>
    <n v="31"/>
    <x v="3"/>
    <s v="nenhum"/>
    <x v="0"/>
    <n v="1"/>
    <x v="0"/>
    <n v="1"/>
    <s v="sim"/>
    <x v="0"/>
    <n v="2"/>
  </r>
  <r>
    <n v="571"/>
    <x v="1"/>
    <s v="&lt; 0 $"/>
    <s v="negativo/devedor"/>
    <x v="4"/>
    <x v="1"/>
    <x v="2"/>
    <n v="3234"/>
    <s v="&lt; 100 $"/>
    <s v="Baixo (&lt; 100 $)"/>
    <s v="&lt; 1 ano"/>
    <s v="Iniciante (&lt; 1 ano)"/>
    <x v="0"/>
    <x v="1"/>
    <s v="divorciada/casada"/>
    <x v="0"/>
    <n v="4"/>
    <s v="imovel"/>
    <n v="23"/>
    <x v="1"/>
    <s v="nenhum"/>
    <x v="2"/>
    <n v="1"/>
    <x v="1"/>
    <n v="1"/>
    <s v="sim"/>
    <x v="0"/>
    <n v="2"/>
  </r>
  <r>
    <n v="572"/>
    <x v="0"/>
    <s v="sem conta corrente"/>
    <s v="sem conta no banco"/>
    <x v="6"/>
    <x v="0"/>
    <x v="0"/>
    <n v="5954"/>
    <s v="&lt; 100 $"/>
    <s v="Baixo (&lt; 100 $)"/>
    <s v="&lt; 7 anos"/>
    <s v="Estável (4-7 anos)"/>
    <x v="2"/>
    <x v="0"/>
    <s v="solteiro"/>
    <x v="2"/>
    <n v="2"/>
    <s v="carro ou outros-quitado"/>
    <n v="38"/>
    <x v="3"/>
    <s v="nenhum"/>
    <x v="0"/>
    <n v="1"/>
    <x v="0"/>
    <n v="1"/>
    <s v="não"/>
    <x v="0"/>
    <n v="1"/>
  </r>
  <r>
    <n v="573"/>
    <x v="0"/>
    <s v="sem conta corrente"/>
    <s v="sem conta no banco"/>
    <x v="4"/>
    <x v="1"/>
    <x v="4"/>
    <n v="5433"/>
    <s v="sem poupança"/>
    <s v="sem poupança"/>
    <s v="desempregado"/>
    <s v="desempregado"/>
    <x v="1"/>
    <x v="1"/>
    <s v="divorciada/casada"/>
    <x v="0"/>
    <n v="4"/>
    <s v="poupança ou seguro de vida"/>
    <n v="26"/>
    <x v="3"/>
    <s v="nenhum"/>
    <x v="2"/>
    <n v="1"/>
    <x v="2"/>
    <n v="1"/>
    <s v="sim"/>
    <x v="0"/>
    <n v="1"/>
  </r>
  <r>
    <n v="574"/>
    <x v="0"/>
    <s v="&lt; 0 $"/>
    <s v="negativo/devedor"/>
    <x v="7"/>
    <x v="1"/>
    <x v="5"/>
    <n v="806"/>
    <s v="&lt; 100 $"/>
    <s v="Baixo (&lt; 100 $)"/>
    <s v="&lt; 4 anos"/>
    <s v="Intermediário (1-4 anos)"/>
    <x v="0"/>
    <x v="1"/>
    <s v="divorciada/casada"/>
    <x v="0"/>
    <n v="4"/>
    <s v="poupança ou seguro de vida"/>
    <n v="22"/>
    <x v="1"/>
    <s v="nenhum"/>
    <x v="0"/>
    <n v="1"/>
    <x v="1"/>
    <n v="1"/>
    <s v="não"/>
    <x v="0"/>
    <n v="1"/>
  </r>
  <r>
    <n v="575"/>
    <x v="0"/>
    <s v="&gt;= 0 &lt; 200 $"/>
    <s v="saldo baixo"/>
    <x v="8"/>
    <x v="1"/>
    <x v="0"/>
    <n v="1082"/>
    <s v="&lt; 100 $"/>
    <s v="Baixo (&lt; 100 $)"/>
    <s v="&gt;= 7 anos"/>
    <s v="Muito Estável (&gt; 7 anos)"/>
    <x v="0"/>
    <x v="0"/>
    <s v="solteiro"/>
    <x v="0"/>
    <n v="4"/>
    <s v="carro ou outros-quitado"/>
    <n v="27"/>
    <x v="3"/>
    <s v="nenhum"/>
    <x v="0"/>
    <n v="2"/>
    <x v="1"/>
    <n v="1"/>
    <s v="não"/>
    <x v="0"/>
    <n v="1"/>
  </r>
  <r>
    <n v="576"/>
    <x v="0"/>
    <s v="sem conta corrente"/>
    <s v="sem conta no banco"/>
    <x v="7"/>
    <x v="0"/>
    <x v="2"/>
    <n v="2788"/>
    <s v="&lt; 100 $"/>
    <s v="Baixo (&lt; 100 $)"/>
    <s v="&lt; 7 anos"/>
    <s v="Estável (4-7 anos)"/>
    <x v="1"/>
    <x v="1"/>
    <s v="divorciada/casada"/>
    <x v="2"/>
    <n v="3"/>
    <s v="carro ou outros-quitado"/>
    <n v="24"/>
    <x v="1"/>
    <s v="banco"/>
    <x v="0"/>
    <n v="2"/>
    <x v="0"/>
    <n v="1"/>
    <s v="não"/>
    <x v="0"/>
    <n v="1"/>
  </r>
  <r>
    <n v="577"/>
    <x v="0"/>
    <s v="&gt;= 0 &lt; 200 $"/>
    <s v="saldo baixo"/>
    <x v="2"/>
    <x v="1"/>
    <x v="0"/>
    <n v="2930"/>
    <s v="&lt; 100 $"/>
    <s v="Baixo (&lt; 100 $)"/>
    <s v="&lt; 7 anos"/>
    <s v="Estável (4-7 anos)"/>
    <x v="1"/>
    <x v="1"/>
    <s v="divorciada/casada"/>
    <x v="0"/>
    <n v="1"/>
    <s v="imovel"/>
    <n v="27"/>
    <x v="3"/>
    <s v="nenhum"/>
    <x v="0"/>
    <n v="1"/>
    <x v="0"/>
    <n v="1"/>
    <s v="não"/>
    <x v="0"/>
    <n v="1"/>
  </r>
  <r>
    <n v="578"/>
    <x v="0"/>
    <s v="sem conta corrente"/>
    <s v="sem conta no banco"/>
    <x v="4"/>
    <x v="0"/>
    <x v="1"/>
    <n v="1927"/>
    <s v="sem poupança"/>
    <s v="sem poupança"/>
    <s v="&lt; 4 anos"/>
    <s v="Intermediário (1-4 anos)"/>
    <x v="2"/>
    <x v="1"/>
    <s v="divorciada/casada"/>
    <x v="0"/>
    <n v="2"/>
    <s v="carro ou outros-quitado"/>
    <n v="33"/>
    <x v="3"/>
    <s v="nenhum"/>
    <x v="0"/>
    <n v="2"/>
    <x v="0"/>
    <n v="1"/>
    <s v="sim"/>
    <x v="0"/>
    <n v="1"/>
  </r>
  <r>
    <n v="579"/>
    <x v="1"/>
    <s v="&gt;= 0 &lt; 200 $"/>
    <s v="saldo baixo"/>
    <x v="5"/>
    <x v="0"/>
    <x v="3"/>
    <n v="2820"/>
    <s v="&lt; 100 $"/>
    <s v="Baixo (&lt; 100 $)"/>
    <s v="&lt; 1 ano"/>
    <s v="Iniciante (&lt; 1 ano)"/>
    <x v="0"/>
    <x v="0"/>
    <s v="divorciado"/>
    <x v="0"/>
    <n v="4"/>
    <s v="carro ou outros-quitado"/>
    <n v="27"/>
    <x v="3"/>
    <s v="nenhum"/>
    <x v="0"/>
    <n v="2"/>
    <x v="0"/>
    <n v="1"/>
    <s v="não"/>
    <x v="0"/>
    <n v="2"/>
  </r>
  <r>
    <n v="580"/>
    <x v="0"/>
    <s v="sem conta corrente"/>
    <s v="sem conta no banco"/>
    <x v="4"/>
    <x v="1"/>
    <x v="9"/>
    <n v="937"/>
    <s v="&lt; 100 $"/>
    <s v="Baixo (&lt; 100 $)"/>
    <s v="&lt; 1 ano"/>
    <s v="Iniciante (&lt; 1 ano)"/>
    <x v="0"/>
    <x v="0"/>
    <s v="casado/viuvo"/>
    <x v="0"/>
    <n v="3"/>
    <s v="carro ou outros-quitado"/>
    <n v="27"/>
    <x v="3"/>
    <s v="nenhum"/>
    <x v="0"/>
    <n v="2"/>
    <x v="1"/>
    <n v="1"/>
    <s v="não"/>
    <x v="0"/>
    <n v="1"/>
  </r>
  <r>
    <n v="581"/>
    <x v="1"/>
    <s v="&gt;= 0 &lt; 200 $"/>
    <s v="saldo baixo"/>
    <x v="12"/>
    <x v="0"/>
    <x v="3"/>
    <n v="1056"/>
    <s v="&lt; 100 $"/>
    <s v="Baixo (&lt; 100 $)"/>
    <s v="&gt;= 7 anos"/>
    <s v="Muito Estável (&gt; 7 anos)"/>
    <x v="2"/>
    <x v="0"/>
    <s v="solteiro"/>
    <x v="1"/>
    <n v="3"/>
    <s v="imovel"/>
    <n v="30"/>
    <x v="3"/>
    <s v="banco"/>
    <x v="0"/>
    <n v="2"/>
    <x v="0"/>
    <n v="1"/>
    <s v="não"/>
    <x v="0"/>
    <n v="2"/>
  </r>
  <r>
    <n v="582"/>
    <x v="0"/>
    <s v="&gt;= 0 &lt; 200 $"/>
    <s v="saldo baixo"/>
    <x v="2"/>
    <x v="0"/>
    <x v="3"/>
    <n v="3124"/>
    <s v="&lt; 100 $"/>
    <s v="Baixo (&lt; 100 $)"/>
    <s v="&lt; 1 ano"/>
    <s v="Iniciante (&lt; 1 ano)"/>
    <x v="3"/>
    <x v="0"/>
    <s v="solteiro"/>
    <x v="0"/>
    <n v="3"/>
    <s v="imovel"/>
    <n v="49"/>
    <x v="2"/>
    <s v="banco"/>
    <x v="0"/>
    <n v="2"/>
    <x v="1"/>
    <n v="2"/>
    <s v="não"/>
    <x v="0"/>
    <n v="1"/>
  </r>
  <r>
    <n v="583"/>
    <x v="0"/>
    <s v="sem conta corrente"/>
    <s v="sem conta no banco"/>
    <x v="8"/>
    <x v="1"/>
    <x v="2"/>
    <n v="1388"/>
    <s v="&lt; 100 $"/>
    <s v="Baixo (&lt; 100 $)"/>
    <s v="&lt; 4 anos"/>
    <s v="Intermediário (1-4 anos)"/>
    <x v="0"/>
    <x v="1"/>
    <s v="divorciada/casada"/>
    <x v="0"/>
    <n v="2"/>
    <s v="imovel"/>
    <n v="26"/>
    <x v="3"/>
    <s v="nenhum"/>
    <x v="2"/>
    <n v="1"/>
    <x v="0"/>
    <n v="1"/>
    <s v="não"/>
    <x v="0"/>
    <n v="1"/>
  </r>
  <r>
    <n v="584"/>
    <x v="1"/>
    <s v="&gt;= 0 &lt; 200 $"/>
    <s v="saldo baixo"/>
    <x v="5"/>
    <x v="1"/>
    <x v="7"/>
    <n v="2384"/>
    <s v="&lt; 100 $"/>
    <s v="Baixo (&lt; 100 $)"/>
    <s v="&lt; 1 ano"/>
    <s v="Iniciante (&lt; 1 ano)"/>
    <x v="0"/>
    <x v="0"/>
    <s v="solteiro"/>
    <x v="0"/>
    <n v="1"/>
    <s v="sem bens"/>
    <n v="33"/>
    <x v="3"/>
    <s v="nenhum"/>
    <x v="2"/>
    <n v="1"/>
    <x v="1"/>
    <n v="1"/>
    <s v="não"/>
    <x v="0"/>
    <n v="2"/>
  </r>
  <r>
    <n v="585"/>
    <x v="0"/>
    <s v="sem conta corrente"/>
    <s v="sem conta no banco"/>
    <x v="2"/>
    <x v="1"/>
    <x v="3"/>
    <n v="2133"/>
    <s v="sem poupança"/>
    <s v="sem poupança"/>
    <s v="&gt;= 7 anos"/>
    <s v="Muito Estável (&gt; 7 anos)"/>
    <x v="0"/>
    <x v="1"/>
    <s v="divorciada/casada"/>
    <x v="0"/>
    <n v="4"/>
    <s v="sem bens"/>
    <n v="52"/>
    <x v="2"/>
    <s v="nenhum"/>
    <x v="1"/>
    <n v="1"/>
    <x v="2"/>
    <n v="1"/>
    <s v="sim"/>
    <x v="0"/>
    <n v="1"/>
  </r>
  <r>
    <n v="586"/>
    <x v="1"/>
    <s v="&lt; 0 $"/>
    <s v="negativo/devedor"/>
    <x v="12"/>
    <x v="1"/>
    <x v="2"/>
    <n v="2039"/>
    <s v="&lt; 100 $"/>
    <s v="Baixo (&lt; 100 $)"/>
    <s v="&lt; 4 anos"/>
    <s v="Intermediário (1-4 anos)"/>
    <x v="3"/>
    <x v="1"/>
    <s v="divorciada/casada"/>
    <x v="0"/>
    <n v="4"/>
    <s v="imovel"/>
    <n v="20"/>
    <x v="1"/>
    <s v="banco"/>
    <x v="2"/>
    <n v="1"/>
    <x v="0"/>
    <n v="1"/>
    <s v="não"/>
    <x v="0"/>
    <n v="2"/>
  </r>
  <r>
    <n v="587"/>
    <x v="0"/>
    <s v="&lt; 0 $"/>
    <s v="negativo/devedor"/>
    <x v="8"/>
    <x v="0"/>
    <x v="3"/>
    <n v="2799"/>
    <s v="&lt; 100 $"/>
    <s v="Baixo (&lt; 100 $)"/>
    <s v="&lt; 4 anos"/>
    <s v="Intermediário (1-4 anos)"/>
    <x v="1"/>
    <x v="0"/>
    <s v="solteiro"/>
    <x v="0"/>
    <n v="2"/>
    <s v="imovel"/>
    <n v="36"/>
    <x v="3"/>
    <s v="nenhum"/>
    <x v="2"/>
    <n v="2"/>
    <x v="0"/>
    <n v="2"/>
    <s v="não"/>
    <x v="0"/>
    <n v="1"/>
  </r>
  <r>
    <n v="588"/>
    <x v="0"/>
    <s v="&lt; 0 $"/>
    <s v="negativo/devedor"/>
    <x v="2"/>
    <x v="1"/>
    <x v="2"/>
    <n v="1289"/>
    <s v="&lt; 100 $"/>
    <s v="Baixo (&lt; 100 $)"/>
    <s v="&lt; 4 anos"/>
    <s v="Intermediário (1-4 anos)"/>
    <x v="0"/>
    <x v="0"/>
    <s v="solteiro"/>
    <x v="1"/>
    <n v="1"/>
    <s v="poupança ou seguro de vida"/>
    <n v="21"/>
    <x v="1"/>
    <s v="nenhum"/>
    <x v="0"/>
    <n v="1"/>
    <x v="1"/>
    <n v="1"/>
    <s v="não"/>
    <x v="0"/>
    <n v="1"/>
  </r>
  <r>
    <n v="589"/>
    <x v="1"/>
    <s v="&lt; 0 $"/>
    <s v="negativo/devedor"/>
    <x v="12"/>
    <x v="1"/>
    <x v="6"/>
    <n v="1217"/>
    <s v="&lt; 100 $"/>
    <s v="Baixo (&lt; 100 $)"/>
    <s v="&lt; 4 anos"/>
    <s v="Intermediário (1-4 anos)"/>
    <x v="0"/>
    <x v="0"/>
    <s v="casado/viuvo"/>
    <x v="0"/>
    <n v="3"/>
    <s v="imovel"/>
    <n v="47"/>
    <x v="2"/>
    <s v="nenhum"/>
    <x v="0"/>
    <n v="1"/>
    <x v="1"/>
    <n v="1"/>
    <s v="sim"/>
    <x v="0"/>
    <n v="2"/>
  </r>
  <r>
    <n v="590"/>
    <x v="1"/>
    <s v="&lt; 0 $"/>
    <s v="negativo/devedor"/>
    <x v="2"/>
    <x v="0"/>
    <x v="2"/>
    <n v="2246"/>
    <s v="&lt; 100 $"/>
    <s v="Baixo (&lt; 100 $)"/>
    <s v="&gt;= 7 anos"/>
    <s v="Muito Estável (&gt; 7 anos)"/>
    <x v="2"/>
    <x v="0"/>
    <s v="solteiro"/>
    <x v="0"/>
    <n v="3"/>
    <s v="poupança ou seguro de vida"/>
    <n v="60"/>
    <x v="0"/>
    <s v="nenhum"/>
    <x v="0"/>
    <n v="2"/>
    <x v="0"/>
    <n v="1"/>
    <s v="não"/>
    <x v="0"/>
    <n v="2"/>
  </r>
  <r>
    <n v="591"/>
    <x v="0"/>
    <s v="&lt; 0 $"/>
    <s v="negativo/devedor"/>
    <x v="2"/>
    <x v="0"/>
    <x v="0"/>
    <n v="385"/>
    <s v="&lt; 100 $"/>
    <s v="Baixo (&lt; 100 $)"/>
    <s v="&lt; 7 anos"/>
    <s v="Estável (4-7 anos)"/>
    <x v="0"/>
    <x v="1"/>
    <s v="divorciada/casada"/>
    <x v="0"/>
    <n v="3"/>
    <s v="imovel"/>
    <n v="58"/>
    <x v="2"/>
    <s v="nenhum"/>
    <x v="0"/>
    <n v="4"/>
    <x v="1"/>
    <n v="1"/>
    <s v="sim"/>
    <x v="0"/>
    <n v="1"/>
  </r>
  <r>
    <n v="592"/>
    <x v="0"/>
    <s v="&gt;= 0 &lt; 200 $"/>
    <s v="saldo baixo"/>
    <x v="4"/>
    <x v="2"/>
    <x v="3"/>
    <n v="1965"/>
    <s v="sem poupança"/>
    <s v="sem poupança"/>
    <s v="&lt; 4 anos"/>
    <s v="Intermediário (1-4 anos)"/>
    <x v="0"/>
    <x v="1"/>
    <s v="divorciada/casada"/>
    <x v="0"/>
    <n v="4"/>
    <s v="carro ou outros-quitado"/>
    <n v="42"/>
    <x v="2"/>
    <s v="nenhum"/>
    <x v="2"/>
    <n v="2"/>
    <x v="0"/>
    <n v="1"/>
    <s v="sim"/>
    <x v="0"/>
    <n v="1"/>
  </r>
  <r>
    <n v="593"/>
    <x v="0"/>
    <s v="sem conta corrente"/>
    <s v="sem conta no banco"/>
    <x v="21"/>
    <x v="1"/>
    <x v="5"/>
    <n v="1572"/>
    <s v="&gt;= 1000 $"/>
    <s v="Muito alto (&gt;1000$)"/>
    <s v="&gt;= 7 anos"/>
    <s v="Muito Estável (&gt; 7 anos)"/>
    <x v="0"/>
    <x v="1"/>
    <s v="divorciada/casada"/>
    <x v="0"/>
    <n v="4"/>
    <s v="imovel"/>
    <n v="36"/>
    <x v="3"/>
    <s v="banco"/>
    <x v="0"/>
    <n v="1"/>
    <x v="1"/>
    <n v="1"/>
    <s v="não"/>
    <x v="0"/>
    <n v="1"/>
  </r>
  <r>
    <n v="594"/>
    <x v="1"/>
    <s v="&gt;= 0 &lt; 200 $"/>
    <s v="saldo baixo"/>
    <x v="4"/>
    <x v="1"/>
    <x v="3"/>
    <n v="2718"/>
    <s v="&lt; 100 $"/>
    <s v="Baixo (&lt; 100 $)"/>
    <s v="&lt; 4 anos"/>
    <s v="Intermediário (1-4 anos)"/>
    <x v="2"/>
    <x v="1"/>
    <s v="divorciada/casada"/>
    <x v="0"/>
    <n v="4"/>
    <s v="poupança ou seguro de vida"/>
    <n v="20"/>
    <x v="1"/>
    <s v="nenhum"/>
    <x v="2"/>
    <n v="1"/>
    <x v="1"/>
    <n v="1"/>
    <s v="sim"/>
    <x v="0"/>
    <n v="2"/>
  </r>
  <r>
    <n v="595"/>
    <x v="1"/>
    <s v="&lt; 0 $"/>
    <s v="negativo/devedor"/>
    <x v="4"/>
    <x v="4"/>
    <x v="8"/>
    <n v="1358"/>
    <s v="sem poupança"/>
    <s v="sem poupança"/>
    <s v="&gt;= 7 anos"/>
    <s v="Muito Estável (&gt; 7 anos)"/>
    <x v="0"/>
    <x v="0"/>
    <s v="solteiro"/>
    <x v="0"/>
    <n v="3"/>
    <s v="carro ou outros-quitado"/>
    <n v="40"/>
    <x v="2"/>
    <s v="loja"/>
    <x v="0"/>
    <n v="1"/>
    <x v="2"/>
    <n v="1"/>
    <s v="sim"/>
    <x v="0"/>
    <n v="2"/>
  </r>
  <r>
    <n v="596"/>
    <x v="1"/>
    <s v="&gt;= 0 &lt; 200 $"/>
    <s v="saldo baixo"/>
    <x v="0"/>
    <x v="4"/>
    <x v="3"/>
    <n v="931"/>
    <s v="&gt;= 100 &lt; 500 $"/>
    <s v="Médio (100-500$)"/>
    <s v="&lt; 1 ano"/>
    <s v="Iniciante (&lt; 1 ano)"/>
    <x v="3"/>
    <x v="1"/>
    <s v="divorciada/casada"/>
    <x v="0"/>
    <n v="1"/>
    <s v="poupança ou seguro de vida"/>
    <n v="32"/>
    <x v="3"/>
    <s v="loja"/>
    <x v="0"/>
    <n v="1"/>
    <x v="1"/>
    <n v="1"/>
    <s v="não"/>
    <x v="0"/>
    <n v="2"/>
  </r>
  <r>
    <n v="597"/>
    <x v="1"/>
    <s v="&lt; 0 $"/>
    <s v="negativo/devedor"/>
    <x v="4"/>
    <x v="1"/>
    <x v="3"/>
    <n v="1442"/>
    <s v="&lt; 100 $"/>
    <s v="Baixo (&lt; 100 $)"/>
    <s v="&lt; 7 anos"/>
    <s v="Estável (4-7 anos)"/>
    <x v="0"/>
    <x v="1"/>
    <s v="divorciada/casada"/>
    <x v="0"/>
    <n v="4"/>
    <s v="carro ou outros-quitado"/>
    <n v="23"/>
    <x v="1"/>
    <s v="nenhum"/>
    <x v="2"/>
    <n v="2"/>
    <x v="0"/>
    <n v="1"/>
    <s v="não"/>
    <x v="0"/>
    <n v="2"/>
  </r>
  <r>
    <n v="598"/>
    <x v="1"/>
    <s v="&gt;= 0 &lt; 200 $"/>
    <s v="saldo baixo"/>
    <x v="4"/>
    <x v="3"/>
    <x v="5"/>
    <n v="4241"/>
    <s v="&lt; 100 $"/>
    <s v="Baixo (&lt; 100 $)"/>
    <s v="&lt; 4 anos"/>
    <s v="Intermediário (1-4 anos)"/>
    <x v="3"/>
    <x v="0"/>
    <s v="solteiro"/>
    <x v="0"/>
    <n v="4"/>
    <s v="imovel"/>
    <n v="36"/>
    <x v="3"/>
    <s v="nenhum"/>
    <x v="0"/>
    <n v="3"/>
    <x v="1"/>
    <n v="1"/>
    <s v="sim"/>
    <x v="0"/>
    <n v="2"/>
  </r>
  <r>
    <n v="599"/>
    <x v="1"/>
    <s v="sem conta corrente"/>
    <s v="sem conta no banco"/>
    <x v="12"/>
    <x v="0"/>
    <x v="3"/>
    <n v="2775"/>
    <s v="&lt; 100 $"/>
    <s v="Baixo (&lt; 100 $)"/>
    <s v="&lt; 7 anos"/>
    <s v="Estável (4-7 anos)"/>
    <x v="1"/>
    <x v="0"/>
    <s v="solteiro"/>
    <x v="0"/>
    <n v="2"/>
    <s v="poupança ou seguro de vida"/>
    <n v="31"/>
    <x v="3"/>
    <s v="banco"/>
    <x v="0"/>
    <n v="2"/>
    <x v="0"/>
    <n v="1"/>
    <s v="não"/>
    <x v="0"/>
    <n v="2"/>
  </r>
  <r>
    <n v="600"/>
    <x v="0"/>
    <s v="sem conta corrente"/>
    <s v="sem conta no banco"/>
    <x v="4"/>
    <x v="2"/>
    <x v="5"/>
    <n v="3863"/>
    <s v="&lt; 100 $"/>
    <s v="Baixo (&lt; 100 $)"/>
    <s v="&lt; 4 anos"/>
    <s v="Intermediário (1-4 anos)"/>
    <x v="3"/>
    <x v="0"/>
    <s v="solteiro"/>
    <x v="0"/>
    <n v="2"/>
    <s v="sem bens"/>
    <n v="32"/>
    <x v="3"/>
    <s v="nenhum"/>
    <x v="1"/>
    <n v="1"/>
    <x v="0"/>
    <n v="1"/>
    <s v="não"/>
    <x v="0"/>
    <n v="1"/>
  </r>
  <r>
    <n v="601"/>
    <x v="0"/>
    <s v="&gt;= 0 &lt; 200 $"/>
    <s v="saldo baixo"/>
    <x v="10"/>
    <x v="1"/>
    <x v="0"/>
    <n v="2329"/>
    <s v="&lt; 100 $"/>
    <s v="Baixo (&lt; 100 $)"/>
    <s v="&lt; 1 ano"/>
    <s v="Iniciante (&lt; 1 ano)"/>
    <x v="3"/>
    <x v="1"/>
    <s v="divorciada/casada"/>
    <x v="1"/>
    <n v="1"/>
    <s v="imovel"/>
    <n v="45"/>
    <x v="2"/>
    <s v="nenhum"/>
    <x v="0"/>
    <n v="1"/>
    <x v="0"/>
    <n v="1"/>
    <s v="não"/>
    <x v="0"/>
    <n v="1"/>
  </r>
  <r>
    <n v="602"/>
    <x v="1"/>
    <s v="&gt;= 0 &lt; 200 $"/>
    <s v="saldo baixo"/>
    <x v="8"/>
    <x v="1"/>
    <x v="2"/>
    <n v="918"/>
    <s v="&lt; 100 $"/>
    <s v="Baixo (&lt; 100 $)"/>
    <s v="&lt; 4 anos"/>
    <s v="Intermediário (1-4 anos)"/>
    <x v="0"/>
    <x v="1"/>
    <s v="divorciada/casada"/>
    <x v="0"/>
    <n v="1"/>
    <s v="poupança ou seguro de vida"/>
    <n v="30"/>
    <x v="3"/>
    <s v="nenhum"/>
    <x v="0"/>
    <n v="1"/>
    <x v="0"/>
    <n v="1"/>
    <s v="não"/>
    <x v="0"/>
    <n v="2"/>
  </r>
  <r>
    <n v="603"/>
    <x v="1"/>
    <s v="&gt;= 0 &lt; 200 $"/>
    <s v="saldo baixo"/>
    <x v="4"/>
    <x v="4"/>
    <x v="1"/>
    <n v="1837"/>
    <s v="&lt; 100 $"/>
    <s v="Baixo (&lt; 100 $)"/>
    <s v="&lt; 7 anos"/>
    <s v="Estável (4-7 anos)"/>
    <x v="0"/>
    <x v="1"/>
    <s v="divorciada/casada"/>
    <x v="0"/>
    <n v="4"/>
    <s v="sem bens"/>
    <n v="34"/>
    <x v="3"/>
    <s v="banco"/>
    <x v="1"/>
    <n v="1"/>
    <x v="1"/>
    <n v="1"/>
    <s v="não"/>
    <x v="0"/>
    <n v="2"/>
  </r>
  <r>
    <n v="604"/>
    <x v="1"/>
    <s v="sem conta corrente"/>
    <s v="sem conta no banco"/>
    <x v="5"/>
    <x v="1"/>
    <x v="2"/>
    <n v="3349"/>
    <s v="&lt; 100 $"/>
    <s v="Baixo (&lt; 100 $)"/>
    <s v="&lt; 4 anos"/>
    <s v="Intermediário (1-4 anos)"/>
    <x v="0"/>
    <x v="1"/>
    <s v="divorciada/casada"/>
    <x v="0"/>
    <n v="2"/>
    <s v="carro ou outros-quitado"/>
    <n v="28"/>
    <x v="3"/>
    <s v="nenhum"/>
    <x v="0"/>
    <n v="1"/>
    <x v="2"/>
    <n v="1"/>
    <s v="sim"/>
    <x v="0"/>
    <n v="2"/>
  </r>
  <r>
    <n v="605"/>
    <x v="0"/>
    <s v="&gt;= 200 $"/>
    <s v="saldo saudável"/>
    <x v="9"/>
    <x v="1"/>
    <x v="2"/>
    <n v="1275"/>
    <s v="&lt; 100 $"/>
    <s v="Baixo (&lt; 100 $)"/>
    <s v="&lt; 1 ano"/>
    <s v="Iniciante (&lt; 1 ano)"/>
    <x v="0"/>
    <x v="1"/>
    <s v="divorciada/casada"/>
    <x v="0"/>
    <n v="2"/>
    <s v="poupança ou seguro de vida"/>
    <n v="23"/>
    <x v="1"/>
    <s v="nenhum"/>
    <x v="0"/>
    <n v="1"/>
    <x v="0"/>
    <n v="1"/>
    <s v="não"/>
    <x v="0"/>
    <n v="1"/>
  </r>
  <r>
    <n v="606"/>
    <x v="0"/>
    <s v="&lt; 0 $"/>
    <s v="negativo/devedor"/>
    <x v="4"/>
    <x v="4"/>
    <x v="2"/>
    <n v="2828"/>
    <s v="&gt;= 500 &lt; 1000 $"/>
    <s v="Alto (500-1000 $)"/>
    <s v="&lt; 4 anos"/>
    <s v="Intermediário (1-4 anos)"/>
    <x v="0"/>
    <x v="0"/>
    <s v="solteiro"/>
    <x v="0"/>
    <n v="4"/>
    <s v="imovel"/>
    <n v="22"/>
    <x v="1"/>
    <s v="loja"/>
    <x v="0"/>
    <n v="1"/>
    <x v="0"/>
    <n v="1"/>
    <s v="sim"/>
    <x v="0"/>
    <n v="1"/>
  </r>
  <r>
    <n v="607"/>
    <x v="0"/>
    <s v="sem conta corrente"/>
    <s v="sem conta no banco"/>
    <x v="4"/>
    <x v="0"/>
    <x v="5"/>
    <n v="4526"/>
    <s v="&lt; 100 $"/>
    <s v="Baixo (&lt; 100 $)"/>
    <s v="&lt; 4 anos"/>
    <s v="Intermediário (1-4 anos)"/>
    <x v="2"/>
    <x v="0"/>
    <s v="solteiro"/>
    <x v="0"/>
    <n v="2"/>
    <s v="imovel"/>
    <n v="74"/>
    <x v="0"/>
    <s v="nenhum"/>
    <x v="0"/>
    <n v="1"/>
    <x v="2"/>
    <n v="1"/>
    <s v="sim"/>
    <x v="0"/>
    <n v="1"/>
  </r>
  <r>
    <n v="608"/>
    <x v="1"/>
    <s v="&gt;= 0 &lt; 200 $"/>
    <s v="saldo baixo"/>
    <x v="5"/>
    <x v="1"/>
    <x v="0"/>
    <n v="2671"/>
    <s v="&gt;= 100 &lt; 500 $"/>
    <s v="Médio (100-500$)"/>
    <s v="&lt; 4 anos"/>
    <s v="Intermediário (1-4 anos)"/>
    <x v="0"/>
    <x v="1"/>
    <s v="divorciada/casada"/>
    <x v="2"/>
    <n v="4"/>
    <s v="sem bens"/>
    <n v="50"/>
    <x v="2"/>
    <s v="nenhum"/>
    <x v="1"/>
    <n v="1"/>
    <x v="0"/>
    <n v="1"/>
    <s v="não"/>
    <x v="0"/>
    <n v="2"/>
  </r>
  <r>
    <n v="609"/>
    <x v="0"/>
    <s v="sem conta corrente"/>
    <s v="sem conta no banco"/>
    <x v="12"/>
    <x v="1"/>
    <x v="0"/>
    <n v="2051"/>
    <s v="&lt; 100 $"/>
    <s v="Baixo (&lt; 100 $)"/>
    <s v="&lt; 1 ano"/>
    <s v="Iniciante (&lt; 1 ano)"/>
    <x v="0"/>
    <x v="0"/>
    <s v="solteiro"/>
    <x v="0"/>
    <n v="1"/>
    <s v="imovel"/>
    <n v="33"/>
    <x v="3"/>
    <s v="nenhum"/>
    <x v="0"/>
    <n v="1"/>
    <x v="0"/>
    <n v="1"/>
    <s v="não"/>
    <x v="0"/>
    <n v="1"/>
  </r>
  <r>
    <n v="610"/>
    <x v="0"/>
    <s v="sem conta corrente"/>
    <s v="sem conta no banco"/>
    <x v="7"/>
    <x v="1"/>
    <x v="4"/>
    <n v="1300"/>
    <s v="sem poupança"/>
    <s v="sem poupança"/>
    <s v="&gt;= 7 anos"/>
    <s v="Muito Estável (&gt; 7 anos)"/>
    <x v="0"/>
    <x v="0"/>
    <s v="solteiro"/>
    <x v="0"/>
    <n v="4"/>
    <s v="sem bens"/>
    <n v="45"/>
    <x v="2"/>
    <s v="banco"/>
    <x v="1"/>
    <n v="1"/>
    <x v="0"/>
    <n v="2"/>
    <s v="não"/>
    <x v="0"/>
    <n v="1"/>
  </r>
  <r>
    <n v="611"/>
    <x v="1"/>
    <s v="&lt; 0 $"/>
    <s v="negativo/devedor"/>
    <x v="2"/>
    <x v="1"/>
    <x v="6"/>
    <n v="741"/>
    <s v="&gt;= 100 &lt; 500 $"/>
    <s v="Médio (100-500$)"/>
    <s v="desempregado"/>
    <s v="desempregado"/>
    <x v="0"/>
    <x v="1"/>
    <s v="divorciada/casada"/>
    <x v="0"/>
    <n v="3"/>
    <s v="poupança ou seguro de vida"/>
    <n v="22"/>
    <x v="1"/>
    <s v="nenhum"/>
    <x v="0"/>
    <n v="1"/>
    <x v="0"/>
    <n v="1"/>
    <s v="não"/>
    <x v="0"/>
    <n v="2"/>
  </r>
  <r>
    <n v="612"/>
    <x v="1"/>
    <s v="&gt;= 200 $"/>
    <s v="saldo saudável"/>
    <x v="9"/>
    <x v="1"/>
    <x v="3"/>
    <n v="1240"/>
    <s v="&gt;= 100 &lt; 500 $"/>
    <s v="Médio (100-500$)"/>
    <s v="&gt;= 7 anos"/>
    <s v="Muito Estável (&gt; 7 anos)"/>
    <x v="3"/>
    <x v="1"/>
    <s v="divorciada/casada"/>
    <x v="0"/>
    <n v="4"/>
    <s v="sem bens"/>
    <n v="48"/>
    <x v="2"/>
    <s v="nenhum"/>
    <x v="1"/>
    <n v="1"/>
    <x v="1"/>
    <n v="2"/>
    <s v="não"/>
    <x v="0"/>
    <n v="2"/>
  </r>
  <r>
    <n v="613"/>
    <x v="0"/>
    <s v="&lt; 0 $"/>
    <s v="negativo/devedor"/>
    <x v="21"/>
    <x v="1"/>
    <x v="0"/>
    <n v="3357"/>
    <s v="&gt;= 1000 $"/>
    <s v="Muito alto (&gt;1000$)"/>
    <s v="&lt; 1 ano"/>
    <s v="Iniciante (&lt; 1 ano)"/>
    <x v="0"/>
    <x v="1"/>
    <s v="divorciada/casada"/>
    <x v="0"/>
    <n v="2"/>
    <s v="carro ou outros-quitado"/>
    <n v="29"/>
    <x v="3"/>
    <s v="banco"/>
    <x v="0"/>
    <n v="1"/>
    <x v="0"/>
    <n v="1"/>
    <s v="não"/>
    <x v="0"/>
    <n v="1"/>
  </r>
  <r>
    <n v="614"/>
    <x v="0"/>
    <s v="&lt; 0 $"/>
    <s v="negativo/devedor"/>
    <x v="4"/>
    <x v="4"/>
    <x v="4"/>
    <n v="3632"/>
    <s v="&lt; 100 $"/>
    <s v="Baixo (&lt; 100 $)"/>
    <s v="&lt; 4 anos"/>
    <s v="Intermediário (1-4 anos)"/>
    <x v="3"/>
    <x v="1"/>
    <s v="divorciada/casada"/>
    <x v="1"/>
    <n v="4"/>
    <s v="carro ou outros-quitado"/>
    <n v="22"/>
    <x v="1"/>
    <s v="banco"/>
    <x v="2"/>
    <n v="1"/>
    <x v="0"/>
    <n v="1"/>
    <s v="não"/>
    <x v="1"/>
    <n v="1"/>
  </r>
  <r>
    <n v="615"/>
    <x v="1"/>
    <s v="sem conta corrente"/>
    <s v="sem conta no banco"/>
    <x v="12"/>
    <x v="2"/>
    <x v="2"/>
    <n v="1808"/>
    <s v="&lt; 100 $"/>
    <s v="Baixo (&lt; 100 $)"/>
    <s v="&lt; 7 anos"/>
    <s v="Estável (4-7 anos)"/>
    <x v="0"/>
    <x v="1"/>
    <s v="divorciada/casada"/>
    <x v="0"/>
    <n v="1"/>
    <s v="imovel"/>
    <n v="22"/>
    <x v="1"/>
    <s v="nenhum"/>
    <x v="0"/>
    <n v="1"/>
    <x v="0"/>
    <n v="1"/>
    <s v="não"/>
    <x v="0"/>
    <n v="2"/>
  </r>
  <r>
    <n v="616"/>
    <x v="0"/>
    <s v="&gt;= 0 &lt; 200 $"/>
    <s v="saldo baixo"/>
    <x v="1"/>
    <x v="3"/>
    <x v="5"/>
    <n v="12204"/>
    <s v="sem poupança"/>
    <s v="sem poupança"/>
    <s v="&lt; 4 anos"/>
    <s v="Intermediário (1-4 anos)"/>
    <x v="1"/>
    <x v="0"/>
    <s v="solteiro"/>
    <x v="0"/>
    <n v="2"/>
    <s v="carro ou outros-quitado"/>
    <n v="48"/>
    <x v="2"/>
    <s v="banco"/>
    <x v="0"/>
    <n v="1"/>
    <x v="2"/>
    <n v="1"/>
    <s v="sim"/>
    <x v="0"/>
    <n v="1"/>
  </r>
  <r>
    <n v="617"/>
    <x v="0"/>
    <s v="&gt;= 0 &lt; 200 $"/>
    <s v="saldo baixo"/>
    <x v="11"/>
    <x v="2"/>
    <x v="0"/>
    <n v="9157"/>
    <s v="sem poupança"/>
    <s v="sem poupança"/>
    <s v="&lt; 4 anos"/>
    <s v="Intermediário (1-4 anos)"/>
    <x v="1"/>
    <x v="0"/>
    <s v="solteiro"/>
    <x v="0"/>
    <n v="2"/>
    <s v="sem bens"/>
    <n v="27"/>
    <x v="3"/>
    <s v="nenhum"/>
    <x v="1"/>
    <n v="1"/>
    <x v="2"/>
    <n v="1"/>
    <s v="não"/>
    <x v="0"/>
    <n v="1"/>
  </r>
  <r>
    <n v="618"/>
    <x v="0"/>
    <s v="&lt; 0 $"/>
    <s v="negativo/devedor"/>
    <x v="0"/>
    <x v="0"/>
    <x v="3"/>
    <n v="3676"/>
    <s v="&lt; 100 $"/>
    <s v="Baixo (&lt; 100 $)"/>
    <s v="&lt; 4 anos"/>
    <s v="Intermediário (1-4 anos)"/>
    <x v="3"/>
    <x v="0"/>
    <s v="solteiro"/>
    <x v="0"/>
    <n v="3"/>
    <s v="imovel"/>
    <n v="37"/>
    <x v="3"/>
    <s v="nenhum"/>
    <x v="2"/>
    <n v="3"/>
    <x v="0"/>
    <n v="2"/>
    <s v="não"/>
    <x v="0"/>
    <n v="1"/>
  </r>
  <r>
    <n v="619"/>
    <x v="1"/>
    <s v="&gt;= 0 &lt; 200 $"/>
    <s v="saldo baixo"/>
    <x v="6"/>
    <x v="1"/>
    <x v="2"/>
    <n v="3441"/>
    <s v="&gt;= 100 &lt; 500 $"/>
    <s v="Médio (100-500$)"/>
    <s v="&lt; 4 anos"/>
    <s v="Intermediário (1-4 anos)"/>
    <x v="1"/>
    <x v="1"/>
    <s v="divorciada/casada"/>
    <x v="2"/>
    <n v="4"/>
    <s v="carro ou outros-quitado"/>
    <n v="21"/>
    <x v="1"/>
    <s v="nenhum"/>
    <x v="2"/>
    <n v="1"/>
    <x v="0"/>
    <n v="1"/>
    <s v="não"/>
    <x v="0"/>
    <n v="2"/>
  </r>
  <r>
    <n v="620"/>
    <x v="0"/>
    <s v="sem conta corrente"/>
    <s v="sem conta no banco"/>
    <x v="2"/>
    <x v="1"/>
    <x v="3"/>
    <n v="640"/>
    <s v="&lt; 100 $"/>
    <s v="Baixo (&lt; 100 $)"/>
    <s v="&lt; 4 anos"/>
    <s v="Intermediário (1-4 anos)"/>
    <x v="0"/>
    <x v="0"/>
    <s v="divorciado"/>
    <x v="0"/>
    <n v="2"/>
    <s v="imovel"/>
    <n v="49"/>
    <x v="2"/>
    <s v="nenhum"/>
    <x v="0"/>
    <n v="1"/>
    <x v="1"/>
    <n v="1"/>
    <s v="não"/>
    <x v="0"/>
    <n v="1"/>
  </r>
  <r>
    <n v="621"/>
    <x v="0"/>
    <s v="&gt;= 0 &lt; 200 $"/>
    <s v="saldo baixo"/>
    <x v="21"/>
    <x v="0"/>
    <x v="5"/>
    <n v="3652"/>
    <s v="&lt; 100 $"/>
    <s v="Baixo (&lt; 100 $)"/>
    <s v="&lt; 7 anos"/>
    <s v="Estável (4-7 anos)"/>
    <x v="1"/>
    <x v="0"/>
    <s v="solteiro"/>
    <x v="0"/>
    <n v="3"/>
    <s v="poupança ou seguro de vida"/>
    <n v="27"/>
    <x v="3"/>
    <s v="nenhum"/>
    <x v="0"/>
    <n v="2"/>
    <x v="0"/>
    <n v="1"/>
    <s v="não"/>
    <x v="0"/>
    <n v="1"/>
  </r>
  <r>
    <n v="622"/>
    <x v="1"/>
    <s v="sem conta corrente"/>
    <s v="sem conta no banco"/>
    <x v="12"/>
    <x v="0"/>
    <x v="3"/>
    <n v="1530"/>
    <s v="&lt; 100 $"/>
    <s v="Baixo (&lt; 100 $)"/>
    <s v="&lt; 4 anos"/>
    <s v="Intermediário (1-4 anos)"/>
    <x v="2"/>
    <x v="0"/>
    <s v="solteiro"/>
    <x v="0"/>
    <n v="2"/>
    <s v="poupança ou seguro de vida"/>
    <n v="32"/>
    <x v="3"/>
    <s v="banco"/>
    <x v="0"/>
    <n v="2"/>
    <x v="0"/>
    <n v="1"/>
    <s v="não"/>
    <x v="0"/>
    <n v="2"/>
  </r>
  <r>
    <n v="623"/>
    <x v="1"/>
    <s v="sem conta corrente"/>
    <s v="sem conta no banco"/>
    <x v="1"/>
    <x v="1"/>
    <x v="5"/>
    <n v="3914"/>
    <s v="sem poupança"/>
    <s v="sem poupança"/>
    <s v="&lt; 4 anos"/>
    <s v="Intermediário (1-4 anos)"/>
    <x v="0"/>
    <x v="0"/>
    <s v="divorciado"/>
    <x v="0"/>
    <n v="2"/>
    <s v="imovel"/>
    <n v="38"/>
    <x v="3"/>
    <s v="banco"/>
    <x v="0"/>
    <n v="1"/>
    <x v="0"/>
    <n v="1"/>
    <s v="não"/>
    <x v="0"/>
    <n v="2"/>
  </r>
  <r>
    <n v="624"/>
    <x v="0"/>
    <s v="&lt; 0 $"/>
    <s v="negativo/devedor"/>
    <x v="2"/>
    <x v="1"/>
    <x v="2"/>
    <n v="1858"/>
    <s v="&lt; 100 $"/>
    <s v="Baixo (&lt; 100 $)"/>
    <s v="&lt; 1 ano"/>
    <s v="Iniciante (&lt; 1 ano)"/>
    <x v="0"/>
    <x v="1"/>
    <s v="divorciada/casada"/>
    <x v="0"/>
    <n v="1"/>
    <s v="carro ou outros-quitado"/>
    <n v="22"/>
    <x v="1"/>
    <s v="nenhum"/>
    <x v="2"/>
    <n v="1"/>
    <x v="0"/>
    <n v="1"/>
    <s v="não"/>
    <x v="0"/>
    <n v="1"/>
  </r>
  <r>
    <n v="625"/>
    <x v="1"/>
    <s v="&lt; 0 $"/>
    <s v="negativo/devedor"/>
    <x v="12"/>
    <x v="1"/>
    <x v="0"/>
    <n v="2600"/>
    <s v="&lt; 100 $"/>
    <s v="Baixo (&lt; 100 $)"/>
    <s v="&lt; 4 anos"/>
    <s v="Intermediário (1-4 anos)"/>
    <x v="0"/>
    <x v="0"/>
    <s v="solteiro"/>
    <x v="0"/>
    <n v="4"/>
    <s v="sem bens"/>
    <n v="65"/>
    <x v="0"/>
    <s v="nenhum"/>
    <x v="1"/>
    <n v="2"/>
    <x v="0"/>
    <n v="1"/>
    <s v="não"/>
    <x v="0"/>
    <n v="2"/>
  </r>
  <r>
    <n v="626"/>
    <x v="0"/>
    <s v="sem conta corrente"/>
    <s v="sem conta no banco"/>
    <x v="7"/>
    <x v="1"/>
    <x v="0"/>
    <n v="1979"/>
    <s v="sem poupança"/>
    <s v="sem poupança"/>
    <s v="&gt;= 7 anos"/>
    <s v="Muito Estável (&gt; 7 anos)"/>
    <x v="0"/>
    <x v="0"/>
    <s v="solteiro"/>
    <x v="0"/>
    <n v="2"/>
    <s v="carro ou outros-quitado"/>
    <n v="35"/>
    <x v="3"/>
    <s v="nenhum"/>
    <x v="0"/>
    <n v="1"/>
    <x v="0"/>
    <n v="1"/>
    <s v="não"/>
    <x v="0"/>
    <n v="1"/>
  </r>
  <r>
    <n v="627"/>
    <x v="0"/>
    <s v="&gt;= 200 $"/>
    <s v="saldo saudável"/>
    <x v="0"/>
    <x v="1"/>
    <x v="2"/>
    <n v="2116"/>
    <s v="&lt; 100 $"/>
    <s v="Baixo (&lt; 100 $)"/>
    <s v="&lt; 4 anos"/>
    <s v="Intermediário (1-4 anos)"/>
    <x v="1"/>
    <x v="0"/>
    <s v="solteiro"/>
    <x v="0"/>
    <n v="2"/>
    <s v="imovel"/>
    <n v="41"/>
    <x v="2"/>
    <s v="nenhum"/>
    <x v="0"/>
    <n v="1"/>
    <x v="0"/>
    <n v="1"/>
    <s v="sim"/>
    <x v="0"/>
    <n v="1"/>
  </r>
  <r>
    <n v="628"/>
    <x v="1"/>
    <s v="&gt;= 0 &lt; 200 $"/>
    <s v="saldo baixo"/>
    <x v="8"/>
    <x v="4"/>
    <x v="3"/>
    <n v="1437"/>
    <s v="&gt;= 100 &lt; 500 $"/>
    <s v="Médio (100-500$)"/>
    <s v="&lt; 7 anos"/>
    <s v="Estável (4-7 anos)"/>
    <x v="1"/>
    <x v="0"/>
    <s v="solteiro"/>
    <x v="0"/>
    <n v="3"/>
    <s v="sem bens"/>
    <n v="29"/>
    <x v="3"/>
    <s v="nenhum"/>
    <x v="0"/>
    <n v="1"/>
    <x v="0"/>
    <n v="1"/>
    <s v="não"/>
    <x v="0"/>
    <n v="2"/>
  </r>
  <r>
    <n v="629"/>
    <x v="0"/>
    <s v="sem conta corrente"/>
    <s v="sem conta no banco"/>
    <x v="3"/>
    <x v="0"/>
    <x v="2"/>
    <n v="4042"/>
    <s v="&gt;= 500 &lt; 1000 $"/>
    <s v="Alto (500-1000 $)"/>
    <s v="&lt; 4 anos"/>
    <s v="Intermediário (1-4 anos)"/>
    <x v="0"/>
    <x v="0"/>
    <s v="solteiro"/>
    <x v="0"/>
    <n v="4"/>
    <s v="imovel"/>
    <n v="36"/>
    <x v="3"/>
    <s v="nenhum"/>
    <x v="0"/>
    <n v="2"/>
    <x v="0"/>
    <n v="1"/>
    <s v="sim"/>
    <x v="0"/>
    <n v="1"/>
  </r>
  <r>
    <n v="630"/>
    <x v="0"/>
    <s v="sem conta corrente"/>
    <s v="sem conta no banco"/>
    <x v="8"/>
    <x v="1"/>
    <x v="1"/>
    <n v="3832"/>
    <s v="sem poupança"/>
    <s v="sem poupança"/>
    <s v="&gt;= 7 anos"/>
    <s v="Muito Estável (&gt; 7 anos)"/>
    <x v="3"/>
    <x v="0"/>
    <s v="solteiro"/>
    <x v="0"/>
    <n v="4"/>
    <s v="imovel"/>
    <n v="64"/>
    <x v="0"/>
    <s v="nenhum"/>
    <x v="0"/>
    <n v="1"/>
    <x v="1"/>
    <n v="1"/>
    <s v="não"/>
    <x v="0"/>
    <n v="1"/>
  </r>
  <r>
    <n v="631"/>
    <x v="0"/>
    <s v="&lt; 0 $"/>
    <s v="negativo/devedor"/>
    <x v="4"/>
    <x v="1"/>
    <x v="0"/>
    <n v="3660"/>
    <s v="&lt; 100 $"/>
    <s v="Baixo (&lt; 100 $)"/>
    <s v="&lt; 4 anos"/>
    <s v="Intermediário (1-4 anos)"/>
    <x v="1"/>
    <x v="1"/>
    <s v="divorciada/casada"/>
    <x v="0"/>
    <n v="4"/>
    <s v="carro ou outros-quitado"/>
    <n v="28"/>
    <x v="3"/>
    <s v="nenhum"/>
    <x v="0"/>
    <n v="1"/>
    <x v="0"/>
    <n v="1"/>
    <s v="não"/>
    <x v="0"/>
    <n v="1"/>
  </r>
  <r>
    <n v="632"/>
    <x v="1"/>
    <s v="&lt; 0 $"/>
    <s v="negativo/devedor"/>
    <x v="12"/>
    <x v="4"/>
    <x v="2"/>
    <n v="1553"/>
    <s v="&lt; 100 $"/>
    <s v="Baixo (&lt; 100 $)"/>
    <s v="&lt; 4 anos"/>
    <s v="Intermediário (1-4 anos)"/>
    <x v="0"/>
    <x v="0"/>
    <s v="solteiro"/>
    <x v="0"/>
    <n v="3"/>
    <s v="carro ou outros-quitado"/>
    <n v="44"/>
    <x v="2"/>
    <s v="banco"/>
    <x v="0"/>
    <n v="1"/>
    <x v="0"/>
    <n v="1"/>
    <s v="não"/>
    <x v="0"/>
    <n v="2"/>
  </r>
  <r>
    <n v="633"/>
    <x v="0"/>
    <s v="&gt;= 0 &lt; 200 $"/>
    <s v="saldo baixo"/>
    <x v="7"/>
    <x v="1"/>
    <x v="0"/>
    <n v="1444"/>
    <s v="sem poupança"/>
    <s v="sem poupança"/>
    <s v="&lt; 1 ano"/>
    <s v="Iniciante (&lt; 1 ano)"/>
    <x v="0"/>
    <x v="0"/>
    <s v="solteiro"/>
    <x v="0"/>
    <n v="1"/>
    <s v="poupança ou seguro de vida"/>
    <n v="23"/>
    <x v="1"/>
    <s v="nenhum"/>
    <x v="0"/>
    <n v="1"/>
    <x v="0"/>
    <n v="1"/>
    <s v="não"/>
    <x v="0"/>
    <n v="1"/>
  </r>
  <r>
    <n v="634"/>
    <x v="1"/>
    <s v="sem conta corrente"/>
    <s v="sem conta no banco"/>
    <x v="8"/>
    <x v="1"/>
    <x v="2"/>
    <n v="1980"/>
    <s v="&lt; 100 $"/>
    <s v="Baixo (&lt; 100 $)"/>
    <s v="&lt; 1 ano"/>
    <s v="Iniciante (&lt; 1 ano)"/>
    <x v="1"/>
    <x v="1"/>
    <s v="divorciada/casada"/>
    <x v="2"/>
    <n v="2"/>
    <s v="carro ou outros-quitado"/>
    <n v="19"/>
    <x v="1"/>
    <s v="nenhum"/>
    <x v="2"/>
    <n v="2"/>
    <x v="0"/>
    <n v="1"/>
    <s v="não"/>
    <x v="0"/>
    <n v="2"/>
  </r>
  <r>
    <n v="635"/>
    <x v="1"/>
    <s v="&gt;= 0 &lt; 200 $"/>
    <s v="saldo baixo"/>
    <x v="4"/>
    <x v="1"/>
    <x v="3"/>
    <n v="1355"/>
    <s v="&lt; 100 $"/>
    <s v="Baixo (&lt; 100 $)"/>
    <s v="&lt; 1 ano"/>
    <s v="Iniciante (&lt; 1 ano)"/>
    <x v="2"/>
    <x v="1"/>
    <s v="divorciada/casada"/>
    <x v="0"/>
    <n v="4"/>
    <s v="carro ou outros-quitado"/>
    <n v="25"/>
    <x v="3"/>
    <s v="nenhum"/>
    <x v="0"/>
    <n v="1"/>
    <x v="1"/>
    <n v="1"/>
    <s v="sim"/>
    <x v="0"/>
    <n v="2"/>
  </r>
  <r>
    <n v="636"/>
    <x v="0"/>
    <s v="sem conta corrente"/>
    <s v="sem conta no banco"/>
    <x v="2"/>
    <x v="1"/>
    <x v="1"/>
    <n v="1393"/>
    <s v="&lt; 100 $"/>
    <s v="Baixo (&lt; 100 $)"/>
    <s v="&gt;= 7 anos"/>
    <s v="Muito Estável (&gt; 7 anos)"/>
    <x v="0"/>
    <x v="0"/>
    <s v="solteiro"/>
    <x v="0"/>
    <n v="4"/>
    <s v="poupança ou seguro de vida"/>
    <n v="47"/>
    <x v="2"/>
    <s v="banco"/>
    <x v="0"/>
    <n v="3"/>
    <x v="0"/>
    <n v="2"/>
    <s v="sim"/>
    <x v="0"/>
    <n v="1"/>
  </r>
  <r>
    <n v="637"/>
    <x v="0"/>
    <s v="sem conta corrente"/>
    <s v="sem conta no banco"/>
    <x v="4"/>
    <x v="1"/>
    <x v="0"/>
    <n v="1376"/>
    <s v="&gt;= 500 &lt; 1000 $"/>
    <s v="Alto (500-1000 $)"/>
    <s v="&lt; 7 anos"/>
    <s v="Estável (4-7 anos)"/>
    <x v="0"/>
    <x v="1"/>
    <s v="divorciada/casada"/>
    <x v="0"/>
    <n v="1"/>
    <s v="carro ou outros-quitado"/>
    <n v="28"/>
    <x v="3"/>
    <s v="nenhum"/>
    <x v="0"/>
    <n v="1"/>
    <x v="0"/>
    <n v="1"/>
    <s v="não"/>
    <x v="0"/>
    <n v="1"/>
  </r>
  <r>
    <n v="638"/>
    <x v="0"/>
    <s v="sem conta corrente"/>
    <s v="sem conta no banco"/>
    <x v="11"/>
    <x v="2"/>
    <x v="0"/>
    <n v="15653"/>
    <s v="&lt; 100 $"/>
    <s v="Baixo (&lt; 100 $)"/>
    <s v="&lt; 7 anos"/>
    <s v="Estável (4-7 anos)"/>
    <x v="1"/>
    <x v="0"/>
    <s v="solteiro"/>
    <x v="0"/>
    <n v="4"/>
    <s v="carro ou outros-quitado"/>
    <n v="21"/>
    <x v="1"/>
    <s v="nenhum"/>
    <x v="0"/>
    <n v="2"/>
    <x v="0"/>
    <n v="1"/>
    <s v="sim"/>
    <x v="0"/>
    <n v="1"/>
  </r>
  <r>
    <n v="639"/>
    <x v="0"/>
    <s v="sem conta corrente"/>
    <s v="sem conta no banco"/>
    <x v="2"/>
    <x v="1"/>
    <x v="0"/>
    <n v="1493"/>
    <s v="&lt; 100 $"/>
    <s v="Baixo (&lt; 100 $)"/>
    <s v="&lt; 1 ano"/>
    <s v="Iniciante (&lt; 1 ano)"/>
    <x v="0"/>
    <x v="1"/>
    <s v="divorciada/casada"/>
    <x v="0"/>
    <n v="3"/>
    <s v="carro ou outros-quitado"/>
    <n v="34"/>
    <x v="3"/>
    <s v="nenhum"/>
    <x v="0"/>
    <n v="1"/>
    <x v="0"/>
    <n v="2"/>
    <s v="não"/>
    <x v="0"/>
    <n v="1"/>
  </r>
  <r>
    <n v="640"/>
    <x v="1"/>
    <s v="&lt; 0 $"/>
    <s v="negativo/devedor"/>
    <x v="3"/>
    <x v="2"/>
    <x v="0"/>
    <n v="4370"/>
    <s v="&lt; 100 $"/>
    <s v="Baixo (&lt; 100 $)"/>
    <s v="&lt; 7 anos"/>
    <s v="Estável (4-7 anos)"/>
    <x v="2"/>
    <x v="0"/>
    <s v="solteiro"/>
    <x v="0"/>
    <n v="2"/>
    <s v="poupança ou seguro de vida"/>
    <n v="26"/>
    <x v="3"/>
    <s v="banco"/>
    <x v="0"/>
    <n v="2"/>
    <x v="0"/>
    <n v="2"/>
    <s v="sim"/>
    <x v="0"/>
    <n v="2"/>
  </r>
  <r>
    <n v="641"/>
    <x v="1"/>
    <s v="&lt; 0 $"/>
    <s v="negativo/devedor"/>
    <x v="12"/>
    <x v="1"/>
    <x v="1"/>
    <n v="750"/>
    <s v="&lt; 100 $"/>
    <s v="Baixo (&lt; 100 $)"/>
    <s v="desempregado"/>
    <s v="desempregado"/>
    <x v="0"/>
    <x v="1"/>
    <s v="divorciada/casada"/>
    <x v="0"/>
    <n v="1"/>
    <s v="imovel"/>
    <n v="27"/>
    <x v="3"/>
    <s v="nenhum"/>
    <x v="0"/>
    <n v="1"/>
    <x v="3"/>
    <n v="1"/>
    <s v="não"/>
    <x v="0"/>
    <n v="2"/>
  </r>
  <r>
    <n v="642"/>
    <x v="0"/>
    <s v="&gt;= 0 &lt; 200 $"/>
    <s v="saldo baixo"/>
    <x v="7"/>
    <x v="1"/>
    <x v="7"/>
    <n v="1308"/>
    <s v="&lt; 100 $"/>
    <s v="Baixo (&lt; 100 $)"/>
    <s v="&gt;= 7 anos"/>
    <s v="Muito Estável (&gt; 7 anos)"/>
    <x v="0"/>
    <x v="0"/>
    <s v="solteiro"/>
    <x v="0"/>
    <n v="4"/>
    <s v="carro ou outros-quitado"/>
    <n v="38"/>
    <x v="3"/>
    <s v="nenhum"/>
    <x v="0"/>
    <n v="2"/>
    <x v="1"/>
    <n v="1"/>
    <s v="não"/>
    <x v="0"/>
    <n v="1"/>
  </r>
  <r>
    <n v="643"/>
    <x v="1"/>
    <s v="sem conta corrente"/>
    <s v="sem conta no banco"/>
    <x v="7"/>
    <x v="1"/>
    <x v="1"/>
    <n v="4623"/>
    <s v="&gt;= 100 &lt; 500 $"/>
    <s v="Médio (100-500$)"/>
    <s v="&lt; 4 anos"/>
    <s v="Intermediário (1-4 anos)"/>
    <x v="2"/>
    <x v="0"/>
    <s v="solteiro"/>
    <x v="0"/>
    <n v="2"/>
    <s v="poupança ou seguro de vida"/>
    <n v="40"/>
    <x v="2"/>
    <s v="nenhum"/>
    <x v="0"/>
    <n v="1"/>
    <x v="2"/>
    <n v="1"/>
    <s v="sim"/>
    <x v="0"/>
    <n v="2"/>
  </r>
  <r>
    <n v="644"/>
    <x v="0"/>
    <s v="sem conta corrente"/>
    <s v="sem conta no banco"/>
    <x v="4"/>
    <x v="0"/>
    <x v="0"/>
    <n v="1851"/>
    <s v="&lt; 100 $"/>
    <s v="Baixo (&lt; 100 $)"/>
    <s v="&lt; 7 anos"/>
    <s v="Estável (4-7 anos)"/>
    <x v="0"/>
    <x v="0"/>
    <s v="casado/viuvo"/>
    <x v="1"/>
    <n v="2"/>
    <s v="carro ou outros-quitado"/>
    <n v="33"/>
    <x v="3"/>
    <s v="nenhum"/>
    <x v="0"/>
    <n v="2"/>
    <x v="0"/>
    <n v="1"/>
    <s v="sim"/>
    <x v="0"/>
    <n v="1"/>
  </r>
  <r>
    <n v="645"/>
    <x v="0"/>
    <s v="&lt; 0 $"/>
    <s v="negativo/devedor"/>
    <x v="12"/>
    <x v="0"/>
    <x v="0"/>
    <n v="1880"/>
    <s v="&lt; 100 $"/>
    <s v="Baixo (&lt; 100 $)"/>
    <s v="&lt; 7 anos"/>
    <s v="Estável (4-7 anos)"/>
    <x v="0"/>
    <x v="0"/>
    <s v="casado/viuvo"/>
    <x v="0"/>
    <n v="1"/>
    <s v="poupança ou seguro de vida"/>
    <n v="32"/>
    <x v="3"/>
    <s v="nenhum"/>
    <x v="0"/>
    <n v="2"/>
    <x v="2"/>
    <n v="1"/>
    <s v="sim"/>
    <x v="0"/>
    <n v="1"/>
  </r>
  <r>
    <n v="646"/>
    <x v="1"/>
    <s v="sem conta corrente"/>
    <s v="sem conta no banco"/>
    <x v="5"/>
    <x v="2"/>
    <x v="5"/>
    <n v="7980"/>
    <s v="sem poupança"/>
    <s v="sem poupança"/>
    <s v="&lt; 1 ano"/>
    <s v="Iniciante (&lt; 1 ano)"/>
    <x v="0"/>
    <x v="0"/>
    <s v="solteiro"/>
    <x v="0"/>
    <n v="4"/>
    <s v="carro ou outros-quitado"/>
    <n v="27"/>
    <x v="3"/>
    <s v="nenhum"/>
    <x v="2"/>
    <n v="2"/>
    <x v="0"/>
    <n v="1"/>
    <s v="sim"/>
    <x v="0"/>
    <n v="2"/>
  </r>
  <r>
    <n v="647"/>
    <x v="0"/>
    <s v="&lt; 0 $"/>
    <s v="negativo/devedor"/>
    <x v="6"/>
    <x v="3"/>
    <x v="2"/>
    <n v="4583"/>
    <s v="&lt; 100 $"/>
    <s v="Baixo (&lt; 100 $)"/>
    <s v="&lt; 4 anos"/>
    <s v="Intermediário (1-4 anos)"/>
    <x v="1"/>
    <x v="0"/>
    <s v="divorciado"/>
    <x v="1"/>
    <n v="2"/>
    <s v="imovel"/>
    <n v="32"/>
    <x v="3"/>
    <s v="nenhum"/>
    <x v="0"/>
    <n v="2"/>
    <x v="0"/>
    <n v="1"/>
    <s v="não"/>
    <x v="0"/>
    <n v="1"/>
  </r>
  <r>
    <n v="648"/>
    <x v="1"/>
    <s v="sem conta corrente"/>
    <s v="sem conta no banco"/>
    <x v="2"/>
    <x v="1"/>
    <x v="3"/>
    <n v="1386"/>
    <s v="&gt;= 500 &lt; 1000 $"/>
    <s v="Alto (500-1000 $)"/>
    <s v="&lt; 4 anos"/>
    <s v="Intermediário (1-4 anos)"/>
    <x v="1"/>
    <x v="1"/>
    <s v="divorciada/casada"/>
    <x v="0"/>
    <n v="2"/>
    <s v="poupança ou seguro de vida"/>
    <n v="26"/>
    <x v="3"/>
    <s v="nenhum"/>
    <x v="0"/>
    <n v="1"/>
    <x v="0"/>
    <n v="1"/>
    <s v="não"/>
    <x v="0"/>
    <n v="2"/>
  </r>
  <r>
    <n v="649"/>
    <x v="1"/>
    <s v="&gt;= 200 $"/>
    <s v="saldo saudável"/>
    <x v="4"/>
    <x v="1"/>
    <x v="3"/>
    <n v="947"/>
    <s v="&lt; 100 $"/>
    <s v="Baixo (&lt; 100 $)"/>
    <s v="&lt; 7 anos"/>
    <s v="Estável (4-7 anos)"/>
    <x v="0"/>
    <x v="0"/>
    <s v="solteiro"/>
    <x v="0"/>
    <n v="3"/>
    <s v="sem bens"/>
    <n v="38"/>
    <x v="3"/>
    <s v="banco"/>
    <x v="1"/>
    <n v="1"/>
    <x v="0"/>
    <n v="2"/>
    <s v="não"/>
    <x v="0"/>
    <n v="2"/>
  </r>
  <r>
    <n v="650"/>
    <x v="1"/>
    <s v="&lt; 0 $"/>
    <s v="negativo/devedor"/>
    <x v="2"/>
    <x v="1"/>
    <x v="1"/>
    <n v="684"/>
    <s v="&lt; 100 $"/>
    <s v="Baixo (&lt; 100 $)"/>
    <s v="&lt; 4 anos"/>
    <s v="Intermediário (1-4 anos)"/>
    <x v="0"/>
    <x v="0"/>
    <s v="solteiro"/>
    <x v="0"/>
    <n v="4"/>
    <s v="carro ou outros-quitado"/>
    <n v="40"/>
    <x v="2"/>
    <s v="nenhum"/>
    <x v="2"/>
    <n v="1"/>
    <x v="1"/>
    <n v="2"/>
    <s v="não"/>
    <x v="0"/>
    <n v="2"/>
  </r>
  <r>
    <n v="651"/>
    <x v="0"/>
    <s v="&lt; 0 $"/>
    <s v="negativo/devedor"/>
    <x v="1"/>
    <x v="1"/>
    <x v="1"/>
    <n v="7476"/>
    <s v="&lt; 100 $"/>
    <s v="Baixo (&lt; 100 $)"/>
    <s v="&lt; 7 anos"/>
    <s v="Estável (4-7 anos)"/>
    <x v="0"/>
    <x v="0"/>
    <s v="solteiro"/>
    <x v="0"/>
    <n v="1"/>
    <s v="sem bens"/>
    <n v="50"/>
    <x v="2"/>
    <s v="nenhum"/>
    <x v="1"/>
    <n v="1"/>
    <x v="2"/>
    <n v="1"/>
    <s v="sim"/>
    <x v="0"/>
    <n v="1"/>
  </r>
  <r>
    <n v="652"/>
    <x v="1"/>
    <s v="&gt;= 0 &lt; 200 $"/>
    <s v="saldo baixo"/>
    <x v="2"/>
    <x v="1"/>
    <x v="2"/>
    <n v="1922"/>
    <s v="&lt; 100 $"/>
    <s v="Baixo (&lt; 100 $)"/>
    <s v="&lt; 4 anos"/>
    <s v="Intermediário (1-4 anos)"/>
    <x v="0"/>
    <x v="0"/>
    <s v="solteiro"/>
    <x v="0"/>
    <n v="2"/>
    <s v="poupança ou seguro de vida"/>
    <n v="37"/>
    <x v="3"/>
    <s v="nenhum"/>
    <x v="0"/>
    <n v="1"/>
    <x v="1"/>
    <n v="1"/>
    <s v="não"/>
    <x v="0"/>
    <n v="2"/>
  </r>
  <r>
    <n v="653"/>
    <x v="1"/>
    <s v="&lt; 0 $"/>
    <s v="negativo/devedor"/>
    <x v="4"/>
    <x v="1"/>
    <x v="3"/>
    <n v="2303"/>
    <s v="&lt; 100 $"/>
    <s v="Baixo (&lt; 100 $)"/>
    <s v="&gt;= 7 anos"/>
    <s v="Muito Estável (&gt; 7 anos)"/>
    <x v="0"/>
    <x v="0"/>
    <s v="solteiro"/>
    <x v="2"/>
    <n v="1"/>
    <s v="imovel"/>
    <n v="45"/>
    <x v="2"/>
    <s v="nenhum"/>
    <x v="0"/>
    <n v="1"/>
    <x v="0"/>
    <n v="1"/>
    <s v="não"/>
    <x v="0"/>
    <n v="2"/>
  </r>
  <r>
    <n v="654"/>
    <x v="1"/>
    <s v="&gt;= 0 &lt; 200 $"/>
    <s v="saldo baixo"/>
    <x v="5"/>
    <x v="2"/>
    <x v="3"/>
    <n v="8086"/>
    <s v="&gt;= 100 &lt; 500 $"/>
    <s v="Médio (100-500$)"/>
    <s v="&gt;= 7 anos"/>
    <s v="Muito Estável (&gt; 7 anos)"/>
    <x v="1"/>
    <x v="0"/>
    <s v="solteiro"/>
    <x v="0"/>
    <n v="4"/>
    <s v="carro ou outros-quitado"/>
    <n v="42"/>
    <x v="2"/>
    <s v="nenhum"/>
    <x v="0"/>
    <n v="4"/>
    <x v="2"/>
    <n v="1"/>
    <s v="sim"/>
    <x v="0"/>
    <n v="2"/>
  </r>
  <r>
    <n v="655"/>
    <x v="0"/>
    <s v="sem conta corrente"/>
    <s v="sem conta no banco"/>
    <x v="4"/>
    <x v="0"/>
    <x v="4"/>
    <n v="2346"/>
    <s v="&lt; 100 $"/>
    <s v="Baixo (&lt; 100 $)"/>
    <s v="&lt; 7 anos"/>
    <s v="Estável (4-7 anos)"/>
    <x v="0"/>
    <x v="0"/>
    <s v="solteiro"/>
    <x v="0"/>
    <n v="3"/>
    <s v="carro ou outros-quitado"/>
    <n v="35"/>
    <x v="3"/>
    <s v="nenhum"/>
    <x v="0"/>
    <n v="2"/>
    <x v="0"/>
    <n v="1"/>
    <s v="sim"/>
    <x v="0"/>
    <n v="1"/>
  </r>
  <r>
    <n v="656"/>
    <x v="0"/>
    <s v="&lt; 0 $"/>
    <s v="negativo/devedor"/>
    <x v="19"/>
    <x v="1"/>
    <x v="3"/>
    <n v="3973"/>
    <s v="&lt; 100 $"/>
    <s v="Baixo (&lt; 100 $)"/>
    <s v="desempregado"/>
    <s v="desempregado"/>
    <x v="3"/>
    <x v="0"/>
    <s v="solteiro"/>
    <x v="0"/>
    <n v="4"/>
    <s v="sem bens"/>
    <n v="22"/>
    <x v="1"/>
    <s v="nenhum"/>
    <x v="1"/>
    <n v="1"/>
    <x v="0"/>
    <n v="1"/>
    <s v="não"/>
    <x v="0"/>
    <n v="1"/>
  </r>
  <r>
    <n v="657"/>
    <x v="1"/>
    <s v="&gt;= 0 &lt; 200 $"/>
    <s v="saldo baixo"/>
    <x v="2"/>
    <x v="1"/>
    <x v="3"/>
    <n v="888"/>
    <s v="&lt; 100 $"/>
    <s v="Baixo (&lt; 100 $)"/>
    <s v="&gt;= 7 anos"/>
    <s v="Muito Estável (&gt; 7 anos)"/>
    <x v="0"/>
    <x v="0"/>
    <s v="solteiro"/>
    <x v="0"/>
    <n v="4"/>
    <s v="carro ou outros-quitado"/>
    <n v="41"/>
    <x v="2"/>
    <s v="banco"/>
    <x v="0"/>
    <n v="1"/>
    <x v="1"/>
    <n v="2"/>
    <s v="não"/>
    <x v="0"/>
    <n v="2"/>
  </r>
  <r>
    <n v="658"/>
    <x v="0"/>
    <s v="sem conta corrente"/>
    <s v="sem conta no banco"/>
    <x v="1"/>
    <x v="1"/>
    <x v="0"/>
    <n v="10222"/>
    <s v="sem poupança"/>
    <s v="sem poupança"/>
    <s v="&lt; 7 anos"/>
    <s v="Estável (4-7 anos)"/>
    <x v="0"/>
    <x v="0"/>
    <s v="solteiro"/>
    <x v="0"/>
    <n v="3"/>
    <s v="carro ou outros-quitado"/>
    <n v="37"/>
    <x v="3"/>
    <s v="loja"/>
    <x v="0"/>
    <n v="1"/>
    <x v="0"/>
    <n v="1"/>
    <s v="sim"/>
    <x v="0"/>
    <n v="1"/>
  </r>
  <r>
    <n v="659"/>
    <x v="0"/>
    <s v="&gt;= 0 &lt; 200 $"/>
    <s v="saldo baixo"/>
    <x v="6"/>
    <x v="3"/>
    <x v="5"/>
    <n v="4221"/>
    <s v="&lt; 100 $"/>
    <s v="Baixo (&lt; 100 $)"/>
    <s v="&lt; 4 anos"/>
    <s v="Intermediário (1-4 anos)"/>
    <x v="1"/>
    <x v="1"/>
    <s v="divorciada/casada"/>
    <x v="0"/>
    <n v="1"/>
    <s v="carro ou outros-quitado"/>
    <n v="28"/>
    <x v="3"/>
    <s v="nenhum"/>
    <x v="0"/>
    <n v="2"/>
    <x v="0"/>
    <n v="1"/>
    <s v="não"/>
    <x v="0"/>
    <n v="1"/>
  </r>
  <r>
    <n v="660"/>
    <x v="0"/>
    <s v="&gt;= 0 &lt; 200 $"/>
    <s v="saldo baixo"/>
    <x v="12"/>
    <x v="0"/>
    <x v="2"/>
    <n v="6361"/>
    <s v="&lt; 100 $"/>
    <s v="Baixo (&lt; 100 $)"/>
    <s v="&gt;= 7 anos"/>
    <s v="Muito Estável (&gt; 7 anos)"/>
    <x v="1"/>
    <x v="0"/>
    <s v="solteiro"/>
    <x v="0"/>
    <n v="1"/>
    <s v="sem bens"/>
    <n v="41"/>
    <x v="2"/>
    <s v="nenhum"/>
    <x v="0"/>
    <n v="1"/>
    <x v="0"/>
    <n v="1"/>
    <s v="sim"/>
    <x v="0"/>
    <n v="1"/>
  </r>
  <r>
    <n v="661"/>
    <x v="0"/>
    <s v="&gt;= 200 $"/>
    <s v="saldo saudável"/>
    <x v="2"/>
    <x v="1"/>
    <x v="0"/>
    <n v="1297"/>
    <s v="&lt; 100 $"/>
    <s v="Baixo (&lt; 100 $)"/>
    <s v="&lt; 4 anos"/>
    <s v="Intermediário (1-4 anos)"/>
    <x v="2"/>
    <x v="0"/>
    <s v="casado/viuvo"/>
    <x v="0"/>
    <n v="4"/>
    <s v="imovel"/>
    <n v="23"/>
    <x v="1"/>
    <s v="nenhum"/>
    <x v="2"/>
    <n v="1"/>
    <x v="0"/>
    <n v="1"/>
    <s v="não"/>
    <x v="0"/>
    <n v="1"/>
  </r>
  <r>
    <n v="662"/>
    <x v="1"/>
    <s v="&lt; 0 $"/>
    <s v="negativo/devedor"/>
    <x v="2"/>
    <x v="1"/>
    <x v="3"/>
    <n v="900"/>
    <s v="sem poupança"/>
    <s v="sem poupança"/>
    <s v="&lt; 4 anos"/>
    <s v="Intermediário (1-4 anos)"/>
    <x v="0"/>
    <x v="0"/>
    <s v="casado/viuvo"/>
    <x v="0"/>
    <n v="2"/>
    <s v="carro ou outros-quitado"/>
    <n v="23"/>
    <x v="1"/>
    <s v="nenhum"/>
    <x v="0"/>
    <n v="1"/>
    <x v="0"/>
    <n v="1"/>
    <s v="não"/>
    <x v="0"/>
    <n v="2"/>
  </r>
  <r>
    <n v="663"/>
    <x v="0"/>
    <s v="sem conta corrente"/>
    <s v="sem conta no banco"/>
    <x v="21"/>
    <x v="1"/>
    <x v="2"/>
    <n v="2241"/>
    <s v="&lt; 100 $"/>
    <s v="Baixo (&lt; 100 $)"/>
    <s v="&gt;= 7 anos"/>
    <s v="Muito Estável (&gt; 7 anos)"/>
    <x v="0"/>
    <x v="0"/>
    <s v="solteiro"/>
    <x v="0"/>
    <n v="2"/>
    <s v="imovel"/>
    <n v="50"/>
    <x v="2"/>
    <s v="nenhum"/>
    <x v="0"/>
    <n v="2"/>
    <x v="0"/>
    <n v="1"/>
    <s v="não"/>
    <x v="0"/>
    <n v="1"/>
  </r>
  <r>
    <n v="664"/>
    <x v="0"/>
    <s v="&gt;= 0 &lt; 200 $"/>
    <s v="saldo baixo"/>
    <x v="0"/>
    <x v="2"/>
    <x v="2"/>
    <n v="1050"/>
    <s v="&lt; 100 $"/>
    <s v="Baixo (&lt; 100 $)"/>
    <s v="desempregado"/>
    <s v="desempregado"/>
    <x v="0"/>
    <x v="0"/>
    <s v="solteiro"/>
    <x v="0"/>
    <n v="1"/>
    <s v="poupança ou seguro de vida"/>
    <n v="35"/>
    <x v="3"/>
    <s v="loja"/>
    <x v="0"/>
    <n v="2"/>
    <x v="2"/>
    <n v="1"/>
    <s v="sim"/>
    <x v="0"/>
    <n v="1"/>
  </r>
  <r>
    <n v="665"/>
    <x v="0"/>
    <s v="&gt;= 200 $"/>
    <s v="saldo saudável"/>
    <x v="0"/>
    <x v="0"/>
    <x v="1"/>
    <n v="1047"/>
    <s v="&lt; 100 $"/>
    <s v="Baixo (&lt; 100 $)"/>
    <s v="&lt; 4 anos"/>
    <s v="Intermediário (1-4 anos)"/>
    <x v="1"/>
    <x v="1"/>
    <s v="divorciada/casada"/>
    <x v="0"/>
    <n v="4"/>
    <s v="poupança ou seguro de vida"/>
    <n v="50"/>
    <x v="2"/>
    <s v="nenhum"/>
    <x v="0"/>
    <n v="1"/>
    <x v="1"/>
    <n v="1"/>
    <s v="não"/>
    <x v="0"/>
    <n v="1"/>
  </r>
  <r>
    <n v="666"/>
    <x v="0"/>
    <s v="sem conta corrente"/>
    <s v="sem conta no banco"/>
    <x v="4"/>
    <x v="0"/>
    <x v="8"/>
    <n v="6314"/>
    <s v="&lt; 100 $"/>
    <s v="Baixo (&lt; 100 $)"/>
    <s v="desempregado"/>
    <s v="desempregado"/>
    <x v="0"/>
    <x v="0"/>
    <s v="solteiro"/>
    <x v="2"/>
    <n v="2"/>
    <s v="sem bens"/>
    <n v="27"/>
    <x v="3"/>
    <s v="banco"/>
    <x v="0"/>
    <n v="2"/>
    <x v="2"/>
    <n v="1"/>
    <s v="sim"/>
    <x v="0"/>
    <n v="1"/>
  </r>
  <r>
    <n v="667"/>
    <x v="0"/>
    <s v="&gt;= 0 &lt; 200 $"/>
    <s v="saldo baixo"/>
    <x v="6"/>
    <x v="4"/>
    <x v="2"/>
    <n v="3496"/>
    <s v="&gt;= 1000 $"/>
    <s v="Muito alto (&gt;1000$)"/>
    <s v="&lt; 4 anos"/>
    <s v="Intermediário (1-4 anos)"/>
    <x v="0"/>
    <x v="0"/>
    <s v="solteiro"/>
    <x v="0"/>
    <n v="2"/>
    <s v="carro ou outros-quitado"/>
    <n v="34"/>
    <x v="3"/>
    <s v="loja"/>
    <x v="0"/>
    <n v="1"/>
    <x v="0"/>
    <n v="2"/>
    <s v="sim"/>
    <x v="0"/>
    <n v="1"/>
  </r>
  <r>
    <n v="668"/>
    <x v="0"/>
    <s v="sem conta corrente"/>
    <s v="sem conta no banco"/>
    <x v="1"/>
    <x v="4"/>
    <x v="5"/>
    <n v="3609"/>
    <s v="&lt; 100 $"/>
    <s v="Baixo (&lt; 100 $)"/>
    <s v="&lt; 4 anos"/>
    <s v="Intermediário (1-4 anos)"/>
    <x v="3"/>
    <x v="1"/>
    <s v="divorciada/casada"/>
    <x v="0"/>
    <n v="1"/>
    <s v="imovel"/>
    <n v="27"/>
    <x v="3"/>
    <s v="loja"/>
    <x v="0"/>
    <n v="1"/>
    <x v="0"/>
    <n v="1"/>
    <s v="não"/>
    <x v="0"/>
    <n v="1"/>
  </r>
  <r>
    <n v="669"/>
    <x v="1"/>
    <s v="&lt; 0 $"/>
    <s v="negativo/devedor"/>
    <x v="2"/>
    <x v="0"/>
    <x v="3"/>
    <n v="4843"/>
    <s v="&lt; 100 $"/>
    <s v="Baixo (&lt; 100 $)"/>
    <s v="&gt;= 7 anos"/>
    <s v="Muito Estável (&gt; 7 anos)"/>
    <x v="2"/>
    <x v="0"/>
    <s v="solteiro"/>
    <x v="2"/>
    <n v="4"/>
    <s v="poupança ou seguro de vida"/>
    <n v="43"/>
    <x v="2"/>
    <s v="nenhum"/>
    <x v="2"/>
    <n v="2"/>
    <x v="0"/>
    <n v="1"/>
    <s v="sim"/>
    <x v="0"/>
    <n v="2"/>
  </r>
  <r>
    <n v="670"/>
    <x v="0"/>
    <s v="&gt;= 200 $"/>
    <s v="saldo saudável"/>
    <x v="6"/>
    <x v="0"/>
    <x v="0"/>
    <n v="3017"/>
    <s v="&lt; 100 $"/>
    <s v="Baixo (&lt; 100 $)"/>
    <s v="&gt;= 7 anos"/>
    <s v="Muito Estável (&gt; 7 anos)"/>
    <x v="0"/>
    <x v="0"/>
    <s v="solteiro"/>
    <x v="0"/>
    <n v="4"/>
    <s v="poupança ou seguro de vida"/>
    <n v="47"/>
    <x v="2"/>
    <s v="nenhum"/>
    <x v="0"/>
    <n v="1"/>
    <x v="0"/>
    <n v="1"/>
    <s v="não"/>
    <x v="0"/>
    <n v="1"/>
  </r>
  <r>
    <n v="671"/>
    <x v="0"/>
    <s v="sem conta corrente"/>
    <s v="sem conta no banco"/>
    <x v="4"/>
    <x v="0"/>
    <x v="5"/>
    <n v="4139"/>
    <s v="&gt;= 100 &lt; 500 $"/>
    <s v="Médio (100-500$)"/>
    <s v="&lt; 4 anos"/>
    <s v="Intermediário (1-4 anos)"/>
    <x v="2"/>
    <x v="0"/>
    <s v="solteiro"/>
    <x v="0"/>
    <n v="3"/>
    <s v="poupança ou seguro de vida"/>
    <n v="27"/>
    <x v="3"/>
    <s v="nenhum"/>
    <x v="0"/>
    <n v="2"/>
    <x v="1"/>
    <n v="1"/>
    <s v="sim"/>
    <x v="0"/>
    <n v="1"/>
  </r>
  <r>
    <n v="672"/>
    <x v="0"/>
    <s v="sem conta corrente"/>
    <s v="sem conta no banco"/>
    <x v="5"/>
    <x v="1"/>
    <x v="5"/>
    <n v="5742"/>
    <s v="&gt;= 100 &lt; 500 $"/>
    <s v="Médio (100-500$)"/>
    <s v="&lt; 7 anos"/>
    <s v="Estável (4-7 anos)"/>
    <x v="1"/>
    <x v="0"/>
    <s v="solteiro"/>
    <x v="0"/>
    <n v="2"/>
    <s v="carro ou outros-quitado"/>
    <n v="31"/>
    <x v="3"/>
    <s v="nenhum"/>
    <x v="0"/>
    <n v="2"/>
    <x v="0"/>
    <n v="1"/>
    <s v="sim"/>
    <x v="0"/>
    <n v="1"/>
  </r>
  <r>
    <n v="673"/>
    <x v="0"/>
    <s v="sem conta corrente"/>
    <s v="sem conta no banco"/>
    <x v="11"/>
    <x v="1"/>
    <x v="3"/>
    <n v="10366"/>
    <s v="&lt; 100 $"/>
    <s v="Baixo (&lt; 100 $)"/>
    <s v="&gt;= 7 anos"/>
    <s v="Muito Estável (&gt; 7 anos)"/>
    <x v="1"/>
    <x v="0"/>
    <s v="solteiro"/>
    <x v="0"/>
    <n v="4"/>
    <s v="poupança ou seguro de vida"/>
    <n v="42"/>
    <x v="2"/>
    <s v="nenhum"/>
    <x v="0"/>
    <n v="1"/>
    <x v="2"/>
    <n v="1"/>
    <s v="sim"/>
    <x v="0"/>
    <n v="1"/>
  </r>
  <r>
    <n v="674"/>
    <x v="0"/>
    <s v="sem conta corrente"/>
    <s v="sem conta no banco"/>
    <x v="0"/>
    <x v="0"/>
    <x v="3"/>
    <n v="2080"/>
    <s v="&gt;= 500 &lt; 1000 $"/>
    <s v="Alto (500-1000 $)"/>
    <s v="&lt; 4 anos"/>
    <s v="Intermediário (1-4 anos)"/>
    <x v="3"/>
    <x v="0"/>
    <s v="casado/viuvo"/>
    <x v="0"/>
    <n v="2"/>
    <s v="carro ou outros-quitado"/>
    <n v="24"/>
    <x v="1"/>
    <s v="nenhum"/>
    <x v="0"/>
    <n v="1"/>
    <x v="0"/>
    <n v="1"/>
    <s v="não"/>
    <x v="0"/>
    <n v="1"/>
  </r>
  <r>
    <n v="675"/>
    <x v="1"/>
    <s v="sem conta corrente"/>
    <s v="sem conta no banco"/>
    <x v="21"/>
    <x v="2"/>
    <x v="5"/>
    <n v="2580"/>
    <s v="&gt;= 500 &lt; 1000 $"/>
    <s v="Alto (500-1000 $)"/>
    <s v="&lt; 1 ano"/>
    <s v="Iniciante (&lt; 1 ano)"/>
    <x v="0"/>
    <x v="0"/>
    <s v="solteiro"/>
    <x v="0"/>
    <n v="2"/>
    <s v="imovel"/>
    <n v="41"/>
    <x v="2"/>
    <s v="banco"/>
    <x v="0"/>
    <n v="1"/>
    <x v="1"/>
    <n v="2"/>
    <s v="não"/>
    <x v="0"/>
    <n v="2"/>
  </r>
  <r>
    <n v="676"/>
    <x v="0"/>
    <s v="sem conta corrente"/>
    <s v="sem conta no banco"/>
    <x v="6"/>
    <x v="0"/>
    <x v="0"/>
    <n v="4530"/>
    <s v="&lt; 100 $"/>
    <s v="Baixo (&lt; 100 $)"/>
    <s v="&lt; 7 anos"/>
    <s v="Estável (4-7 anos)"/>
    <x v="0"/>
    <x v="1"/>
    <s v="divorciada/casada"/>
    <x v="0"/>
    <n v="4"/>
    <s v="carro ou outros-quitado"/>
    <n v="26"/>
    <x v="3"/>
    <s v="nenhum"/>
    <x v="2"/>
    <n v="1"/>
    <x v="2"/>
    <n v="1"/>
    <s v="sim"/>
    <x v="0"/>
    <n v="1"/>
  </r>
  <r>
    <n v="677"/>
    <x v="0"/>
    <s v="sem conta corrente"/>
    <s v="sem conta no banco"/>
    <x v="4"/>
    <x v="0"/>
    <x v="2"/>
    <n v="5150"/>
    <s v="&lt; 100 $"/>
    <s v="Baixo (&lt; 100 $)"/>
    <s v="&gt;= 7 anos"/>
    <s v="Muito Estável (&gt; 7 anos)"/>
    <x v="0"/>
    <x v="0"/>
    <s v="solteiro"/>
    <x v="0"/>
    <n v="4"/>
    <s v="carro ou outros-quitado"/>
    <n v="33"/>
    <x v="3"/>
    <s v="nenhum"/>
    <x v="0"/>
    <n v="1"/>
    <x v="0"/>
    <n v="1"/>
    <s v="sim"/>
    <x v="0"/>
    <n v="1"/>
  </r>
  <r>
    <n v="678"/>
    <x v="1"/>
    <s v="&gt;= 0 &lt; 200 $"/>
    <s v="saldo baixo"/>
    <x v="31"/>
    <x v="1"/>
    <x v="0"/>
    <n v="5595"/>
    <s v="&gt;= 100 &lt; 500 $"/>
    <s v="Médio (100-500$)"/>
    <s v="&lt; 4 anos"/>
    <s v="Intermediário (1-4 anos)"/>
    <x v="1"/>
    <x v="0"/>
    <s v="casado/viuvo"/>
    <x v="0"/>
    <n v="2"/>
    <s v="carro ou outros-quitado"/>
    <n v="24"/>
    <x v="1"/>
    <s v="nenhum"/>
    <x v="0"/>
    <n v="1"/>
    <x v="0"/>
    <n v="1"/>
    <s v="não"/>
    <x v="0"/>
    <n v="2"/>
  </r>
  <r>
    <n v="679"/>
    <x v="0"/>
    <s v="&lt; 0 $"/>
    <s v="negativo/devedor"/>
    <x v="4"/>
    <x v="1"/>
    <x v="0"/>
    <n v="2384"/>
    <s v="&lt; 100 $"/>
    <s v="Baixo (&lt; 100 $)"/>
    <s v="&gt;= 7 anos"/>
    <s v="Muito Estável (&gt; 7 anos)"/>
    <x v="0"/>
    <x v="0"/>
    <s v="solteiro"/>
    <x v="0"/>
    <n v="4"/>
    <s v="imovel"/>
    <n v="64"/>
    <x v="0"/>
    <s v="banco"/>
    <x v="2"/>
    <n v="1"/>
    <x v="1"/>
    <n v="1"/>
    <s v="não"/>
    <x v="0"/>
    <n v="1"/>
  </r>
  <r>
    <n v="680"/>
    <x v="0"/>
    <s v="sem conta corrente"/>
    <s v="sem conta no banco"/>
    <x v="12"/>
    <x v="1"/>
    <x v="0"/>
    <n v="1453"/>
    <s v="&lt; 100 $"/>
    <s v="Baixo (&lt; 100 $)"/>
    <s v="&lt; 1 ano"/>
    <s v="Iniciante (&lt; 1 ano)"/>
    <x v="2"/>
    <x v="1"/>
    <s v="divorciada/casada"/>
    <x v="0"/>
    <n v="1"/>
    <s v="imovel"/>
    <n v="26"/>
    <x v="3"/>
    <s v="nenhum"/>
    <x v="0"/>
    <n v="1"/>
    <x v="0"/>
    <n v="1"/>
    <s v="não"/>
    <x v="0"/>
    <n v="1"/>
  </r>
  <r>
    <n v="681"/>
    <x v="0"/>
    <s v="sem conta corrente"/>
    <s v="sem conta no banco"/>
    <x v="0"/>
    <x v="1"/>
    <x v="1"/>
    <n v="1538"/>
    <s v="&lt; 100 $"/>
    <s v="Baixo (&lt; 100 $)"/>
    <s v="&lt; 1 ano"/>
    <s v="Iniciante (&lt; 1 ano)"/>
    <x v="3"/>
    <x v="1"/>
    <s v="divorciada/casada"/>
    <x v="0"/>
    <n v="2"/>
    <s v="sem bens"/>
    <n v="56"/>
    <x v="2"/>
    <s v="nenhum"/>
    <x v="0"/>
    <n v="1"/>
    <x v="0"/>
    <n v="1"/>
    <s v="não"/>
    <x v="0"/>
    <n v="1"/>
  </r>
  <r>
    <n v="682"/>
    <x v="0"/>
    <s v="sem conta corrente"/>
    <s v="sem conta no banco"/>
    <x v="2"/>
    <x v="1"/>
    <x v="0"/>
    <n v="2279"/>
    <s v="sem poupança"/>
    <s v="sem poupança"/>
    <s v="&lt; 4 anos"/>
    <s v="Intermediário (1-4 anos)"/>
    <x v="0"/>
    <x v="0"/>
    <s v="solteiro"/>
    <x v="0"/>
    <n v="4"/>
    <s v="sem bens"/>
    <n v="37"/>
    <x v="3"/>
    <s v="nenhum"/>
    <x v="1"/>
    <n v="1"/>
    <x v="0"/>
    <n v="1"/>
    <s v="sim"/>
    <x v="0"/>
    <n v="1"/>
  </r>
  <r>
    <n v="683"/>
    <x v="0"/>
    <s v="sem conta corrente"/>
    <s v="sem conta no banco"/>
    <x v="7"/>
    <x v="2"/>
    <x v="0"/>
    <n v="1478"/>
    <s v="&lt; 100 $"/>
    <s v="Baixo (&lt; 100 $)"/>
    <s v="&lt; 4 anos"/>
    <s v="Intermediário (1-4 anos)"/>
    <x v="0"/>
    <x v="0"/>
    <s v="casado/viuvo"/>
    <x v="0"/>
    <n v="3"/>
    <s v="imovel"/>
    <n v="33"/>
    <x v="3"/>
    <s v="banco"/>
    <x v="0"/>
    <n v="2"/>
    <x v="0"/>
    <n v="1"/>
    <s v="não"/>
    <x v="0"/>
    <n v="1"/>
  </r>
  <r>
    <n v="684"/>
    <x v="0"/>
    <s v="sem conta corrente"/>
    <s v="sem conta no banco"/>
    <x v="4"/>
    <x v="0"/>
    <x v="0"/>
    <n v="5103"/>
    <s v="&lt; 100 $"/>
    <s v="Baixo (&lt; 100 $)"/>
    <s v="&lt; 1 ano"/>
    <s v="Iniciante (&lt; 1 ano)"/>
    <x v="2"/>
    <x v="0"/>
    <s v="casado/viuvo"/>
    <x v="0"/>
    <n v="3"/>
    <s v="sem bens"/>
    <n v="47"/>
    <x v="2"/>
    <s v="nenhum"/>
    <x v="1"/>
    <n v="3"/>
    <x v="0"/>
    <n v="1"/>
    <s v="sim"/>
    <x v="0"/>
    <n v="1"/>
  </r>
  <r>
    <n v="685"/>
    <x v="0"/>
    <s v="&gt;= 0 &lt; 200 $"/>
    <s v="saldo baixo"/>
    <x v="5"/>
    <x v="2"/>
    <x v="5"/>
    <n v="9857"/>
    <s v="&gt;= 100 &lt; 500 $"/>
    <s v="Médio (100-500$)"/>
    <s v="&lt; 7 anos"/>
    <s v="Estável (4-7 anos)"/>
    <x v="3"/>
    <x v="0"/>
    <s v="solteiro"/>
    <x v="0"/>
    <n v="3"/>
    <s v="poupança ou seguro de vida"/>
    <n v="31"/>
    <x v="3"/>
    <s v="nenhum"/>
    <x v="0"/>
    <n v="2"/>
    <x v="1"/>
    <n v="2"/>
    <s v="sim"/>
    <x v="0"/>
    <n v="1"/>
  </r>
  <r>
    <n v="686"/>
    <x v="0"/>
    <s v="sem conta corrente"/>
    <s v="sem conta no banco"/>
    <x v="11"/>
    <x v="1"/>
    <x v="3"/>
    <n v="6527"/>
    <s v="sem poupança"/>
    <s v="sem poupança"/>
    <s v="&lt; 4 anos"/>
    <s v="Intermediário (1-4 anos)"/>
    <x v="0"/>
    <x v="0"/>
    <s v="solteiro"/>
    <x v="0"/>
    <n v="4"/>
    <s v="sem bens"/>
    <n v="34"/>
    <x v="3"/>
    <s v="nenhum"/>
    <x v="1"/>
    <n v="1"/>
    <x v="0"/>
    <n v="2"/>
    <s v="sim"/>
    <x v="0"/>
    <n v="1"/>
  </r>
  <r>
    <n v="687"/>
    <x v="0"/>
    <s v="&gt;= 200 $"/>
    <s v="saldo saudável"/>
    <x v="9"/>
    <x v="0"/>
    <x v="0"/>
    <n v="1347"/>
    <s v="sem poupança"/>
    <s v="sem poupança"/>
    <s v="&lt; 7 anos"/>
    <s v="Estável (4-7 anos)"/>
    <x v="0"/>
    <x v="0"/>
    <s v="solteiro"/>
    <x v="0"/>
    <n v="2"/>
    <s v="poupança ou seguro de vida"/>
    <n v="27"/>
    <x v="3"/>
    <s v="nenhum"/>
    <x v="0"/>
    <n v="2"/>
    <x v="0"/>
    <n v="1"/>
    <s v="sim"/>
    <x v="0"/>
    <n v="1"/>
  </r>
  <r>
    <n v="688"/>
    <x v="0"/>
    <s v="&gt;= 0 &lt; 200 $"/>
    <s v="saldo baixo"/>
    <x v="5"/>
    <x v="2"/>
    <x v="3"/>
    <n v="2862"/>
    <s v="&gt;= 100 &lt; 500 $"/>
    <s v="Médio (100-500$)"/>
    <s v="&gt;= 7 anos"/>
    <s v="Muito Estável (&gt; 7 anos)"/>
    <x v="0"/>
    <x v="0"/>
    <s v="solteiro"/>
    <x v="0"/>
    <n v="3"/>
    <s v="sem bens"/>
    <n v="30"/>
    <x v="3"/>
    <s v="nenhum"/>
    <x v="1"/>
    <n v="1"/>
    <x v="0"/>
    <n v="1"/>
    <s v="não"/>
    <x v="0"/>
    <n v="1"/>
  </r>
  <r>
    <n v="689"/>
    <x v="0"/>
    <s v="sem conta corrente"/>
    <s v="sem conta no banco"/>
    <x v="8"/>
    <x v="1"/>
    <x v="0"/>
    <n v="2753"/>
    <s v="&gt;= 100 &lt; 500 $"/>
    <s v="Médio (100-500$)"/>
    <s v="&gt;= 7 anos"/>
    <s v="Muito Estável (&gt; 7 anos)"/>
    <x v="2"/>
    <x v="0"/>
    <s v="solteiro"/>
    <x v="2"/>
    <n v="4"/>
    <s v="carro ou outros-quitado"/>
    <n v="35"/>
    <x v="3"/>
    <s v="nenhum"/>
    <x v="0"/>
    <n v="1"/>
    <x v="0"/>
    <n v="1"/>
    <s v="sim"/>
    <x v="0"/>
    <n v="1"/>
  </r>
  <r>
    <n v="690"/>
    <x v="0"/>
    <s v="&lt; 0 $"/>
    <s v="negativo/devedor"/>
    <x v="2"/>
    <x v="1"/>
    <x v="3"/>
    <n v="3651"/>
    <s v="&gt;= 1000 $"/>
    <s v="Muito alto (&gt;1000$)"/>
    <s v="&lt; 4 anos"/>
    <s v="Intermediário (1-4 anos)"/>
    <x v="3"/>
    <x v="0"/>
    <s v="solteiro"/>
    <x v="0"/>
    <n v="3"/>
    <s v="poupança ou seguro de vida"/>
    <n v="31"/>
    <x v="3"/>
    <s v="nenhum"/>
    <x v="0"/>
    <n v="1"/>
    <x v="0"/>
    <n v="2"/>
    <s v="não"/>
    <x v="0"/>
    <n v="1"/>
  </r>
  <r>
    <n v="691"/>
    <x v="0"/>
    <s v="&lt; 0 $"/>
    <s v="negativo/devedor"/>
    <x v="7"/>
    <x v="0"/>
    <x v="2"/>
    <n v="975"/>
    <s v="&lt; 100 $"/>
    <s v="Baixo (&lt; 100 $)"/>
    <s v="&lt; 4 anos"/>
    <s v="Intermediário (1-4 anos)"/>
    <x v="1"/>
    <x v="0"/>
    <s v="divorciado"/>
    <x v="0"/>
    <n v="3"/>
    <s v="poupança ou seguro de vida"/>
    <n v="25"/>
    <x v="3"/>
    <s v="nenhum"/>
    <x v="0"/>
    <n v="2"/>
    <x v="0"/>
    <n v="1"/>
    <s v="não"/>
    <x v="0"/>
    <n v="1"/>
  </r>
  <r>
    <n v="692"/>
    <x v="0"/>
    <s v="&gt;= 0 &lt; 200 $"/>
    <s v="saldo baixo"/>
    <x v="7"/>
    <x v="1"/>
    <x v="7"/>
    <n v="2631"/>
    <s v="&gt;= 100 &lt; 500 $"/>
    <s v="Médio (100-500$)"/>
    <s v="&lt; 4 anos"/>
    <s v="Intermediário (1-4 anos)"/>
    <x v="2"/>
    <x v="1"/>
    <s v="divorciada/casada"/>
    <x v="0"/>
    <n v="2"/>
    <s v="imovel"/>
    <n v="25"/>
    <x v="3"/>
    <s v="nenhum"/>
    <x v="0"/>
    <n v="1"/>
    <x v="1"/>
    <n v="1"/>
    <s v="não"/>
    <x v="0"/>
    <n v="1"/>
  </r>
  <r>
    <n v="693"/>
    <x v="0"/>
    <s v="&gt;= 0 &lt; 200 $"/>
    <s v="saldo baixo"/>
    <x v="4"/>
    <x v="1"/>
    <x v="0"/>
    <n v="2896"/>
    <s v="&gt;= 100 &lt; 500 $"/>
    <s v="Médio (100-500$)"/>
    <s v="&lt; 1 ano"/>
    <s v="Iniciante (&lt; 1 ano)"/>
    <x v="1"/>
    <x v="0"/>
    <s v="solteiro"/>
    <x v="0"/>
    <n v="1"/>
    <s v="carro ou outros-quitado"/>
    <n v="29"/>
    <x v="3"/>
    <s v="nenhum"/>
    <x v="0"/>
    <n v="1"/>
    <x v="0"/>
    <n v="1"/>
    <s v="não"/>
    <x v="0"/>
    <n v="1"/>
  </r>
  <r>
    <n v="694"/>
    <x v="0"/>
    <s v="&lt; 0 $"/>
    <s v="negativo/devedor"/>
    <x v="0"/>
    <x v="0"/>
    <x v="3"/>
    <n v="4716"/>
    <s v="sem poupança"/>
    <s v="sem poupança"/>
    <s v="&lt; 1 ano"/>
    <s v="Iniciante (&lt; 1 ano)"/>
    <x v="3"/>
    <x v="0"/>
    <s v="solteiro"/>
    <x v="0"/>
    <n v="3"/>
    <s v="imovel"/>
    <n v="44"/>
    <x v="2"/>
    <s v="nenhum"/>
    <x v="0"/>
    <n v="2"/>
    <x v="1"/>
    <n v="2"/>
    <s v="não"/>
    <x v="0"/>
    <n v="1"/>
  </r>
  <r>
    <n v="695"/>
    <x v="0"/>
    <s v="sem conta corrente"/>
    <s v="sem conta no banco"/>
    <x v="4"/>
    <x v="1"/>
    <x v="0"/>
    <n v="2284"/>
    <s v="&lt; 100 $"/>
    <s v="Baixo (&lt; 100 $)"/>
    <s v="&lt; 7 anos"/>
    <s v="Estável (4-7 anos)"/>
    <x v="0"/>
    <x v="0"/>
    <s v="solteiro"/>
    <x v="0"/>
    <n v="2"/>
    <s v="carro ou outros-quitado"/>
    <n v="28"/>
    <x v="3"/>
    <s v="nenhum"/>
    <x v="0"/>
    <n v="1"/>
    <x v="0"/>
    <n v="1"/>
    <s v="sim"/>
    <x v="0"/>
    <n v="1"/>
  </r>
  <r>
    <n v="696"/>
    <x v="0"/>
    <s v="sem conta corrente"/>
    <s v="sem conta no banco"/>
    <x v="0"/>
    <x v="1"/>
    <x v="4"/>
    <n v="1236"/>
    <s v="&gt;= 500 &lt; 1000 $"/>
    <s v="Alto (500-1000 $)"/>
    <s v="&lt; 4 anos"/>
    <s v="Intermediário (1-4 anos)"/>
    <x v="1"/>
    <x v="0"/>
    <s v="solteiro"/>
    <x v="0"/>
    <n v="4"/>
    <s v="poupança ou seguro de vida"/>
    <n v="50"/>
    <x v="2"/>
    <s v="nenhum"/>
    <x v="2"/>
    <n v="1"/>
    <x v="0"/>
    <n v="1"/>
    <s v="não"/>
    <x v="0"/>
    <n v="1"/>
  </r>
  <r>
    <n v="697"/>
    <x v="0"/>
    <s v="&gt;= 0 &lt; 200 $"/>
    <s v="saldo baixo"/>
    <x v="2"/>
    <x v="1"/>
    <x v="0"/>
    <n v="1103"/>
    <s v="&lt; 100 $"/>
    <s v="Baixo (&lt; 100 $)"/>
    <s v="&lt; 7 anos"/>
    <s v="Estável (4-7 anos)"/>
    <x v="0"/>
    <x v="0"/>
    <s v="solteiro"/>
    <x v="1"/>
    <n v="3"/>
    <s v="imovel"/>
    <n v="29"/>
    <x v="3"/>
    <s v="nenhum"/>
    <x v="0"/>
    <n v="2"/>
    <x v="0"/>
    <n v="1"/>
    <s v="não"/>
    <x v="1"/>
    <n v="1"/>
  </r>
  <r>
    <n v="698"/>
    <x v="0"/>
    <s v="sem conta corrente"/>
    <s v="sem conta no banco"/>
    <x v="2"/>
    <x v="0"/>
    <x v="3"/>
    <n v="926"/>
    <s v="&lt; 100 $"/>
    <s v="Baixo (&lt; 100 $)"/>
    <s v="desempregado"/>
    <s v="desempregado"/>
    <x v="3"/>
    <x v="1"/>
    <s v="divorciada/casada"/>
    <x v="0"/>
    <n v="2"/>
    <s v="poupança ou seguro de vida"/>
    <n v="38"/>
    <x v="3"/>
    <s v="nenhum"/>
    <x v="0"/>
    <n v="1"/>
    <x v="3"/>
    <n v="1"/>
    <s v="não"/>
    <x v="0"/>
    <n v="1"/>
  </r>
  <r>
    <n v="699"/>
    <x v="0"/>
    <s v="sem conta corrente"/>
    <s v="sem conta no banco"/>
    <x v="12"/>
    <x v="0"/>
    <x v="0"/>
    <n v="1800"/>
    <s v="&lt; 100 $"/>
    <s v="Baixo (&lt; 100 $)"/>
    <s v="&lt; 4 anos"/>
    <s v="Intermediário (1-4 anos)"/>
    <x v="0"/>
    <x v="0"/>
    <s v="solteiro"/>
    <x v="0"/>
    <n v="2"/>
    <s v="carro ou outros-quitado"/>
    <n v="24"/>
    <x v="1"/>
    <s v="nenhum"/>
    <x v="0"/>
    <n v="2"/>
    <x v="0"/>
    <n v="1"/>
    <s v="não"/>
    <x v="0"/>
    <n v="1"/>
  </r>
  <r>
    <n v="700"/>
    <x v="0"/>
    <s v="&gt;= 200 $"/>
    <s v="saldo saudável"/>
    <x v="7"/>
    <x v="1"/>
    <x v="1"/>
    <n v="1905"/>
    <s v="&lt; 100 $"/>
    <s v="Baixo (&lt; 100 $)"/>
    <s v="&gt;= 7 anos"/>
    <s v="Muito Estável (&gt; 7 anos)"/>
    <x v="0"/>
    <x v="0"/>
    <s v="solteiro"/>
    <x v="0"/>
    <n v="4"/>
    <s v="carro ou outros-quitado"/>
    <n v="40"/>
    <x v="2"/>
    <s v="nenhum"/>
    <x v="2"/>
    <n v="1"/>
    <x v="2"/>
    <n v="1"/>
    <s v="sim"/>
    <x v="0"/>
    <n v="1"/>
  </r>
  <r>
    <n v="701"/>
    <x v="1"/>
    <s v="sem conta corrente"/>
    <s v="sem conta no banco"/>
    <x v="2"/>
    <x v="1"/>
    <x v="2"/>
    <n v="1123"/>
    <s v="&gt;= 500 &lt; 1000 $"/>
    <s v="Alto (500-1000 $)"/>
    <s v="&lt; 4 anos"/>
    <s v="Intermediário (1-4 anos)"/>
    <x v="0"/>
    <x v="1"/>
    <s v="divorciada/casada"/>
    <x v="0"/>
    <n v="4"/>
    <s v="carro ou outros-quitado"/>
    <n v="29"/>
    <x v="3"/>
    <s v="nenhum"/>
    <x v="2"/>
    <n v="1"/>
    <x v="1"/>
    <n v="1"/>
    <s v="não"/>
    <x v="0"/>
    <n v="2"/>
  </r>
  <r>
    <n v="702"/>
    <x v="1"/>
    <s v="&lt; 0 $"/>
    <s v="negativo/devedor"/>
    <x v="1"/>
    <x v="0"/>
    <x v="4"/>
    <n v="6331"/>
    <s v="&lt; 100 $"/>
    <s v="Baixo (&lt; 100 $)"/>
    <s v="&gt;= 7 anos"/>
    <s v="Muito Estável (&gt; 7 anos)"/>
    <x v="0"/>
    <x v="0"/>
    <s v="solteiro"/>
    <x v="0"/>
    <n v="4"/>
    <s v="sem bens"/>
    <n v="46"/>
    <x v="2"/>
    <s v="nenhum"/>
    <x v="1"/>
    <n v="2"/>
    <x v="0"/>
    <n v="1"/>
    <s v="sim"/>
    <x v="0"/>
    <n v="2"/>
  </r>
  <r>
    <n v="703"/>
    <x v="0"/>
    <s v="&gt;= 200 $"/>
    <s v="saldo saudável"/>
    <x v="4"/>
    <x v="1"/>
    <x v="0"/>
    <n v="1377"/>
    <s v="&gt;= 100 &lt; 500 $"/>
    <s v="Médio (100-500$)"/>
    <s v="&gt;= 7 anos"/>
    <s v="Muito Estável (&gt; 7 anos)"/>
    <x v="0"/>
    <x v="1"/>
    <s v="divorciada/casada"/>
    <x v="0"/>
    <n v="2"/>
    <s v="sem bens"/>
    <n v="47"/>
    <x v="2"/>
    <s v="nenhum"/>
    <x v="1"/>
    <n v="1"/>
    <x v="0"/>
    <n v="1"/>
    <s v="sim"/>
    <x v="0"/>
    <n v="1"/>
  </r>
  <r>
    <n v="704"/>
    <x v="0"/>
    <s v="&gt;= 0 &lt; 200 $"/>
    <s v="saldo baixo"/>
    <x v="6"/>
    <x v="2"/>
    <x v="5"/>
    <n v="2503"/>
    <s v="&gt;= 100 &lt; 500 $"/>
    <s v="Médio (100-500$)"/>
    <s v="&gt;= 7 anos"/>
    <s v="Muito Estável (&gt; 7 anos)"/>
    <x v="0"/>
    <x v="0"/>
    <s v="solteiro"/>
    <x v="0"/>
    <n v="2"/>
    <s v="poupança ou seguro de vida"/>
    <n v="41"/>
    <x v="2"/>
    <s v="loja"/>
    <x v="0"/>
    <n v="2"/>
    <x v="0"/>
    <n v="1"/>
    <s v="não"/>
    <x v="0"/>
    <n v="1"/>
  </r>
  <r>
    <n v="705"/>
    <x v="0"/>
    <s v="&gt;= 0 &lt; 200 $"/>
    <s v="saldo baixo"/>
    <x v="15"/>
    <x v="1"/>
    <x v="5"/>
    <n v="2528"/>
    <s v="&lt; 100 $"/>
    <s v="Baixo (&lt; 100 $)"/>
    <s v="&lt; 1 ano"/>
    <s v="Iniciante (&lt; 1 ano)"/>
    <x v="0"/>
    <x v="1"/>
    <s v="divorciada/casada"/>
    <x v="0"/>
    <n v="1"/>
    <s v="poupança ou seguro de vida"/>
    <n v="32"/>
    <x v="3"/>
    <s v="nenhum"/>
    <x v="0"/>
    <n v="1"/>
    <x v="0"/>
    <n v="2"/>
    <s v="sim"/>
    <x v="0"/>
    <n v="1"/>
  </r>
  <r>
    <n v="706"/>
    <x v="0"/>
    <s v="sem conta corrente"/>
    <s v="sem conta no banco"/>
    <x v="7"/>
    <x v="1"/>
    <x v="3"/>
    <n v="5324"/>
    <s v="&gt;= 500 &lt; 1000 $"/>
    <s v="Alto (500-1000 $)"/>
    <s v="&gt;= 7 anos"/>
    <s v="Muito Estável (&gt; 7 anos)"/>
    <x v="3"/>
    <x v="1"/>
    <s v="divorciada/casada"/>
    <x v="0"/>
    <n v="4"/>
    <s v="sem bens"/>
    <n v="35"/>
    <x v="3"/>
    <s v="nenhum"/>
    <x v="1"/>
    <n v="1"/>
    <x v="0"/>
    <n v="1"/>
    <s v="não"/>
    <x v="0"/>
    <n v="1"/>
  </r>
  <r>
    <n v="707"/>
    <x v="1"/>
    <s v="&gt;= 0 &lt; 200 $"/>
    <s v="saldo baixo"/>
    <x v="1"/>
    <x v="1"/>
    <x v="3"/>
    <n v="6560"/>
    <s v="&gt;= 100 &lt; 500 $"/>
    <s v="Médio (100-500$)"/>
    <s v="&lt; 7 anos"/>
    <s v="Estável (4-7 anos)"/>
    <x v="2"/>
    <x v="0"/>
    <s v="solteiro"/>
    <x v="0"/>
    <n v="2"/>
    <s v="poupança ou seguro de vida"/>
    <n v="24"/>
    <x v="1"/>
    <s v="nenhum"/>
    <x v="0"/>
    <n v="1"/>
    <x v="0"/>
    <n v="1"/>
    <s v="não"/>
    <x v="0"/>
    <n v="2"/>
  </r>
  <r>
    <n v="708"/>
    <x v="1"/>
    <s v="&gt;= 0 &lt; 200 $"/>
    <s v="saldo baixo"/>
    <x v="2"/>
    <x v="3"/>
    <x v="2"/>
    <n v="2969"/>
    <s v="&lt; 100 $"/>
    <s v="Baixo (&lt; 100 $)"/>
    <s v="&lt; 1 ano"/>
    <s v="Iniciante (&lt; 1 ano)"/>
    <x v="0"/>
    <x v="1"/>
    <s v="divorciada/casada"/>
    <x v="0"/>
    <n v="3"/>
    <s v="poupança ou seguro de vida"/>
    <n v="25"/>
    <x v="3"/>
    <s v="nenhum"/>
    <x v="2"/>
    <n v="2"/>
    <x v="0"/>
    <n v="1"/>
    <s v="não"/>
    <x v="0"/>
    <n v="2"/>
  </r>
  <r>
    <n v="709"/>
    <x v="0"/>
    <s v="&gt;= 0 &lt; 200 $"/>
    <s v="saldo baixo"/>
    <x v="8"/>
    <x v="1"/>
    <x v="0"/>
    <n v="1206"/>
    <s v="&lt; 100 $"/>
    <s v="Baixo (&lt; 100 $)"/>
    <s v="&gt;= 7 anos"/>
    <s v="Muito Estável (&gt; 7 anos)"/>
    <x v="0"/>
    <x v="1"/>
    <s v="divorciada/casada"/>
    <x v="0"/>
    <n v="4"/>
    <s v="imovel"/>
    <n v="25"/>
    <x v="3"/>
    <s v="nenhum"/>
    <x v="0"/>
    <n v="1"/>
    <x v="0"/>
    <n v="1"/>
    <s v="não"/>
    <x v="0"/>
    <n v="1"/>
  </r>
  <r>
    <n v="710"/>
    <x v="0"/>
    <s v="&gt;= 0 &lt; 200 $"/>
    <s v="saldo baixo"/>
    <x v="8"/>
    <x v="1"/>
    <x v="0"/>
    <n v="2118"/>
    <s v="&lt; 100 $"/>
    <s v="Baixo (&lt; 100 $)"/>
    <s v="&lt; 4 anos"/>
    <s v="Intermediário (1-4 anos)"/>
    <x v="1"/>
    <x v="0"/>
    <s v="solteiro"/>
    <x v="0"/>
    <n v="2"/>
    <s v="imovel"/>
    <n v="37"/>
    <x v="3"/>
    <s v="nenhum"/>
    <x v="0"/>
    <n v="1"/>
    <x v="1"/>
    <n v="2"/>
    <s v="não"/>
    <x v="0"/>
    <n v="1"/>
  </r>
  <r>
    <n v="711"/>
    <x v="0"/>
    <s v="sem conta corrente"/>
    <s v="sem conta no banco"/>
    <x v="12"/>
    <x v="0"/>
    <x v="0"/>
    <n v="629"/>
    <s v="&gt;= 500 &lt; 1000 $"/>
    <s v="Alto (500-1000 $)"/>
    <s v="&gt;= 7 anos"/>
    <s v="Muito Estável (&gt; 7 anos)"/>
    <x v="0"/>
    <x v="0"/>
    <s v="solteiro"/>
    <x v="0"/>
    <n v="3"/>
    <s v="poupança ou seguro de vida"/>
    <n v="32"/>
    <x v="3"/>
    <s v="banco"/>
    <x v="0"/>
    <n v="2"/>
    <x v="2"/>
    <n v="1"/>
    <s v="sim"/>
    <x v="0"/>
    <n v="1"/>
  </r>
  <r>
    <n v="712"/>
    <x v="1"/>
    <s v="&lt; 0 $"/>
    <s v="negativo/devedor"/>
    <x v="0"/>
    <x v="4"/>
    <x v="1"/>
    <n v="1198"/>
    <s v="&lt; 100 $"/>
    <s v="Baixo (&lt; 100 $)"/>
    <s v="&gt;= 7 anos"/>
    <s v="Muito Estável (&gt; 7 anos)"/>
    <x v="0"/>
    <x v="1"/>
    <s v="divorciada/casada"/>
    <x v="0"/>
    <n v="4"/>
    <s v="sem bens"/>
    <n v="35"/>
    <x v="3"/>
    <s v="nenhum"/>
    <x v="1"/>
    <n v="1"/>
    <x v="0"/>
    <n v="1"/>
    <s v="não"/>
    <x v="0"/>
    <n v="2"/>
  </r>
  <r>
    <n v="713"/>
    <x v="0"/>
    <s v="sem conta corrente"/>
    <s v="sem conta no banco"/>
    <x v="21"/>
    <x v="1"/>
    <x v="4"/>
    <n v="2476"/>
    <s v="sem poupança"/>
    <s v="sem poupança"/>
    <s v="&gt;= 7 anos"/>
    <s v="Muito Estável (&gt; 7 anos)"/>
    <x v="0"/>
    <x v="0"/>
    <s v="solteiro"/>
    <x v="0"/>
    <n v="4"/>
    <s v="imovel"/>
    <n v="46"/>
    <x v="2"/>
    <s v="nenhum"/>
    <x v="0"/>
    <n v="1"/>
    <x v="2"/>
    <n v="1"/>
    <s v="sim"/>
    <x v="0"/>
    <n v="1"/>
  </r>
  <r>
    <n v="714"/>
    <x v="0"/>
    <s v="&lt; 0 $"/>
    <s v="negativo/devedor"/>
    <x v="8"/>
    <x v="0"/>
    <x v="0"/>
    <n v="1138"/>
    <s v="&lt; 100 $"/>
    <s v="Baixo (&lt; 100 $)"/>
    <s v="&lt; 4 anos"/>
    <s v="Intermediário (1-4 anos)"/>
    <x v="0"/>
    <x v="0"/>
    <s v="solteiro"/>
    <x v="0"/>
    <n v="4"/>
    <s v="imovel"/>
    <n v="25"/>
    <x v="3"/>
    <s v="nenhum"/>
    <x v="0"/>
    <n v="2"/>
    <x v="1"/>
    <n v="1"/>
    <s v="não"/>
    <x v="0"/>
    <n v="1"/>
  </r>
  <r>
    <n v="715"/>
    <x v="1"/>
    <s v="&gt;= 0 &lt; 200 $"/>
    <s v="saldo baixo"/>
    <x v="11"/>
    <x v="1"/>
    <x v="3"/>
    <n v="14027"/>
    <s v="&lt; 100 $"/>
    <s v="Baixo (&lt; 100 $)"/>
    <s v="&lt; 7 anos"/>
    <s v="Estável (4-7 anos)"/>
    <x v="0"/>
    <x v="0"/>
    <s v="solteiro"/>
    <x v="0"/>
    <n v="2"/>
    <s v="sem bens"/>
    <n v="27"/>
    <x v="3"/>
    <s v="nenhum"/>
    <x v="0"/>
    <n v="1"/>
    <x v="2"/>
    <n v="1"/>
    <s v="sim"/>
    <x v="0"/>
    <n v="2"/>
  </r>
  <r>
    <n v="716"/>
    <x v="0"/>
    <s v="sem conta corrente"/>
    <s v="sem conta no banco"/>
    <x v="6"/>
    <x v="0"/>
    <x v="4"/>
    <n v="7596"/>
    <s v="sem poupança"/>
    <s v="sem poupança"/>
    <s v="&gt;= 7 anos"/>
    <s v="Muito Estável (&gt; 7 anos)"/>
    <x v="3"/>
    <x v="0"/>
    <s v="solteiro"/>
    <x v="0"/>
    <n v="4"/>
    <s v="carro ou outros-quitado"/>
    <n v="63"/>
    <x v="0"/>
    <s v="nenhum"/>
    <x v="0"/>
    <n v="2"/>
    <x v="0"/>
    <n v="1"/>
    <s v="não"/>
    <x v="0"/>
    <n v="1"/>
  </r>
  <r>
    <n v="717"/>
    <x v="0"/>
    <s v="sem conta corrente"/>
    <s v="sem conta no banco"/>
    <x v="6"/>
    <x v="0"/>
    <x v="0"/>
    <n v="3077"/>
    <s v="sem poupança"/>
    <s v="sem poupança"/>
    <s v="&gt;= 7 anos"/>
    <s v="Muito Estável (&gt; 7 anos)"/>
    <x v="2"/>
    <x v="0"/>
    <s v="solteiro"/>
    <x v="0"/>
    <n v="2"/>
    <s v="carro ou outros-quitado"/>
    <n v="40"/>
    <x v="2"/>
    <s v="nenhum"/>
    <x v="0"/>
    <n v="2"/>
    <x v="0"/>
    <n v="2"/>
    <s v="sim"/>
    <x v="0"/>
    <n v="1"/>
  </r>
  <r>
    <n v="718"/>
    <x v="0"/>
    <s v="sem conta corrente"/>
    <s v="sem conta no banco"/>
    <x v="12"/>
    <x v="1"/>
    <x v="0"/>
    <n v="1505"/>
    <s v="&lt; 100 $"/>
    <s v="Baixo (&lt; 100 $)"/>
    <s v="&lt; 4 anos"/>
    <s v="Intermediário (1-4 anos)"/>
    <x v="0"/>
    <x v="0"/>
    <s v="solteiro"/>
    <x v="0"/>
    <n v="2"/>
    <s v="sem bens"/>
    <n v="32"/>
    <x v="3"/>
    <s v="nenhum"/>
    <x v="1"/>
    <n v="1"/>
    <x v="2"/>
    <n v="1"/>
    <s v="sim"/>
    <x v="0"/>
    <n v="1"/>
  </r>
  <r>
    <n v="719"/>
    <x v="0"/>
    <s v="&gt;= 200 $"/>
    <s v="saldo saudável"/>
    <x v="4"/>
    <x v="0"/>
    <x v="0"/>
    <n v="3148"/>
    <s v="sem poupança"/>
    <s v="sem poupança"/>
    <s v="&lt; 4 anos"/>
    <s v="Intermediário (1-4 anos)"/>
    <x v="2"/>
    <x v="0"/>
    <s v="solteiro"/>
    <x v="0"/>
    <n v="2"/>
    <s v="carro ou outros-quitado"/>
    <n v="31"/>
    <x v="3"/>
    <s v="nenhum"/>
    <x v="0"/>
    <n v="2"/>
    <x v="0"/>
    <n v="1"/>
    <s v="sim"/>
    <x v="0"/>
    <n v="1"/>
  </r>
  <r>
    <n v="720"/>
    <x v="0"/>
    <s v="&gt;= 0 &lt; 200 $"/>
    <s v="saldo baixo"/>
    <x v="18"/>
    <x v="3"/>
    <x v="4"/>
    <n v="6148"/>
    <s v="&gt;= 100 &lt; 500 $"/>
    <s v="Médio (100-500$)"/>
    <s v="&gt;= 7 anos"/>
    <s v="Muito Estável (&gt; 7 anos)"/>
    <x v="2"/>
    <x v="0"/>
    <s v="casado/viuvo"/>
    <x v="0"/>
    <n v="4"/>
    <s v="carro ou outros-quitado"/>
    <n v="31"/>
    <x v="3"/>
    <s v="banco"/>
    <x v="0"/>
    <n v="2"/>
    <x v="0"/>
    <n v="1"/>
    <s v="sim"/>
    <x v="0"/>
    <n v="1"/>
  </r>
  <r>
    <n v="721"/>
    <x v="1"/>
    <s v="&gt;= 200 $"/>
    <s v="saldo saudável"/>
    <x v="8"/>
    <x v="3"/>
    <x v="0"/>
    <n v="1337"/>
    <s v="&lt; 100 $"/>
    <s v="Baixo (&lt; 100 $)"/>
    <s v="&lt; 1 ano"/>
    <s v="Iniciante (&lt; 1 ano)"/>
    <x v="0"/>
    <x v="0"/>
    <s v="solteiro"/>
    <x v="0"/>
    <n v="2"/>
    <s v="carro ou outros-quitado"/>
    <n v="34"/>
    <x v="3"/>
    <s v="nenhum"/>
    <x v="0"/>
    <n v="2"/>
    <x v="2"/>
    <n v="1"/>
    <s v="sim"/>
    <x v="0"/>
    <n v="2"/>
  </r>
  <r>
    <n v="722"/>
    <x v="1"/>
    <s v="&gt;= 0 &lt; 200 $"/>
    <s v="saldo baixo"/>
    <x v="0"/>
    <x v="4"/>
    <x v="1"/>
    <n v="433"/>
    <s v="&gt;= 1000 $"/>
    <s v="Muito alto (&gt;1000$)"/>
    <s v="&lt; 1 ano"/>
    <s v="Iniciante (&lt; 1 ano)"/>
    <x v="0"/>
    <x v="1"/>
    <s v="divorciada/casada"/>
    <x v="0"/>
    <n v="2"/>
    <s v="poupança ou seguro de vida"/>
    <n v="24"/>
    <x v="1"/>
    <s v="banco"/>
    <x v="2"/>
    <n v="1"/>
    <x v="0"/>
    <n v="2"/>
    <s v="não"/>
    <x v="0"/>
    <n v="2"/>
  </r>
  <r>
    <n v="723"/>
    <x v="1"/>
    <s v="&lt; 0 $"/>
    <s v="negativo/devedor"/>
    <x v="2"/>
    <x v="1"/>
    <x v="3"/>
    <n v="1228"/>
    <s v="&lt; 100 $"/>
    <s v="Baixo (&lt; 100 $)"/>
    <s v="&lt; 4 anos"/>
    <s v="Intermediário (1-4 anos)"/>
    <x v="0"/>
    <x v="1"/>
    <s v="divorciada/casada"/>
    <x v="0"/>
    <n v="2"/>
    <s v="imovel"/>
    <n v="24"/>
    <x v="1"/>
    <s v="nenhum"/>
    <x v="0"/>
    <n v="1"/>
    <x v="1"/>
    <n v="1"/>
    <s v="não"/>
    <x v="0"/>
    <n v="2"/>
  </r>
  <r>
    <n v="724"/>
    <x v="0"/>
    <s v="&gt;= 0 &lt; 200 $"/>
    <s v="saldo baixo"/>
    <x v="8"/>
    <x v="1"/>
    <x v="0"/>
    <n v="790"/>
    <s v="&gt;= 500 &lt; 1000 $"/>
    <s v="Alto (500-1000 $)"/>
    <s v="&lt; 4 anos"/>
    <s v="Intermediário (1-4 anos)"/>
    <x v="0"/>
    <x v="1"/>
    <s v="divorciada/casada"/>
    <x v="0"/>
    <n v="3"/>
    <s v="imovel"/>
    <n v="66"/>
    <x v="0"/>
    <s v="nenhum"/>
    <x v="0"/>
    <n v="1"/>
    <x v="1"/>
    <n v="1"/>
    <s v="não"/>
    <x v="0"/>
    <n v="1"/>
  </r>
  <r>
    <n v="725"/>
    <x v="1"/>
    <s v="sem conta corrente"/>
    <s v="sem conta no banco"/>
    <x v="15"/>
    <x v="1"/>
    <x v="3"/>
    <n v="2570"/>
    <s v="&lt; 100 $"/>
    <s v="Baixo (&lt; 100 $)"/>
    <s v="&lt; 4 anos"/>
    <s v="Intermediário (1-4 anos)"/>
    <x v="2"/>
    <x v="1"/>
    <s v="divorciada/casada"/>
    <x v="0"/>
    <n v="3"/>
    <s v="imovel"/>
    <n v="21"/>
    <x v="1"/>
    <s v="nenhum"/>
    <x v="2"/>
    <n v="1"/>
    <x v="0"/>
    <n v="1"/>
    <s v="não"/>
    <x v="0"/>
    <n v="2"/>
  </r>
  <r>
    <n v="726"/>
    <x v="0"/>
    <s v="sem conta corrente"/>
    <s v="sem conta no banco"/>
    <x v="0"/>
    <x v="0"/>
    <x v="3"/>
    <n v="250"/>
    <s v="&gt;= 1000 $"/>
    <s v="Muito alto (&gt;1000$)"/>
    <s v="&lt; 4 anos"/>
    <s v="Intermediário (1-4 anos)"/>
    <x v="1"/>
    <x v="1"/>
    <s v="divorciada/casada"/>
    <x v="0"/>
    <n v="2"/>
    <s v="imovel"/>
    <n v="41"/>
    <x v="2"/>
    <s v="banco"/>
    <x v="0"/>
    <n v="2"/>
    <x v="1"/>
    <n v="1"/>
    <s v="não"/>
    <x v="0"/>
    <n v="1"/>
  </r>
  <r>
    <n v="727"/>
    <x v="0"/>
    <s v="sem conta corrente"/>
    <s v="sem conta no banco"/>
    <x v="7"/>
    <x v="0"/>
    <x v="0"/>
    <n v="1316"/>
    <s v="&gt;= 500 &lt; 1000 $"/>
    <s v="Alto (500-1000 $)"/>
    <s v="&lt; 4 anos"/>
    <s v="Intermediário (1-4 anos)"/>
    <x v="1"/>
    <x v="0"/>
    <s v="casado/viuvo"/>
    <x v="0"/>
    <n v="2"/>
    <s v="poupança ou seguro de vida"/>
    <n v="47"/>
    <x v="2"/>
    <s v="nenhum"/>
    <x v="0"/>
    <n v="2"/>
    <x v="1"/>
    <n v="1"/>
    <s v="não"/>
    <x v="0"/>
    <n v="1"/>
  </r>
  <r>
    <n v="728"/>
    <x v="1"/>
    <s v="&lt; 0 $"/>
    <s v="negativo/devedor"/>
    <x v="12"/>
    <x v="1"/>
    <x v="0"/>
    <n v="1882"/>
    <s v="&lt; 100 $"/>
    <s v="Baixo (&lt; 100 $)"/>
    <s v="&lt; 4 anos"/>
    <s v="Intermediário (1-4 anos)"/>
    <x v="0"/>
    <x v="1"/>
    <s v="divorciada/casada"/>
    <x v="0"/>
    <n v="4"/>
    <s v="carro ou outros-quitado"/>
    <n v="25"/>
    <x v="3"/>
    <s v="banco"/>
    <x v="2"/>
    <n v="2"/>
    <x v="0"/>
    <n v="1"/>
    <s v="não"/>
    <x v="0"/>
    <n v="2"/>
  </r>
  <r>
    <n v="729"/>
    <x v="1"/>
    <s v="&gt;= 0 &lt; 200 $"/>
    <s v="saldo baixo"/>
    <x v="1"/>
    <x v="4"/>
    <x v="5"/>
    <n v="6416"/>
    <s v="&lt; 100 $"/>
    <s v="Baixo (&lt; 100 $)"/>
    <s v="&gt;= 7 anos"/>
    <s v="Muito Estável (&gt; 7 anos)"/>
    <x v="0"/>
    <x v="1"/>
    <s v="divorciada/casada"/>
    <x v="0"/>
    <n v="3"/>
    <s v="sem bens"/>
    <n v="59"/>
    <x v="2"/>
    <s v="nenhum"/>
    <x v="2"/>
    <n v="1"/>
    <x v="0"/>
    <n v="1"/>
    <s v="não"/>
    <x v="0"/>
    <n v="2"/>
  </r>
  <r>
    <n v="730"/>
    <x v="0"/>
    <s v="&gt;= 200 $"/>
    <s v="saldo saudável"/>
    <x v="4"/>
    <x v="0"/>
    <x v="5"/>
    <n v="1275"/>
    <s v="&gt;= 1000 $"/>
    <s v="Muito alto (&gt;1000$)"/>
    <s v="&lt; 4 anos"/>
    <s v="Intermediário (1-4 anos)"/>
    <x v="1"/>
    <x v="0"/>
    <s v="divorciado"/>
    <x v="0"/>
    <n v="4"/>
    <s v="imovel"/>
    <n v="36"/>
    <x v="3"/>
    <s v="nenhum"/>
    <x v="0"/>
    <n v="2"/>
    <x v="0"/>
    <n v="1"/>
    <s v="sim"/>
    <x v="0"/>
    <n v="1"/>
  </r>
  <r>
    <n v="731"/>
    <x v="0"/>
    <s v="&gt;= 0 &lt; 200 $"/>
    <s v="saldo baixo"/>
    <x v="4"/>
    <x v="2"/>
    <x v="0"/>
    <n v="6403"/>
    <s v="&lt; 100 $"/>
    <s v="Baixo (&lt; 100 $)"/>
    <s v="&lt; 1 ano"/>
    <s v="Iniciante (&lt; 1 ano)"/>
    <x v="3"/>
    <x v="0"/>
    <s v="solteiro"/>
    <x v="0"/>
    <n v="2"/>
    <s v="carro ou outros-quitado"/>
    <n v="33"/>
    <x v="3"/>
    <s v="nenhum"/>
    <x v="0"/>
    <n v="1"/>
    <x v="0"/>
    <n v="1"/>
    <s v="não"/>
    <x v="0"/>
    <n v="1"/>
  </r>
  <r>
    <n v="732"/>
    <x v="1"/>
    <s v="&lt; 0 $"/>
    <s v="negativo/devedor"/>
    <x v="4"/>
    <x v="1"/>
    <x v="0"/>
    <n v="1987"/>
    <s v="&lt; 100 $"/>
    <s v="Baixo (&lt; 100 $)"/>
    <s v="&lt; 4 anos"/>
    <s v="Intermediário (1-4 anos)"/>
    <x v="1"/>
    <x v="0"/>
    <s v="solteiro"/>
    <x v="0"/>
    <n v="4"/>
    <s v="imovel"/>
    <n v="21"/>
    <x v="1"/>
    <s v="nenhum"/>
    <x v="2"/>
    <n v="1"/>
    <x v="1"/>
    <n v="2"/>
    <s v="não"/>
    <x v="0"/>
    <n v="2"/>
  </r>
  <r>
    <n v="733"/>
    <x v="0"/>
    <s v="&gt;= 0 &lt; 200 $"/>
    <s v="saldo baixo"/>
    <x v="16"/>
    <x v="1"/>
    <x v="0"/>
    <n v="760"/>
    <s v="&lt; 100 $"/>
    <s v="Baixo (&lt; 100 $)"/>
    <s v="&lt; 7 anos"/>
    <s v="Estável (4-7 anos)"/>
    <x v="0"/>
    <x v="1"/>
    <s v="divorciada/casada"/>
    <x v="1"/>
    <n v="2"/>
    <s v="imovel"/>
    <n v="44"/>
    <x v="2"/>
    <s v="nenhum"/>
    <x v="0"/>
    <n v="1"/>
    <x v="1"/>
    <n v="1"/>
    <s v="não"/>
    <x v="0"/>
    <n v="1"/>
  </r>
  <r>
    <n v="734"/>
    <x v="0"/>
    <s v="sem conta corrente"/>
    <s v="sem conta no banco"/>
    <x v="4"/>
    <x v="1"/>
    <x v="4"/>
    <n v="2603"/>
    <s v="&gt;= 1000 $"/>
    <s v="Muito alto (&gt;1000$)"/>
    <s v="&lt; 4 anos"/>
    <s v="Intermediário (1-4 anos)"/>
    <x v="1"/>
    <x v="1"/>
    <s v="divorciada/casada"/>
    <x v="0"/>
    <n v="4"/>
    <s v="carro ou outros-quitado"/>
    <n v="28"/>
    <x v="3"/>
    <s v="nenhum"/>
    <x v="2"/>
    <n v="1"/>
    <x v="0"/>
    <n v="1"/>
    <s v="sim"/>
    <x v="0"/>
    <n v="1"/>
  </r>
  <r>
    <n v="735"/>
    <x v="0"/>
    <s v="sem conta corrente"/>
    <s v="sem conta no banco"/>
    <x v="23"/>
    <x v="0"/>
    <x v="3"/>
    <n v="3380"/>
    <s v="&lt; 100 $"/>
    <s v="Baixo (&lt; 100 $)"/>
    <s v="&lt; 7 anos"/>
    <s v="Estável (4-7 anos)"/>
    <x v="3"/>
    <x v="1"/>
    <s v="divorciada/casada"/>
    <x v="0"/>
    <n v="1"/>
    <s v="imovel"/>
    <n v="37"/>
    <x v="3"/>
    <s v="nenhum"/>
    <x v="0"/>
    <n v="1"/>
    <x v="0"/>
    <n v="2"/>
    <s v="não"/>
    <x v="0"/>
    <n v="1"/>
  </r>
  <r>
    <n v="736"/>
    <x v="0"/>
    <s v="&gt;= 0 &lt; 200 $"/>
    <s v="saldo baixo"/>
    <x v="5"/>
    <x v="4"/>
    <x v="6"/>
    <n v="3990"/>
    <s v="sem poupança"/>
    <s v="sem poupança"/>
    <s v="&lt; 1 ano"/>
    <s v="Iniciante (&lt; 1 ano)"/>
    <x v="2"/>
    <x v="1"/>
    <s v="divorciada/casada"/>
    <x v="0"/>
    <n v="2"/>
    <s v="sem bens"/>
    <n v="29"/>
    <x v="3"/>
    <s v="banco"/>
    <x v="0"/>
    <n v="1"/>
    <x v="3"/>
    <n v="1"/>
    <s v="não"/>
    <x v="0"/>
    <n v="1"/>
  </r>
  <r>
    <n v="737"/>
    <x v="1"/>
    <s v="&gt;= 0 &lt; 200 $"/>
    <s v="saldo baixo"/>
    <x v="4"/>
    <x v="1"/>
    <x v="4"/>
    <n v="11560"/>
    <s v="&lt; 100 $"/>
    <s v="Baixo (&lt; 100 $)"/>
    <s v="&lt; 4 anos"/>
    <s v="Intermediário (1-4 anos)"/>
    <x v="3"/>
    <x v="1"/>
    <s v="divorciada/casada"/>
    <x v="0"/>
    <n v="4"/>
    <s v="carro ou outros-quitado"/>
    <n v="23"/>
    <x v="1"/>
    <s v="nenhum"/>
    <x v="2"/>
    <n v="2"/>
    <x v="2"/>
    <n v="1"/>
    <s v="não"/>
    <x v="0"/>
    <n v="2"/>
  </r>
  <r>
    <n v="738"/>
    <x v="0"/>
    <s v="&lt; 0 $"/>
    <s v="negativo/devedor"/>
    <x v="12"/>
    <x v="1"/>
    <x v="3"/>
    <n v="4380"/>
    <s v="&gt;= 100 &lt; 500 $"/>
    <s v="Médio (100-500$)"/>
    <s v="&lt; 4 anos"/>
    <s v="Intermediário (1-4 anos)"/>
    <x v="2"/>
    <x v="0"/>
    <s v="solteiro"/>
    <x v="0"/>
    <n v="4"/>
    <s v="carro ou outros-quitado"/>
    <n v="35"/>
    <x v="3"/>
    <s v="nenhum"/>
    <x v="0"/>
    <n v="1"/>
    <x v="1"/>
    <n v="2"/>
    <s v="sim"/>
    <x v="0"/>
    <n v="1"/>
  </r>
  <r>
    <n v="739"/>
    <x v="0"/>
    <s v="sem conta corrente"/>
    <s v="sem conta no banco"/>
    <x v="0"/>
    <x v="0"/>
    <x v="3"/>
    <n v="6761"/>
    <s v="&lt; 100 $"/>
    <s v="Baixo (&lt; 100 $)"/>
    <s v="&lt; 7 anos"/>
    <s v="Estável (4-7 anos)"/>
    <x v="3"/>
    <x v="0"/>
    <s v="solteiro"/>
    <x v="0"/>
    <n v="3"/>
    <s v="sem bens"/>
    <n v="45"/>
    <x v="2"/>
    <s v="nenhum"/>
    <x v="0"/>
    <n v="2"/>
    <x v="2"/>
    <n v="2"/>
    <s v="sim"/>
    <x v="0"/>
    <n v="1"/>
  </r>
  <r>
    <n v="740"/>
    <x v="1"/>
    <s v="&gt;= 0 &lt; 200 $"/>
    <s v="saldo baixo"/>
    <x v="6"/>
    <x v="3"/>
    <x v="5"/>
    <n v="4280"/>
    <s v="&gt;= 100 &lt; 500 $"/>
    <s v="Médio (100-500$)"/>
    <s v="&lt; 4 anos"/>
    <s v="Intermediário (1-4 anos)"/>
    <x v="0"/>
    <x v="1"/>
    <s v="divorciada/casada"/>
    <x v="0"/>
    <n v="4"/>
    <s v="carro ou outros-quitado"/>
    <n v="26"/>
    <x v="3"/>
    <s v="nenhum"/>
    <x v="2"/>
    <n v="2"/>
    <x v="1"/>
    <n v="1"/>
    <s v="não"/>
    <x v="0"/>
    <n v="2"/>
  </r>
  <r>
    <n v="741"/>
    <x v="0"/>
    <s v="&lt; 0 $"/>
    <s v="negativo/devedor"/>
    <x v="4"/>
    <x v="4"/>
    <x v="3"/>
    <n v="2325"/>
    <s v="&gt;= 100 &lt; 500 $"/>
    <s v="Médio (100-500$)"/>
    <s v="&lt; 7 anos"/>
    <s v="Estável (4-7 anos)"/>
    <x v="1"/>
    <x v="0"/>
    <s v="solteiro"/>
    <x v="0"/>
    <n v="3"/>
    <s v="carro ou outros-quitado"/>
    <n v="32"/>
    <x v="3"/>
    <s v="banco"/>
    <x v="0"/>
    <n v="1"/>
    <x v="0"/>
    <n v="1"/>
    <s v="não"/>
    <x v="0"/>
    <n v="1"/>
  </r>
  <r>
    <n v="742"/>
    <x v="0"/>
    <s v="&gt;= 0 &lt; 200 $"/>
    <s v="saldo baixo"/>
    <x v="9"/>
    <x v="4"/>
    <x v="0"/>
    <n v="1048"/>
    <s v="&lt; 100 $"/>
    <s v="Baixo (&lt; 100 $)"/>
    <s v="&lt; 4 anos"/>
    <s v="Intermediário (1-4 anos)"/>
    <x v="0"/>
    <x v="0"/>
    <s v="solteiro"/>
    <x v="0"/>
    <n v="4"/>
    <s v="imovel"/>
    <n v="23"/>
    <x v="1"/>
    <s v="loja"/>
    <x v="0"/>
    <n v="1"/>
    <x v="1"/>
    <n v="1"/>
    <s v="não"/>
    <x v="0"/>
    <n v="1"/>
  </r>
  <r>
    <n v="743"/>
    <x v="0"/>
    <s v="sem conta corrente"/>
    <s v="sem conta no banco"/>
    <x v="21"/>
    <x v="1"/>
    <x v="0"/>
    <n v="3160"/>
    <s v="sem poupança"/>
    <s v="sem poupança"/>
    <s v="&gt;= 7 anos"/>
    <s v="Muito Estável (&gt; 7 anos)"/>
    <x v="0"/>
    <x v="0"/>
    <s v="solteiro"/>
    <x v="0"/>
    <n v="3"/>
    <s v="poupança ou seguro de vida"/>
    <n v="41"/>
    <x v="2"/>
    <s v="nenhum"/>
    <x v="0"/>
    <n v="1"/>
    <x v="0"/>
    <n v="1"/>
    <s v="sim"/>
    <x v="0"/>
    <n v="1"/>
  </r>
  <r>
    <n v="744"/>
    <x v="0"/>
    <s v="&lt; 0 $"/>
    <s v="negativo/devedor"/>
    <x v="4"/>
    <x v="4"/>
    <x v="2"/>
    <n v="2483"/>
    <s v="&gt;= 500 &lt; 1000 $"/>
    <s v="Alto (500-1000 $)"/>
    <s v="&lt; 4 anos"/>
    <s v="Intermediário (1-4 anos)"/>
    <x v="0"/>
    <x v="0"/>
    <s v="solteiro"/>
    <x v="0"/>
    <n v="4"/>
    <s v="imovel"/>
    <n v="22"/>
    <x v="1"/>
    <s v="loja"/>
    <x v="0"/>
    <n v="1"/>
    <x v="0"/>
    <n v="1"/>
    <s v="sim"/>
    <x v="0"/>
    <n v="1"/>
  </r>
  <r>
    <n v="745"/>
    <x v="0"/>
    <s v="&lt; 0 $"/>
    <s v="negativo/devedor"/>
    <x v="27"/>
    <x v="0"/>
    <x v="2"/>
    <n v="14179"/>
    <s v="sem poupança"/>
    <s v="sem poupança"/>
    <s v="&lt; 7 anos"/>
    <s v="Estável (4-7 anos)"/>
    <x v="0"/>
    <x v="0"/>
    <s v="solteiro"/>
    <x v="0"/>
    <n v="4"/>
    <s v="poupança ou seguro de vida"/>
    <n v="30"/>
    <x v="3"/>
    <s v="nenhum"/>
    <x v="0"/>
    <n v="2"/>
    <x v="2"/>
    <n v="1"/>
    <s v="sim"/>
    <x v="0"/>
    <n v="1"/>
  </r>
  <r>
    <n v="746"/>
    <x v="0"/>
    <s v="&lt; 0 $"/>
    <s v="negativo/devedor"/>
    <x v="25"/>
    <x v="0"/>
    <x v="5"/>
    <n v="1797"/>
    <s v="&lt; 100 $"/>
    <s v="Baixo (&lt; 100 $)"/>
    <s v="&lt; 1 ano"/>
    <s v="Iniciante (&lt; 1 ano)"/>
    <x v="2"/>
    <x v="0"/>
    <s v="solteiro"/>
    <x v="0"/>
    <n v="1"/>
    <s v="poupança ou seguro de vida"/>
    <n v="28"/>
    <x v="3"/>
    <s v="banco"/>
    <x v="0"/>
    <n v="2"/>
    <x v="1"/>
    <n v="1"/>
    <s v="não"/>
    <x v="0"/>
    <n v="1"/>
  </r>
  <r>
    <n v="747"/>
    <x v="0"/>
    <s v="&lt; 0 $"/>
    <s v="negativo/devedor"/>
    <x v="7"/>
    <x v="1"/>
    <x v="3"/>
    <n v="2511"/>
    <s v="&lt; 100 $"/>
    <s v="Baixo (&lt; 100 $)"/>
    <s v="desempregado"/>
    <s v="desempregado"/>
    <x v="3"/>
    <x v="1"/>
    <s v="divorciada/casada"/>
    <x v="0"/>
    <n v="4"/>
    <s v="carro ou outros-quitado"/>
    <n v="23"/>
    <x v="1"/>
    <s v="nenhum"/>
    <x v="2"/>
    <n v="1"/>
    <x v="0"/>
    <n v="1"/>
    <s v="não"/>
    <x v="0"/>
    <n v="1"/>
  </r>
  <r>
    <n v="748"/>
    <x v="1"/>
    <s v="&lt; 0 $"/>
    <s v="negativo/devedor"/>
    <x v="2"/>
    <x v="1"/>
    <x v="3"/>
    <n v="1274"/>
    <s v="&lt; 100 $"/>
    <s v="Baixo (&lt; 100 $)"/>
    <s v="&lt; 1 ano"/>
    <s v="Iniciante (&lt; 1 ano)"/>
    <x v="2"/>
    <x v="1"/>
    <s v="divorciada/casada"/>
    <x v="0"/>
    <n v="1"/>
    <s v="imovel"/>
    <n v="37"/>
    <x v="3"/>
    <s v="nenhum"/>
    <x v="0"/>
    <n v="1"/>
    <x v="1"/>
    <n v="1"/>
    <s v="não"/>
    <x v="0"/>
    <n v="2"/>
  </r>
  <r>
    <n v="749"/>
    <x v="0"/>
    <s v="sem conta corrente"/>
    <s v="sem conta no banco"/>
    <x v="21"/>
    <x v="1"/>
    <x v="4"/>
    <n v="5248"/>
    <s v="sem poupança"/>
    <s v="sem poupança"/>
    <s v="&lt; 4 anos"/>
    <s v="Intermediário (1-4 anos)"/>
    <x v="3"/>
    <x v="0"/>
    <s v="solteiro"/>
    <x v="0"/>
    <n v="3"/>
    <s v="carro ou outros-quitado"/>
    <n v="26"/>
    <x v="3"/>
    <s v="nenhum"/>
    <x v="0"/>
    <n v="1"/>
    <x v="0"/>
    <n v="1"/>
    <s v="não"/>
    <x v="0"/>
    <n v="1"/>
  </r>
  <r>
    <n v="750"/>
    <x v="0"/>
    <s v="sem conta corrente"/>
    <s v="sem conta no banco"/>
    <x v="7"/>
    <x v="1"/>
    <x v="4"/>
    <n v="3029"/>
    <s v="&lt; 100 $"/>
    <s v="Baixo (&lt; 100 $)"/>
    <s v="&lt; 7 anos"/>
    <s v="Estável (4-7 anos)"/>
    <x v="1"/>
    <x v="0"/>
    <s v="solteiro"/>
    <x v="0"/>
    <n v="2"/>
    <s v="carro ou outros-quitado"/>
    <n v="33"/>
    <x v="3"/>
    <s v="nenhum"/>
    <x v="0"/>
    <n v="1"/>
    <x v="0"/>
    <n v="1"/>
    <s v="não"/>
    <x v="0"/>
    <n v="1"/>
  </r>
  <r>
    <n v="751"/>
    <x v="0"/>
    <s v="&lt; 0 $"/>
    <s v="negativo/devedor"/>
    <x v="0"/>
    <x v="1"/>
    <x v="2"/>
    <n v="428"/>
    <s v="&lt; 100 $"/>
    <s v="Baixo (&lt; 100 $)"/>
    <s v="&gt;= 7 anos"/>
    <s v="Muito Estável (&gt; 7 anos)"/>
    <x v="1"/>
    <x v="1"/>
    <s v="divorciada/casada"/>
    <x v="0"/>
    <n v="1"/>
    <s v="poupança ou seguro de vida"/>
    <n v="49"/>
    <x v="2"/>
    <s v="banco"/>
    <x v="0"/>
    <n v="1"/>
    <x v="0"/>
    <n v="1"/>
    <s v="sim"/>
    <x v="0"/>
    <n v="1"/>
  </r>
  <r>
    <n v="752"/>
    <x v="1"/>
    <s v="&lt; 0 $"/>
    <s v="negativo/devedor"/>
    <x v="12"/>
    <x v="1"/>
    <x v="3"/>
    <n v="976"/>
    <s v="&lt; 100 $"/>
    <s v="Baixo (&lt; 100 $)"/>
    <s v="&lt; 1 ano"/>
    <s v="Iniciante (&lt; 1 ano)"/>
    <x v="3"/>
    <x v="1"/>
    <s v="divorciada/casada"/>
    <x v="0"/>
    <n v="2"/>
    <s v="carro ou outros-quitado"/>
    <n v="23"/>
    <x v="1"/>
    <s v="nenhum"/>
    <x v="0"/>
    <n v="1"/>
    <x v="1"/>
    <n v="1"/>
    <s v="não"/>
    <x v="0"/>
    <n v="2"/>
  </r>
  <r>
    <n v="753"/>
    <x v="0"/>
    <s v="&gt;= 0 &lt; 200 $"/>
    <s v="saldo baixo"/>
    <x v="2"/>
    <x v="1"/>
    <x v="5"/>
    <n v="841"/>
    <s v="&gt;= 100 &lt; 500 $"/>
    <s v="Médio (100-500$)"/>
    <s v="&lt; 7 anos"/>
    <s v="Estável (4-7 anos)"/>
    <x v="1"/>
    <x v="1"/>
    <s v="divorciada/casada"/>
    <x v="0"/>
    <n v="4"/>
    <s v="imovel"/>
    <n v="23"/>
    <x v="1"/>
    <s v="nenhum"/>
    <x v="2"/>
    <n v="1"/>
    <x v="1"/>
    <n v="1"/>
    <s v="não"/>
    <x v="0"/>
    <n v="1"/>
  </r>
  <r>
    <n v="754"/>
    <x v="0"/>
    <s v="sem conta corrente"/>
    <s v="sem conta no banco"/>
    <x v="6"/>
    <x v="0"/>
    <x v="0"/>
    <n v="5771"/>
    <s v="&lt; 100 $"/>
    <s v="Baixo (&lt; 100 $)"/>
    <s v="&lt; 7 anos"/>
    <s v="Estável (4-7 anos)"/>
    <x v="0"/>
    <x v="1"/>
    <s v="divorciada/casada"/>
    <x v="0"/>
    <n v="2"/>
    <s v="carro ou outros-quitado"/>
    <n v="25"/>
    <x v="3"/>
    <s v="nenhum"/>
    <x v="0"/>
    <n v="2"/>
    <x v="0"/>
    <n v="1"/>
    <s v="não"/>
    <x v="0"/>
    <n v="1"/>
  </r>
  <r>
    <n v="755"/>
    <x v="1"/>
    <s v="sem conta corrente"/>
    <s v="sem conta no banco"/>
    <x v="2"/>
    <x v="2"/>
    <x v="7"/>
    <n v="1555"/>
    <s v="&gt;= 1000 $"/>
    <s v="Muito alto (&gt;1000$)"/>
    <s v="&gt;= 7 anos"/>
    <s v="Muito Estável (&gt; 7 anos)"/>
    <x v="0"/>
    <x v="0"/>
    <s v="solteiro"/>
    <x v="0"/>
    <n v="4"/>
    <s v="sem bens"/>
    <n v="55"/>
    <x v="2"/>
    <s v="nenhum"/>
    <x v="1"/>
    <n v="2"/>
    <x v="0"/>
    <n v="2"/>
    <s v="não"/>
    <x v="0"/>
    <n v="2"/>
  </r>
  <r>
    <n v="756"/>
    <x v="1"/>
    <s v="&lt; 0 $"/>
    <s v="negativo/devedor"/>
    <x v="4"/>
    <x v="1"/>
    <x v="3"/>
    <n v="1285"/>
    <s v="sem poupança"/>
    <s v="sem poupança"/>
    <s v="&lt; 7 anos"/>
    <s v="Estável (4-7 anos)"/>
    <x v="0"/>
    <x v="1"/>
    <s v="divorciada/casada"/>
    <x v="0"/>
    <n v="4"/>
    <s v="sem bens"/>
    <n v="32"/>
    <x v="3"/>
    <s v="nenhum"/>
    <x v="2"/>
    <n v="1"/>
    <x v="0"/>
    <n v="1"/>
    <s v="não"/>
    <x v="0"/>
    <n v="2"/>
  </r>
  <r>
    <n v="757"/>
    <x v="0"/>
    <s v="&gt;= 200 $"/>
    <s v="saldo saudável"/>
    <x v="0"/>
    <x v="0"/>
    <x v="3"/>
    <n v="1299"/>
    <s v="&lt; 100 $"/>
    <s v="Baixo (&lt; 100 $)"/>
    <s v="&lt; 4 anos"/>
    <s v="Intermediário (1-4 anos)"/>
    <x v="3"/>
    <x v="0"/>
    <s v="solteiro"/>
    <x v="0"/>
    <n v="1"/>
    <s v="imovel"/>
    <n v="74"/>
    <x v="0"/>
    <s v="nenhum"/>
    <x v="0"/>
    <n v="3"/>
    <x v="3"/>
    <n v="2"/>
    <s v="não"/>
    <x v="1"/>
    <n v="1"/>
  </r>
  <r>
    <n v="758"/>
    <x v="1"/>
    <s v="&gt;= 200 $"/>
    <s v="saldo saudável"/>
    <x v="7"/>
    <x v="0"/>
    <x v="0"/>
    <n v="1271"/>
    <s v="sem poupança"/>
    <s v="sem poupança"/>
    <s v="&lt; 4 anos"/>
    <s v="Intermediário (1-4 anos)"/>
    <x v="2"/>
    <x v="0"/>
    <s v="solteiro"/>
    <x v="0"/>
    <n v="4"/>
    <s v="sem bens"/>
    <n v="39"/>
    <x v="3"/>
    <s v="nenhum"/>
    <x v="1"/>
    <n v="2"/>
    <x v="0"/>
    <n v="1"/>
    <s v="sim"/>
    <x v="0"/>
    <n v="2"/>
  </r>
  <r>
    <n v="759"/>
    <x v="0"/>
    <s v="sem conta corrente"/>
    <s v="sem conta no banco"/>
    <x v="4"/>
    <x v="1"/>
    <x v="3"/>
    <n v="1393"/>
    <s v="&lt; 100 $"/>
    <s v="Baixo (&lt; 100 $)"/>
    <s v="&lt; 4 anos"/>
    <s v="Intermediário (1-4 anos)"/>
    <x v="1"/>
    <x v="0"/>
    <s v="solteiro"/>
    <x v="1"/>
    <n v="2"/>
    <s v="imovel"/>
    <n v="31"/>
    <x v="3"/>
    <s v="nenhum"/>
    <x v="0"/>
    <n v="1"/>
    <x v="0"/>
    <n v="1"/>
    <s v="sim"/>
    <x v="0"/>
    <n v="1"/>
  </r>
  <r>
    <n v="760"/>
    <x v="1"/>
    <s v="&lt; 0 $"/>
    <s v="negativo/devedor"/>
    <x v="2"/>
    <x v="0"/>
    <x v="3"/>
    <n v="691"/>
    <s v="&lt; 100 $"/>
    <s v="Baixo (&lt; 100 $)"/>
    <s v="&gt;= 7 anos"/>
    <s v="Muito Estável (&gt; 7 anos)"/>
    <x v="0"/>
    <x v="0"/>
    <s v="solteiro"/>
    <x v="0"/>
    <n v="3"/>
    <s v="poupança ou seguro de vida"/>
    <n v="35"/>
    <x v="3"/>
    <s v="nenhum"/>
    <x v="0"/>
    <n v="2"/>
    <x v="0"/>
    <n v="1"/>
    <s v="não"/>
    <x v="0"/>
    <n v="2"/>
  </r>
  <r>
    <n v="761"/>
    <x v="0"/>
    <s v="sem conta corrente"/>
    <s v="sem conta no banco"/>
    <x v="7"/>
    <x v="0"/>
    <x v="3"/>
    <n v="5045"/>
    <s v="sem poupança"/>
    <s v="sem poupança"/>
    <s v="&gt;= 7 anos"/>
    <s v="Muito Estável (&gt; 7 anos)"/>
    <x v="3"/>
    <x v="1"/>
    <s v="divorciada/casada"/>
    <x v="0"/>
    <n v="4"/>
    <s v="carro ou outros-quitado"/>
    <n v="59"/>
    <x v="2"/>
    <s v="nenhum"/>
    <x v="0"/>
    <n v="1"/>
    <x v="0"/>
    <n v="1"/>
    <s v="sim"/>
    <x v="0"/>
    <n v="1"/>
  </r>
  <r>
    <n v="762"/>
    <x v="1"/>
    <s v="&lt; 0 $"/>
    <s v="negativo/devedor"/>
    <x v="12"/>
    <x v="0"/>
    <x v="2"/>
    <n v="2124"/>
    <s v="&lt; 100 $"/>
    <s v="Baixo (&lt; 100 $)"/>
    <s v="&lt; 4 anos"/>
    <s v="Intermediário (1-4 anos)"/>
    <x v="0"/>
    <x v="1"/>
    <s v="divorciada/casada"/>
    <x v="0"/>
    <n v="4"/>
    <s v="imovel"/>
    <n v="24"/>
    <x v="1"/>
    <s v="nenhum"/>
    <x v="2"/>
    <n v="2"/>
    <x v="0"/>
    <n v="1"/>
    <s v="não"/>
    <x v="0"/>
    <n v="2"/>
  </r>
  <r>
    <n v="763"/>
    <x v="0"/>
    <s v="&lt; 0 $"/>
    <s v="negativo/devedor"/>
    <x v="2"/>
    <x v="1"/>
    <x v="0"/>
    <n v="2214"/>
    <s v="&lt; 100 $"/>
    <s v="Baixo (&lt; 100 $)"/>
    <s v="&lt; 4 anos"/>
    <s v="Intermediário (1-4 anos)"/>
    <x v="0"/>
    <x v="0"/>
    <s v="solteiro"/>
    <x v="0"/>
    <n v="3"/>
    <s v="poupança ou seguro de vida"/>
    <n v="24"/>
    <x v="1"/>
    <s v="nenhum"/>
    <x v="0"/>
    <n v="1"/>
    <x v="1"/>
    <n v="1"/>
    <s v="não"/>
    <x v="0"/>
    <n v="1"/>
  </r>
  <r>
    <n v="764"/>
    <x v="1"/>
    <s v="sem conta corrente"/>
    <s v="sem conta no banco"/>
    <x v="21"/>
    <x v="0"/>
    <x v="3"/>
    <n v="12680"/>
    <s v="sem poupança"/>
    <s v="sem poupança"/>
    <s v="&gt;= 7 anos"/>
    <s v="Muito Estável (&gt; 7 anos)"/>
    <x v="0"/>
    <x v="0"/>
    <s v="solteiro"/>
    <x v="0"/>
    <n v="4"/>
    <s v="sem bens"/>
    <n v="30"/>
    <x v="3"/>
    <s v="nenhum"/>
    <x v="1"/>
    <n v="1"/>
    <x v="2"/>
    <n v="1"/>
    <s v="sim"/>
    <x v="0"/>
    <n v="2"/>
  </r>
  <r>
    <n v="765"/>
    <x v="0"/>
    <s v="sem conta corrente"/>
    <s v="sem conta no banco"/>
    <x v="4"/>
    <x v="0"/>
    <x v="3"/>
    <n v="2463"/>
    <s v="&gt;= 100 &lt; 500 $"/>
    <s v="Médio (100-500$)"/>
    <s v="&lt; 7 anos"/>
    <s v="Estável (4-7 anos)"/>
    <x v="0"/>
    <x v="0"/>
    <s v="casado/viuvo"/>
    <x v="0"/>
    <n v="3"/>
    <s v="poupança ou seguro de vida"/>
    <n v="27"/>
    <x v="3"/>
    <s v="nenhum"/>
    <x v="0"/>
    <n v="2"/>
    <x v="0"/>
    <n v="1"/>
    <s v="sim"/>
    <x v="0"/>
    <n v="1"/>
  </r>
  <r>
    <n v="766"/>
    <x v="0"/>
    <s v="&gt;= 0 &lt; 200 $"/>
    <s v="saldo baixo"/>
    <x v="2"/>
    <x v="1"/>
    <x v="0"/>
    <n v="1155"/>
    <s v="&lt; 100 $"/>
    <s v="Baixo (&lt; 100 $)"/>
    <s v="&gt;= 7 anos"/>
    <s v="Muito Estável (&gt; 7 anos)"/>
    <x v="2"/>
    <x v="0"/>
    <s v="casado/viuvo"/>
    <x v="1"/>
    <n v="3"/>
    <s v="imovel"/>
    <n v="40"/>
    <x v="2"/>
    <s v="banco"/>
    <x v="0"/>
    <n v="2"/>
    <x v="1"/>
    <n v="1"/>
    <s v="não"/>
    <x v="0"/>
    <n v="1"/>
  </r>
  <r>
    <n v="767"/>
    <x v="1"/>
    <s v="&lt; 0 $"/>
    <s v="negativo/devedor"/>
    <x v="6"/>
    <x v="1"/>
    <x v="2"/>
    <n v="3108"/>
    <s v="&lt; 100 $"/>
    <s v="Baixo (&lt; 100 $)"/>
    <s v="&lt; 1 ano"/>
    <s v="Iniciante (&lt; 1 ano)"/>
    <x v="1"/>
    <x v="0"/>
    <s v="divorciado"/>
    <x v="0"/>
    <n v="4"/>
    <s v="poupança ou seguro de vida"/>
    <n v="31"/>
    <x v="3"/>
    <s v="nenhum"/>
    <x v="0"/>
    <n v="1"/>
    <x v="1"/>
    <n v="1"/>
    <s v="não"/>
    <x v="0"/>
    <n v="2"/>
  </r>
  <r>
    <n v="768"/>
    <x v="0"/>
    <s v="sem conta corrente"/>
    <s v="sem conta no banco"/>
    <x v="9"/>
    <x v="1"/>
    <x v="4"/>
    <n v="2901"/>
    <s v="sem poupança"/>
    <s v="sem poupança"/>
    <s v="&lt; 1 ano"/>
    <s v="Iniciante (&lt; 1 ano)"/>
    <x v="3"/>
    <x v="1"/>
    <s v="divorciada/casada"/>
    <x v="0"/>
    <n v="4"/>
    <s v="imovel"/>
    <n v="31"/>
    <x v="3"/>
    <s v="nenhum"/>
    <x v="2"/>
    <n v="1"/>
    <x v="0"/>
    <n v="1"/>
    <s v="não"/>
    <x v="0"/>
    <n v="1"/>
  </r>
  <r>
    <n v="769"/>
    <x v="0"/>
    <s v="&gt;= 0 &lt; 200 $"/>
    <s v="saldo baixo"/>
    <x v="2"/>
    <x v="0"/>
    <x v="2"/>
    <n v="3617"/>
    <s v="&lt; 100 $"/>
    <s v="Baixo (&lt; 100 $)"/>
    <s v="&gt;= 7 anos"/>
    <s v="Muito Estável (&gt; 7 anos)"/>
    <x v="3"/>
    <x v="0"/>
    <s v="solteiro"/>
    <x v="0"/>
    <n v="4"/>
    <s v="carro ou outros-quitado"/>
    <n v="28"/>
    <x v="3"/>
    <s v="nenhum"/>
    <x v="2"/>
    <n v="3"/>
    <x v="0"/>
    <n v="1"/>
    <s v="sim"/>
    <x v="0"/>
    <n v="1"/>
  </r>
  <r>
    <n v="770"/>
    <x v="0"/>
    <s v="sem conta corrente"/>
    <s v="sem conta no banco"/>
    <x v="2"/>
    <x v="0"/>
    <x v="0"/>
    <n v="1655"/>
    <s v="&lt; 100 $"/>
    <s v="Baixo (&lt; 100 $)"/>
    <s v="&gt;= 7 anos"/>
    <s v="Muito Estável (&gt; 7 anos)"/>
    <x v="1"/>
    <x v="0"/>
    <s v="solteiro"/>
    <x v="0"/>
    <n v="4"/>
    <s v="imovel"/>
    <n v="63"/>
    <x v="0"/>
    <s v="nenhum"/>
    <x v="0"/>
    <n v="2"/>
    <x v="1"/>
    <n v="1"/>
    <s v="sim"/>
    <x v="0"/>
    <n v="1"/>
  </r>
  <r>
    <n v="771"/>
    <x v="0"/>
    <s v="&lt; 0 $"/>
    <s v="negativo/devedor"/>
    <x v="4"/>
    <x v="1"/>
    <x v="4"/>
    <n v="2812"/>
    <s v="sem poupança"/>
    <s v="sem poupança"/>
    <s v="&gt;= 7 anos"/>
    <s v="Muito Estável (&gt; 7 anos)"/>
    <x v="1"/>
    <x v="1"/>
    <s v="divorciada/casada"/>
    <x v="0"/>
    <n v="4"/>
    <s v="imovel"/>
    <n v="26"/>
    <x v="3"/>
    <s v="nenhum"/>
    <x v="2"/>
    <n v="1"/>
    <x v="0"/>
    <n v="1"/>
    <s v="não"/>
    <x v="0"/>
    <n v="1"/>
  </r>
  <r>
    <n v="772"/>
    <x v="1"/>
    <s v="&lt; 0 $"/>
    <s v="negativo/devedor"/>
    <x v="5"/>
    <x v="0"/>
    <x v="1"/>
    <n v="8065"/>
    <s v="&lt; 100 $"/>
    <s v="Baixo (&lt; 100 $)"/>
    <s v="&lt; 4 anos"/>
    <s v="Intermediário (1-4 anos)"/>
    <x v="2"/>
    <x v="1"/>
    <s v="divorciada/casada"/>
    <x v="0"/>
    <n v="2"/>
    <s v="sem bens"/>
    <n v="25"/>
    <x v="3"/>
    <s v="nenhum"/>
    <x v="0"/>
    <n v="2"/>
    <x v="2"/>
    <n v="1"/>
    <s v="sim"/>
    <x v="0"/>
    <n v="2"/>
  </r>
  <r>
    <n v="773"/>
    <x v="0"/>
    <s v="sem conta corrente"/>
    <s v="sem conta no banco"/>
    <x v="21"/>
    <x v="0"/>
    <x v="4"/>
    <n v="3275"/>
    <s v="&lt; 100 $"/>
    <s v="Baixo (&lt; 100 $)"/>
    <s v="&gt;= 7 anos"/>
    <s v="Muito Estável (&gt; 7 anos)"/>
    <x v="3"/>
    <x v="0"/>
    <s v="solteiro"/>
    <x v="0"/>
    <n v="4"/>
    <s v="carro ou outros-quitado"/>
    <n v="36"/>
    <x v="3"/>
    <s v="nenhum"/>
    <x v="0"/>
    <n v="1"/>
    <x v="2"/>
    <n v="1"/>
    <s v="sim"/>
    <x v="0"/>
    <n v="1"/>
  </r>
  <r>
    <n v="774"/>
    <x v="0"/>
    <s v="sem conta corrente"/>
    <s v="sem conta no banco"/>
    <x v="4"/>
    <x v="0"/>
    <x v="0"/>
    <n v="2223"/>
    <s v="&gt;= 100 &lt; 500 $"/>
    <s v="Médio (100-500$)"/>
    <s v="&gt;= 7 anos"/>
    <s v="Muito Estável (&gt; 7 anos)"/>
    <x v="0"/>
    <x v="0"/>
    <s v="solteiro"/>
    <x v="0"/>
    <n v="4"/>
    <s v="poupança ou seguro de vida"/>
    <n v="52"/>
    <x v="2"/>
    <s v="banco"/>
    <x v="0"/>
    <n v="2"/>
    <x v="0"/>
    <n v="1"/>
    <s v="não"/>
    <x v="0"/>
    <n v="1"/>
  </r>
  <r>
    <n v="775"/>
    <x v="0"/>
    <s v="&gt;= 200 $"/>
    <s v="saldo saudável"/>
    <x v="2"/>
    <x v="0"/>
    <x v="3"/>
    <n v="1480"/>
    <s v="&gt;= 500 &lt; 1000 $"/>
    <s v="Alto (500-1000 $)"/>
    <s v="desempregado"/>
    <s v="desempregado"/>
    <x v="1"/>
    <x v="0"/>
    <s v="solteiro"/>
    <x v="0"/>
    <n v="4"/>
    <s v="sem bens"/>
    <n v="66"/>
    <x v="0"/>
    <s v="banco"/>
    <x v="1"/>
    <n v="3"/>
    <x v="3"/>
    <n v="1"/>
    <s v="não"/>
    <x v="0"/>
    <n v="1"/>
  </r>
  <r>
    <n v="776"/>
    <x v="1"/>
    <s v="&lt; 0 $"/>
    <s v="negativo/devedor"/>
    <x v="4"/>
    <x v="1"/>
    <x v="3"/>
    <n v="1371"/>
    <s v="sem poupança"/>
    <s v="sem poupança"/>
    <s v="&lt; 4 anos"/>
    <s v="Intermediário (1-4 anos)"/>
    <x v="0"/>
    <x v="1"/>
    <s v="divorciada/casada"/>
    <x v="0"/>
    <n v="4"/>
    <s v="imovel"/>
    <n v="25"/>
    <x v="3"/>
    <s v="nenhum"/>
    <x v="2"/>
    <n v="1"/>
    <x v="0"/>
    <n v="1"/>
    <s v="não"/>
    <x v="0"/>
    <n v="2"/>
  </r>
  <r>
    <n v="777"/>
    <x v="0"/>
    <s v="sem conta corrente"/>
    <s v="sem conta no banco"/>
    <x v="5"/>
    <x v="0"/>
    <x v="3"/>
    <n v="3535"/>
    <s v="&lt; 100 $"/>
    <s v="Baixo (&lt; 100 $)"/>
    <s v="&lt; 7 anos"/>
    <s v="Estável (4-7 anos)"/>
    <x v="0"/>
    <x v="0"/>
    <s v="solteiro"/>
    <x v="0"/>
    <n v="4"/>
    <s v="carro ou outros-quitado"/>
    <n v="37"/>
    <x v="3"/>
    <s v="nenhum"/>
    <x v="0"/>
    <n v="2"/>
    <x v="0"/>
    <n v="1"/>
    <s v="sim"/>
    <x v="0"/>
    <n v="1"/>
  </r>
  <r>
    <n v="778"/>
    <x v="0"/>
    <s v="&lt; 0 $"/>
    <s v="negativo/devedor"/>
    <x v="12"/>
    <x v="1"/>
    <x v="0"/>
    <n v="3509"/>
    <s v="&lt; 100 $"/>
    <s v="Baixo (&lt; 100 $)"/>
    <s v="&lt; 7 anos"/>
    <s v="Estável (4-7 anos)"/>
    <x v="0"/>
    <x v="1"/>
    <s v="divorciada/casada"/>
    <x v="1"/>
    <n v="1"/>
    <s v="imovel"/>
    <n v="25"/>
    <x v="3"/>
    <s v="nenhum"/>
    <x v="0"/>
    <n v="1"/>
    <x v="0"/>
    <n v="1"/>
    <s v="não"/>
    <x v="0"/>
    <n v="1"/>
  </r>
  <r>
    <n v="779"/>
    <x v="0"/>
    <s v="sem conta corrente"/>
    <s v="sem conta no banco"/>
    <x v="5"/>
    <x v="0"/>
    <x v="4"/>
    <n v="5711"/>
    <s v="&gt;= 1000 $"/>
    <s v="Muito alto (&gt;1000$)"/>
    <s v="&gt;= 7 anos"/>
    <s v="Muito Estável (&gt; 7 anos)"/>
    <x v="0"/>
    <x v="0"/>
    <s v="solteiro"/>
    <x v="0"/>
    <n v="2"/>
    <s v="carro ou outros-quitado"/>
    <n v="38"/>
    <x v="3"/>
    <s v="nenhum"/>
    <x v="0"/>
    <n v="2"/>
    <x v="2"/>
    <n v="1"/>
    <s v="sim"/>
    <x v="0"/>
    <n v="1"/>
  </r>
  <r>
    <n v="780"/>
    <x v="0"/>
    <s v="&gt;= 0 &lt; 200 $"/>
    <s v="saldo baixo"/>
    <x v="12"/>
    <x v="1"/>
    <x v="7"/>
    <n v="3872"/>
    <s v="&lt; 100 $"/>
    <s v="Baixo (&lt; 100 $)"/>
    <s v="desempregado"/>
    <s v="desempregado"/>
    <x v="1"/>
    <x v="1"/>
    <s v="divorciada/casada"/>
    <x v="0"/>
    <n v="4"/>
    <s v="carro ou outros-quitado"/>
    <n v="67"/>
    <x v="0"/>
    <s v="nenhum"/>
    <x v="0"/>
    <n v="1"/>
    <x v="0"/>
    <n v="1"/>
    <s v="sim"/>
    <x v="0"/>
    <n v="1"/>
  </r>
  <r>
    <n v="781"/>
    <x v="1"/>
    <s v="&gt;= 0 &lt; 200 $"/>
    <s v="saldo baixo"/>
    <x v="27"/>
    <x v="0"/>
    <x v="0"/>
    <n v="4933"/>
    <s v="&lt; 100 $"/>
    <s v="Baixo (&lt; 100 $)"/>
    <s v="&lt; 7 anos"/>
    <s v="Estável (4-7 anos)"/>
    <x v="1"/>
    <x v="0"/>
    <s v="solteiro"/>
    <x v="1"/>
    <n v="2"/>
    <s v="imovel"/>
    <n v="25"/>
    <x v="3"/>
    <s v="nenhum"/>
    <x v="0"/>
    <n v="2"/>
    <x v="0"/>
    <n v="1"/>
    <s v="não"/>
    <x v="0"/>
    <n v="2"/>
  </r>
  <r>
    <n v="782"/>
    <x v="0"/>
    <s v="sem conta corrente"/>
    <s v="sem conta no banco"/>
    <x v="4"/>
    <x v="0"/>
    <x v="3"/>
    <n v="1940"/>
    <s v="&gt;= 1000 $"/>
    <s v="Muito alto (&gt;1000$)"/>
    <s v="&gt;= 7 anos"/>
    <s v="Muito Estável (&gt; 7 anos)"/>
    <x v="0"/>
    <x v="0"/>
    <s v="solteiro"/>
    <x v="0"/>
    <n v="4"/>
    <s v="imovel"/>
    <n v="60"/>
    <x v="0"/>
    <s v="nenhum"/>
    <x v="0"/>
    <n v="1"/>
    <x v="0"/>
    <n v="1"/>
    <s v="sim"/>
    <x v="0"/>
    <n v="1"/>
  </r>
  <r>
    <n v="783"/>
    <x v="0"/>
    <s v="&gt;= 0 &lt; 200 $"/>
    <s v="saldo baixo"/>
    <x v="2"/>
    <x v="3"/>
    <x v="9"/>
    <n v="1410"/>
    <s v="&lt; 100 $"/>
    <s v="Baixo (&lt; 100 $)"/>
    <s v="&lt; 4 anos"/>
    <s v="Intermediário (1-4 anos)"/>
    <x v="1"/>
    <x v="0"/>
    <s v="solteiro"/>
    <x v="0"/>
    <n v="2"/>
    <s v="imovel"/>
    <n v="31"/>
    <x v="3"/>
    <s v="nenhum"/>
    <x v="0"/>
    <n v="1"/>
    <x v="1"/>
    <n v="1"/>
    <s v="sim"/>
    <x v="0"/>
    <n v="1"/>
  </r>
  <r>
    <n v="784"/>
    <x v="1"/>
    <s v="&gt;= 0 &lt; 200 $"/>
    <s v="saldo baixo"/>
    <x v="2"/>
    <x v="1"/>
    <x v="3"/>
    <n v="836"/>
    <s v="&gt;= 100 &lt; 500 $"/>
    <s v="Médio (100-500$)"/>
    <s v="&lt; 1 ano"/>
    <s v="Iniciante (&lt; 1 ano)"/>
    <x v="0"/>
    <x v="1"/>
    <s v="divorciada/casada"/>
    <x v="0"/>
    <n v="2"/>
    <s v="poupança ou seguro de vida"/>
    <n v="23"/>
    <x v="1"/>
    <s v="banco"/>
    <x v="0"/>
    <n v="1"/>
    <x v="1"/>
    <n v="1"/>
    <s v="não"/>
    <x v="0"/>
    <n v="2"/>
  </r>
  <r>
    <n v="785"/>
    <x v="0"/>
    <s v="&gt;= 0 &lt; 200 $"/>
    <s v="saldo baixo"/>
    <x v="18"/>
    <x v="1"/>
    <x v="4"/>
    <n v="6468"/>
    <s v="sem poupança"/>
    <s v="sem poupança"/>
    <s v="desempregado"/>
    <s v="desempregado"/>
    <x v="3"/>
    <x v="0"/>
    <s v="divorciado"/>
    <x v="0"/>
    <n v="4"/>
    <s v="imovel"/>
    <n v="60"/>
    <x v="0"/>
    <s v="nenhum"/>
    <x v="0"/>
    <n v="1"/>
    <x v="2"/>
    <n v="1"/>
    <s v="sim"/>
    <x v="0"/>
    <n v="1"/>
  </r>
  <r>
    <n v="786"/>
    <x v="0"/>
    <s v="&gt;= 0 &lt; 200 $"/>
    <s v="saldo baixo"/>
    <x v="12"/>
    <x v="1"/>
    <x v="5"/>
    <n v="1941"/>
    <s v="&gt;= 1000 $"/>
    <s v="Muito alto (&gt;1000$)"/>
    <s v="&lt; 4 anos"/>
    <s v="Intermediário (1-4 anos)"/>
    <x v="0"/>
    <x v="0"/>
    <s v="solteiro"/>
    <x v="0"/>
    <n v="2"/>
    <s v="poupança ou seguro de vida"/>
    <n v="35"/>
    <x v="3"/>
    <s v="nenhum"/>
    <x v="0"/>
    <n v="1"/>
    <x v="1"/>
    <n v="1"/>
    <s v="sim"/>
    <x v="0"/>
    <n v="1"/>
  </r>
  <r>
    <n v="787"/>
    <x v="0"/>
    <s v="sem conta corrente"/>
    <s v="sem conta no banco"/>
    <x v="26"/>
    <x v="1"/>
    <x v="0"/>
    <n v="2675"/>
    <s v="&gt;= 500 &lt; 1000 $"/>
    <s v="Alto (500-1000 $)"/>
    <s v="&gt;= 7 anos"/>
    <s v="Muito Estável (&gt; 7 anos)"/>
    <x v="2"/>
    <x v="0"/>
    <s v="solteiro"/>
    <x v="0"/>
    <n v="4"/>
    <s v="carro ou outros-quitado"/>
    <n v="40"/>
    <x v="2"/>
    <s v="nenhum"/>
    <x v="0"/>
    <n v="1"/>
    <x v="0"/>
    <n v="1"/>
    <s v="não"/>
    <x v="0"/>
    <n v="1"/>
  </r>
  <r>
    <n v="788"/>
    <x v="0"/>
    <s v="sem conta corrente"/>
    <s v="sem conta no banco"/>
    <x v="1"/>
    <x v="0"/>
    <x v="4"/>
    <n v="2751"/>
    <s v="sem poupança"/>
    <s v="sem poupança"/>
    <s v="&gt;= 7 anos"/>
    <s v="Muito Estável (&gt; 7 anos)"/>
    <x v="0"/>
    <x v="0"/>
    <s v="solteiro"/>
    <x v="0"/>
    <n v="3"/>
    <s v="carro ou outros-quitado"/>
    <n v="38"/>
    <x v="3"/>
    <s v="nenhum"/>
    <x v="0"/>
    <n v="2"/>
    <x v="0"/>
    <n v="2"/>
    <s v="sim"/>
    <x v="0"/>
    <n v="1"/>
  </r>
  <r>
    <n v="789"/>
    <x v="1"/>
    <s v="&gt;= 0 &lt; 200 $"/>
    <s v="saldo baixo"/>
    <x v="1"/>
    <x v="2"/>
    <x v="1"/>
    <n v="6224"/>
    <s v="&lt; 100 $"/>
    <s v="Baixo (&lt; 100 $)"/>
    <s v="&gt;= 7 anos"/>
    <s v="Muito Estável (&gt; 7 anos)"/>
    <x v="0"/>
    <x v="0"/>
    <s v="solteiro"/>
    <x v="0"/>
    <n v="4"/>
    <s v="sem bens"/>
    <n v="50"/>
    <x v="2"/>
    <s v="nenhum"/>
    <x v="1"/>
    <n v="1"/>
    <x v="0"/>
    <n v="1"/>
    <s v="não"/>
    <x v="0"/>
    <n v="2"/>
  </r>
  <r>
    <n v="790"/>
    <x v="1"/>
    <s v="&lt; 0 $"/>
    <s v="negativo/devedor"/>
    <x v="32"/>
    <x v="0"/>
    <x v="1"/>
    <n v="5998"/>
    <s v="&lt; 100 $"/>
    <s v="Baixo (&lt; 100 $)"/>
    <s v="&lt; 4 anos"/>
    <s v="Intermediário (1-4 anos)"/>
    <x v="0"/>
    <x v="0"/>
    <s v="solteiro"/>
    <x v="0"/>
    <n v="3"/>
    <s v="sem bens"/>
    <n v="27"/>
    <x v="3"/>
    <s v="banco"/>
    <x v="0"/>
    <n v="1"/>
    <x v="0"/>
    <n v="1"/>
    <s v="sim"/>
    <x v="0"/>
    <n v="2"/>
  </r>
  <r>
    <n v="791"/>
    <x v="1"/>
    <s v="&gt;= 0 &lt; 200 $"/>
    <s v="saldo baixo"/>
    <x v="21"/>
    <x v="1"/>
    <x v="5"/>
    <n v="1188"/>
    <s v="&lt; 100 $"/>
    <s v="Baixo (&lt; 100 $)"/>
    <s v="&gt;= 7 anos"/>
    <s v="Muito Estável (&gt; 7 anos)"/>
    <x v="1"/>
    <x v="1"/>
    <s v="divorciada/casada"/>
    <x v="0"/>
    <n v="4"/>
    <s v="poupança ou seguro de vida"/>
    <n v="39"/>
    <x v="3"/>
    <s v="nenhum"/>
    <x v="0"/>
    <n v="1"/>
    <x v="0"/>
    <n v="2"/>
    <s v="não"/>
    <x v="0"/>
    <n v="2"/>
  </r>
  <r>
    <n v="792"/>
    <x v="0"/>
    <s v="sem conta corrente"/>
    <s v="sem conta no banco"/>
    <x v="4"/>
    <x v="1"/>
    <x v="4"/>
    <n v="6313"/>
    <s v="sem poupança"/>
    <s v="sem poupança"/>
    <s v="&gt;= 7 anos"/>
    <s v="Muito Estável (&gt; 7 anos)"/>
    <x v="2"/>
    <x v="0"/>
    <s v="solteiro"/>
    <x v="0"/>
    <n v="4"/>
    <s v="carro ou outros-quitado"/>
    <n v="41"/>
    <x v="2"/>
    <s v="nenhum"/>
    <x v="0"/>
    <n v="1"/>
    <x v="2"/>
    <n v="2"/>
    <s v="sim"/>
    <x v="0"/>
    <n v="1"/>
  </r>
  <r>
    <n v="793"/>
    <x v="0"/>
    <s v="sem conta corrente"/>
    <s v="sem conta no banco"/>
    <x v="0"/>
    <x v="0"/>
    <x v="2"/>
    <n v="1221"/>
    <s v="sem poupança"/>
    <s v="sem poupança"/>
    <s v="&lt; 4 anos"/>
    <s v="Intermediário (1-4 anos)"/>
    <x v="3"/>
    <x v="0"/>
    <s v="casado/viuvo"/>
    <x v="0"/>
    <n v="2"/>
    <s v="poupança ou seguro de vida"/>
    <n v="27"/>
    <x v="3"/>
    <s v="nenhum"/>
    <x v="0"/>
    <n v="2"/>
    <x v="0"/>
    <n v="1"/>
    <s v="não"/>
    <x v="0"/>
    <n v="1"/>
  </r>
  <r>
    <n v="794"/>
    <x v="0"/>
    <s v="&gt;= 200 $"/>
    <s v="saldo saudável"/>
    <x v="4"/>
    <x v="1"/>
    <x v="2"/>
    <n v="2892"/>
    <s v="&lt; 100 $"/>
    <s v="Baixo (&lt; 100 $)"/>
    <s v="&gt;= 7 anos"/>
    <s v="Muito Estável (&gt; 7 anos)"/>
    <x v="2"/>
    <x v="0"/>
    <s v="divorciado"/>
    <x v="0"/>
    <n v="4"/>
    <s v="sem bens"/>
    <n v="51"/>
    <x v="2"/>
    <s v="nenhum"/>
    <x v="1"/>
    <n v="1"/>
    <x v="0"/>
    <n v="1"/>
    <s v="não"/>
    <x v="0"/>
    <n v="1"/>
  </r>
  <r>
    <n v="795"/>
    <x v="0"/>
    <s v="sem conta corrente"/>
    <s v="sem conta no banco"/>
    <x v="4"/>
    <x v="1"/>
    <x v="2"/>
    <n v="3062"/>
    <s v="&gt;= 500 &lt; 1000 $"/>
    <s v="Alto (500-1000 $)"/>
    <s v="&gt;= 7 anos"/>
    <s v="Muito Estável (&gt; 7 anos)"/>
    <x v="0"/>
    <x v="0"/>
    <s v="solteiro"/>
    <x v="0"/>
    <n v="3"/>
    <s v="sem bens"/>
    <n v="32"/>
    <x v="3"/>
    <s v="nenhum"/>
    <x v="2"/>
    <n v="1"/>
    <x v="0"/>
    <n v="1"/>
    <s v="sim"/>
    <x v="0"/>
    <n v="1"/>
  </r>
  <r>
    <n v="796"/>
    <x v="0"/>
    <s v="sem conta corrente"/>
    <s v="sem conta no banco"/>
    <x v="8"/>
    <x v="1"/>
    <x v="2"/>
    <n v="2301"/>
    <s v="&gt;= 100 &lt; 500 $"/>
    <s v="Médio (100-500$)"/>
    <s v="&lt; 1 ano"/>
    <s v="Iniciante (&lt; 1 ano)"/>
    <x v="1"/>
    <x v="1"/>
    <s v="divorciada/casada"/>
    <x v="0"/>
    <n v="4"/>
    <s v="poupança ou seguro de vida"/>
    <n v="22"/>
    <x v="1"/>
    <s v="nenhum"/>
    <x v="2"/>
    <n v="1"/>
    <x v="0"/>
    <n v="1"/>
    <s v="não"/>
    <x v="0"/>
    <n v="1"/>
  </r>
  <r>
    <n v="797"/>
    <x v="1"/>
    <s v="&lt; 0 $"/>
    <s v="negativo/devedor"/>
    <x v="12"/>
    <x v="1"/>
    <x v="4"/>
    <n v="7511"/>
    <s v="sem poupança"/>
    <s v="sem poupança"/>
    <s v="&gt;= 7 anos"/>
    <s v="Muito Estável (&gt; 7 anos)"/>
    <x v="3"/>
    <x v="0"/>
    <s v="solteiro"/>
    <x v="0"/>
    <n v="4"/>
    <s v="poupança ou seguro de vida"/>
    <n v="51"/>
    <x v="2"/>
    <s v="nenhum"/>
    <x v="1"/>
    <n v="1"/>
    <x v="0"/>
    <n v="2"/>
    <s v="sim"/>
    <x v="0"/>
    <n v="2"/>
  </r>
  <r>
    <n v="798"/>
    <x v="0"/>
    <s v="sem conta corrente"/>
    <s v="sem conta no banco"/>
    <x v="2"/>
    <x v="0"/>
    <x v="2"/>
    <n v="1258"/>
    <s v="&lt; 100 $"/>
    <s v="Baixo (&lt; 100 $)"/>
    <s v="&lt; 1 ano"/>
    <s v="Iniciante (&lt; 1 ano)"/>
    <x v="1"/>
    <x v="1"/>
    <s v="divorciada/casada"/>
    <x v="0"/>
    <n v="4"/>
    <s v="poupança ou seguro de vida"/>
    <n v="22"/>
    <x v="1"/>
    <s v="nenhum"/>
    <x v="2"/>
    <n v="2"/>
    <x v="1"/>
    <n v="1"/>
    <s v="não"/>
    <x v="0"/>
    <n v="1"/>
  </r>
  <r>
    <n v="799"/>
    <x v="0"/>
    <s v="sem conta corrente"/>
    <s v="sem conta no banco"/>
    <x v="4"/>
    <x v="2"/>
    <x v="3"/>
    <n v="717"/>
    <s v="sem poupança"/>
    <s v="sem poupança"/>
    <s v="&gt;= 7 anos"/>
    <s v="Muito Estável (&gt; 7 anos)"/>
    <x v="0"/>
    <x v="0"/>
    <s v="casado/viuvo"/>
    <x v="0"/>
    <n v="4"/>
    <s v="carro ou outros-quitado"/>
    <n v="54"/>
    <x v="2"/>
    <s v="nenhum"/>
    <x v="0"/>
    <n v="2"/>
    <x v="0"/>
    <n v="1"/>
    <s v="sim"/>
    <x v="0"/>
    <n v="1"/>
  </r>
  <r>
    <n v="800"/>
    <x v="0"/>
    <s v="&gt;= 0 &lt; 200 $"/>
    <s v="saldo baixo"/>
    <x v="8"/>
    <x v="1"/>
    <x v="3"/>
    <n v="1549"/>
    <s v="sem poupança"/>
    <s v="sem poupança"/>
    <s v="&lt; 1 ano"/>
    <s v="Iniciante (&lt; 1 ano)"/>
    <x v="0"/>
    <x v="0"/>
    <s v="solteiro"/>
    <x v="0"/>
    <n v="2"/>
    <s v="imovel"/>
    <n v="35"/>
    <x v="3"/>
    <s v="nenhum"/>
    <x v="0"/>
    <n v="1"/>
    <x v="3"/>
    <n v="1"/>
    <s v="não"/>
    <x v="0"/>
    <n v="1"/>
  </r>
  <r>
    <n v="801"/>
    <x v="0"/>
    <s v="sem conta corrente"/>
    <s v="sem conta no banco"/>
    <x v="4"/>
    <x v="0"/>
    <x v="1"/>
    <n v="1597"/>
    <s v="&lt; 100 $"/>
    <s v="Baixo (&lt; 100 $)"/>
    <s v="&gt;= 7 anos"/>
    <s v="Muito Estável (&gt; 7 anos)"/>
    <x v="0"/>
    <x v="0"/>
    <s v="solteiro"/>
    <x v="0"/>
    <n v="4"/>
    <s v="sem bens"/>
    <n v="54"/>
    <x v="2"/>
    <s v="nenhum"/>
    <x v="1"/>
    <n v="2"/>
    <x v="0"/>
    <n v="2"/>
    <s v="não"/>
    <x v="0"/>
    <n v="1"/>
  </r>
  <r>
    <n v="802"/>
    <x v="0"/>
    <s v="&gt;= 0 &lt; 200 $"/>
    <s v="saldo baixo"/>
    <x v="12"/>
    <x v="0"/>
    <x v="0"/>
    <n v="1795"/>
    <s v="&lt; 100 $"/>
    <s v="Baixo (&lt; 100 $)"/>
    <s v="&gt;= 7 anos"/>
    <s v="Muito Estável (&gt; 7 anos)"/>
    <x v="2"/>
    <x v="1"/>
    <s v="divorciada/casada"/>
    <x v="1"/>
    <n v="4"/>
    <s v="imovel"/>
    <n v="48"/>
    <x v="2"/>
    <s v="banco"/>
    <x v="2"/>
    <n v="2"/>
    <x v="1"/>
    <n v="1"/>
    <s v="sim"/>
    <x v="0"/>
    <n v="1"/>
  </r>
  <r>
    <n v="803"/>
    <x v="0"/>
    <s v="&lt; 0 $"/>
    <s v="negativo/devedor"/>
    <x v="18"/>
    <x v="0"/>
    <x v="2"/>
    <n v="4272"/>
    <s v="&lt; 100 $"/>
    <s v="Baixo (&lt; 100 $)"/>
    <s v="&gt;= 7 anos"/>
    <s v="Muito Estável (&gt; 7 anos)"/>
    <x v="3"/>
    <x v="1"/>
    <s v="divorciada/casada"/>
    <x v="0"/>
    <n v="4"/>
    <s v="poupança ou seguro de vida"/>
    <n v="24"/>
    <x v="1"/>
    <s v="nenhum"/>
    <x v="0"/>
    <n v="2"/>
    <x v="0"/>
    <n v="1"/>
    <s v="não"/>
    <x v="0"/>
    <n v="1"/>
  </r>
  <r>
    <n v="804"/>
    <x v="0"/>
    <s v="sem conta corrente"/>
    <s v="sem conta no banco"/>
    <x v="2"/>
    <x v="0"/>
    <x v="0"/>
    <n v="976"/>
    <s v="sem poupança"/>
    <s v="sem poupança"/>
    <s v="&gt;= 7 anos"/>
    <s v="Muito Estável (&gt; 7 anos)"/>
    <x v="0"/>
    <x v="0"/>
    <s v="solteiro"/>
    <x v="0"/>
    <n v="4"/>
    <s v="carro ou outros-quitado"/>
    <n v="35"/>
    <x v="3"/>
    <s v="nenhum"/>
    <x v="0"/>
    <n v="2"/>
    <x v="0"/>
    <n v="1"/>
    <s v="não"/>
    <x v="0"/>
    <n v="1"/>
  </r>
  <r>
    <n v="805"/>
    <x v="0"/>
    <s v="&gt;= 0 &lt; 200 $"/>
    <s v="saldo baixo"/>
    <x v="2"/>
    <x v="1"/>
    <x v="3"/>
    <n v="7472"/>
    <s v="sem poupança"/>
    <s v="sem poupança"/>
    <s v="desempregado"/>
    <s v="desempregado"/>
    <x v="3"/>
    <x v="1"/>
    <s v="divorciada/casada"/>
    <x v="0"/>
    <n v="2"/>
    <s v="imovel"/>
    <n v="24"/>
    <x v="1"/>
    <s v="nenhum"/>
    <x v="2"/>
    <n v="1"/>
    <x v="3"/>
    <n v="1"/>
    <s v="não"/>
    <x v="0"/>
    <n v="1"/>
  </r>
  <r>
    <n v="806"/>
    <x v="1"/>
    <s v="&lt; 0 $"/>
    <s v="negativo/devedor"/>
    <x v="5"/>
    <x v="1"/>
    <x v="3"/>
    <n v="9271"/>
    <s v="&lt; 100 $"/>
    <s v="Baixo (&lt; 100 $)"/>
    <s v="&lt; 7 anos"/>
    <s v="Estável (4-7 anos)"/>
    <x v="1"/>
    <x v="0"/>
    <s v="solteiro"/>
    <x v="0"/>
    <n v="1"/>
    <s v="carro ou outros-quitado"/>
    <n v="24"/>
    <x v="1"/>
    <s v="nenhum"/>
    <x v="0"/>
    <n v="1"/>
    <x v="0"/>
    <n v="1"/>
    <s v="sim"/>
    <x v="0"/>
    <n v="2"/>
  </r>
  <r>
    <n v="807"/>
    <x v="0"/>
    <s v="&gt;= 0 &lt; 200 $"/>
    <s v="saldo baixo"/>
    <x v="0"/>
    <x v="1"/>
    <x v="0"/>
    <n v="590"/>
    <s v="&lt; 100 $"/>
    <s v="Baixo (&lt; 100 $)"/>
    <s v="&lt; 1 ano"/>
    <s v="Iniciante (&lt; 1 ano)"/>
    <x v="2"/>
    <x v="0"/>
    <s v="casado/viuvo"/>
    <x v="0"/>
    <n v="3"/>
    <s v="imovel"/>
    <n v="26"/>
    <x v="3"/>
    <s v="nenhum"/>
    <x v="0"/>
    <n v="1"/>
    <x v="1"/>
    <n v="1"/>
    <s v="não"/>
    <x v="1"/>
    <n v="1"/>
  </r>
  <r>
    <n v="808"/>
    <x v="0"/>
    <s v="sem conta corrente"/>
    <s v="sem conta no banco"/>
    <x v="2"/>
    <x v="0"/>
    <x v="0"/>
    <n v="930"/>
    <s v="sem poupança"/>
    <s v="sem poupança"/>
    <s v="&gt;= 7 anos"/>
    <s v="Muito Estável (&gt; 7 anos)"/>
    <x v="0"/>
    <x v="0"/>
    <s v="solteiro"/>
    <x v="0"/>
    <n v="4"/>
    <s v="imovel"/>
    <n v="65"/>
    <x v="0"/>
    <s v="nenhum"/>
    <x v="0"/>
    <n v="4"/>
    <x v="0"/>
    <n v="1"/>
    <s v="não"/>
    <x v="0"/>
    <n v="1"/>
  </r>
  <r>
    <n v="809"/>
    <x v="0"/>
    <s v="&gt;= 0 &lt; 200 $"/>
    <s v="saldo baixo"/>
    <x v="3"/>
    <x v="4"/>
    <x v="4"/>
    <n v="9283"/>
    <s v="&lt; 100 $"/>
    <s v="Baixo (&lt; 100 $)"/>
    <s v="desempregado"/>
    <s v="desempregado"/>
    <x v="3"/>
    <x v="0"/>
    <s v="solteiro"/>
    <x v="0"/>
    <n v="2"/>
    <s v="sem bens"/>
    <n v="55"/>
    <x v="2"/>
    <s v="banco"/>
    <x v="1"/>
    <n v="1"/>
    <x v="2"/>
    <n v="1"/>
    <s v="sim"/>
    <x v="0"/>
    <n v="1"/>
  </r>
  <r>
    <n v="810"/>
    <x v="1"/>
    <s v="&gt;= 0 &lt; 200 $"/>
    <s v="saldo baixo"/>
    <x v="7"/>
    <x v="3"/>
    <x v="3"/>
    <n v="1778"/>
    <s v="&lt; 100 $"/>
    <s v="Baixo (&lt; 100 $)"/>
    <s v="&lt; 1 ano"/>
    <s v="Iniciante (&lt; 1 ano)"/>
    <x v="1"/>
    <x v="1"/>
    <s v="divorciada/casada"/>
    <x v="0"/>
    <n v="1"/>
    <s v="imovel"/>
    <n v="26"/>
    <x v="3"/>
    <s v="nenhum"/>
    <x v="2"/>
    <n v="2"/>
    <x v="3"/>
    <n v="1"/>
    <s v="não"/>
    <x v="0"/>
    <n v="2"/>
  </r>
  <r>
    <n v="811"/>
    <x v="0"/>
    <s v="&gt;= 0 &lt; 200 $"/>
    <s v="saldo baixo"/>
    <x v="16"/>
    <x v="1"/>
    <x v="5"/>
    <n v="907"/>
    <s v="&lt; 100 $"/>
    <s v="Baixo (&lt; 100 $)"/>
    <s v="&lt; 1 ano"/>
    <s v="Iniciante (&lt; 1 ano)"/>
    <x v="2"/>
    <x v="0"/>
    <s v="casado/viuvo"/>
    <x v="0"/>
    <n v="2"/>
    <s v="imovel"/>
    <n v="26"/>
    <x v="3"/>
    <s v="nenhum"/>
    <x v="0"/>
    <n v="1"/>
    <x v="0"/>
    <n v="1"/>
    <s v="sim"/>
    <x v="0"/>
    <n v="1"/>
  </r>
  <r>
    <n v="812"/>
    <x v="0"/>
    <s v="&gt;= 0 &lt; 200 $"/>
    <s v="saldo baixo"/>
    <x v="0"/>
    <x v="1"/>
    <x v="0"/>
    <n v="484"/>
    <s v="&lt; 100 $"/>
    <s v="Baixo (&lt; 100 $)"/>
    <s v="&lt; 7 anos"/>
    <s v="Estável (4-7 anos)"/>
    <x v="2"/>
    <x v="0"/>
    <s v="casado/viuvo"/>
    <x v="1"/>
    <n v="3"/>
    <s v="imovel"/>
    <n v="28"/>
    <x v="3"/>
    <s v="banco"/>
    <x v="0"/>
    <n v="1"/>
    <x v="1"/>
    <n v="1"/>
    <s v="não"/>
    <x v="0"/>
    <n v="1"/>
  </r>
  <r>
    <n v="813"/>
    <x v="1"/>
    <s v="&lt; 0 $"/>
    <s v="negativo/devedor"/>
    <x v="5"/>
    <x v="0"/>
    <x v="4"/>
    <n v="9629"/>
    <s v="&lt; 100 $"/>
    <s v="Baixo (&lt; 100 $)"/>
    <s v="&lt; 7 anos"/>
    <s v="Estável (4-7 anos)"/>
    <x v="0"/>
    <x v="0"/>
    <s v="solteiro"/>
    <x v="0"/>
    <n v="4"/>
    <s v="carro ou outros-quitado"/>
    <n v="24"/>
    <x v="1"/>
    <s v="nenhum"/>
    <x v="0"/>
    <n v="2"/>
    <x v="0"/>
    <n v="1"/>
    <s v="sim"/>
    <x v="0"/>
    <n v="2"/>
  </r>
  <r>
    <n v="814"/>
    <x v="1"/>
    <s v="&lt; 0 $"/>
    <s v="negativo/devedor"/>
    <x v="1"/>
    <x v="1"/>
    <x v="6"/>
    <n v="3051"/>
    <s v="&lt; 100 $"/>
    <s v="Baixo (&lt; 100 $)"/>
    <s v="&lt; 4 anos"/>
    <s v="Intermediário (1-4 anos)"/>
    <x v="2"/>
    <x v="0"/>
    <s v="solteiro"/>
    <x v="0"/>
    <n v="4"/>
    <s v="carro ou outros-quitado"/>
    <n v="54"/>
    <x v="2"/>
    <s v="nenhum"/>
    <x v="0"/>
    <n v="1"/>
    <x v="0"/>
    <n v="1"/>
    <s v="não"/>
    <x v="0"/>
    <n v="2"/>
  </r>
  <r>
    <n v="815"/>
    <x v="1"/>
    <s v="&lt; 0 $"/>
    <s v="negativo/devedor"/>
    <x v="1"/>
    <x v="1"/>
    <x v="3"/>
    <n v="3931"/>
    <s v="&lt; 100 $"/>
    <s v="Baixo (&lt; 100 $)"/>
    <s v="&lt; 7 anos"/>
    <s v="Estável (4-7 anos)"/>
    <x v="0"/>
    <x v="0"/>
    <s v="solteiro"/>
    <x v="0"/>
    <n v="4"/>
    <s v="sem bens"/>
    <n v="46"/>
    <x v="2"/>
    <s v="nenhum"/>
    <x v="1"/>
    <n v="1"/>
    <x v="0"/>
    <n v="2"/>
    <s v="não"/>
    <x v="0"/>
    <n v="2"/>
  </r>
  <r>
    <n v="816"/>
    <x v="0"/>
    <s v="&gt;= 0 &lt; 200 $"/>
    <s v="saldo baixo"/>
    <x v="5"/>
    <x v="2"/>
    <x v="3"/>
    <n v="7432"/>
    <s v="&lt; 100 $"/>
    <s v="Baixo (&lt; 100 $)"/>
    <s v="&lt; 4 anos"/>
    <s v="Intermediário (1-4 anos)"/>
    <x v="1"/>
    <x v="1"/>
    <s v="divorciada/casada"/>
    <x v="0"/>
    <n v="2"/>
    <s v="poupança ou seguro de vida"/>
    <n v="54"/>
    <x v="2"/>
    <s v="nenhum"/>
    <x v="2"/>
    <n v="1"/>
    <x v="0"/>
    <n v="1"/>
    <s v="não"/>
    <x v="0"/>
    <n v="1"/>
  </r>
  <r>
    <n v="817"/>
    <x v="0"/>
    <s v="sem conta corrente"/>
    <s v="sem conta no banco"/>
    <x v="0"/>
    <x v="1"/>
    <x v="6"/>
    <n v="1338"/>
    <s v="&gt;= 500 &lt; 1000 $"/>
    <s v="Alto (500-1000 $)"/>
    <s v="&lt; 4 anos"/>
    <s v="Intermediário (1-4 anos)"/>
    <x v="3"/>
    <x v="0"/>
    <s v="divorciado"/>
    <x v="0"/>
    <n v="4"/>
    <s v="imovel"/>
    <n v="62"/>
    <x v="0"/>
    <s v="nenhum"/>
    <x v="0"/>
    <n v="1"/>
    <x v="0"/>
    <n v="1"/>
    <s v="não"/>
    <x v="0"/>
    <n v="1"/>
  </r>
  <r>
    <n v="818"/>
    <x v="0"/>
    <s v="sem conta corrente"/>
    <s v="sem conta no banco"/>
    <x v="0"/>
    <x v="0"/>
    <x v="0"/>
    <n v="1554"/>
    <s v="&lt; 100 $"/>
    <s v="Baixo (&lt; 100 $)"/>
    <s v="&lt; 7 anos"/>
    <s v="Estável (4-7 anos)"/>
    <x v="3"/>
    <x v="1"/>
    <s v="divorciada/casada"/>
    <x v="0"/>
    <n v="2"/>
    <s v="carro ou outros-quitado"/>
    <n v="24"/>
    <x v="1"/>
    <s v="nenhum"/>
    <x v="2"/>
    <n v="2"/>
    <x v="0"/>
    <n v="1"/>
    <s v="sim"/>
    <x v="0"/>
    <n v="1"/>
  </r>
  <r>
    <n v="819"/>
    <x v="0"/>
    <s v="&lt; 0 $"/>
    <s v="negativo/devedor"/>
    <x v="5"/>
    <x v="1"/>
    <x v="8"/>
    <n v="15857"/>
    <s v="&lt; 100 $"/>
    <s v="Baixo (&lt; 100 $)"/>
    <s v="desempregado"/>
    <s v="desempregado"/>
    <x v="1"/>
    <x v="0"/>
    <s v="divorciado"/>
    <x v="2"/>
    <n v="3"/>
    <s v="carro ou outros-quitado"/>
    <n v="43"/>
    <x v="2"/>
    <s v="nenhum"/>
    <x v="0"/>
    <n v="1"/>
    <x v="2"/>
    <n v="1"/>
    <s v="não"/>
    <x v="0"/>
    <n v="1"/>
  </r>
  <r>
    <n v="820"/>
    <x v="1"/>
    <s v="&lt; 0 $"/>
    <s v="negativo/devedor"/>
    <x v="12"/>
    <x v="1"/>
    <x v="0"/>
    <n v="1345"/>
    <s v="&lt; 100 $"/>
    <s v="Baixo (&lt; 100 $)"/>
    <s v="&lt; 4 anos"/>
    <s v="Intermediário (1-4 anos)"/>
    <x v="0"/>
    <x v="0"/>
    <s v="casado/viuvo"/>
    <x v="0"/>
    <n v="3"/>
    <s v="imovel"/>
    <n v="26"/>
    <x v="3"/>
    <s v="banco"/>
    <x v="0"/>
    <n v="1"/>
    <x v="0"/>
    <n v="1"/>
    <s v="não"/>
    <x v="0"/>
    <n v="2"/>
  </r>
  <r>
    <n v="821"/>
    <x v="0"/>
    <s v="sem conta corrente"/>
    <s v="sem conta no banco"/>
    <x v="2"/>
    <x v="1"/>
    <x v="3"/>
    <n v="1101"/>
    <s v="&lt; 100 $"/>
    <s v="Baixo (&lt; 100 $)"/>
    <s v="&lt; 4 anos"/>
    <s v="Intermediário (1-4 anos)"/>
    <x v="2"/>
    <x v="0"/>
    <s v="casado/viuvo"/>
    <x v="0"/>
    <n v="2"/>
    <s v="imovel"/>
    <n v="27"/>
    <x v="3"/>
    <s v="nenhum"/>
    <x v="0"/>
    <n v="2"/>
    <x v="0"/>
    <n v="1"/>
    <s v="sim"/>
    <x v="0"/>
    <n v="1"/>
  </r>
  <r>
    <n v="822"/>
    <x v="0"/>
    <s v="&gt;= 200 $"/>
    <s v="saldo saudável"/>
    <x v="2"/>
    <x v="1"/>
    <x v="0"/>
    <n v="3016"/>
    <s v="&lt; 100 $"/>
    <s v="Baixo (&lt; 100 $)"/>
    <s v="&lt; 4 anos"/>
    <s v="Intermediário (1-4 anos)"/>
    <x v="2"/>
    <x v="0"/>
    <s v="casado/viuvo"/>
    <x v="0"/>
    <n v="1"/>
    <s v="carro ou outros-quitado"/>
    <n v="24"/>
    <x v="1"/>
    <s v="nenhum"/>
    <x v="0"/>
    <n v="1"/>
    <x v="0"/>
    <n v="1"/>
    <s v="não"/>
    <x v="0"/>
    <n v="1"/>
  </r>
  <r>
    <n v="823"/>
    <x v="1"/>
    <s v="&lt; 0 $"/>
    <s v="negativo/devedor"/>
    <x v="5"/>
    <x v="1"/>
    <x v="2"/>
    <n v="2712"/>
    <s v="&lt; 100 $"/>
    <s v="Baixo (&lt; 100 $)"/>
    <s v="&gt;= 7 anos"/>
    <s v="Muito Estável (&gt; 7 anos)"/>
    <x v="1"/>
    <x v="0"/>
    <s v="solteiro"/>
    <x v="0"/>
    <n v="2"/>
    <s v="poupança ou seguro de vida"/>
    <n v="41"/>
    <x v="2"/>
    <s v="banco"/>
    <x v="0"/>
    <n v="1"/>
    <x v="0"/>
    <n v="2"/>
    <s v="não"/>
    <x v="0"/>
    <n v="2"/>
  </r>
  <r>
    <n v="824"/>
    <x v="0"/>
    <s v="&lt; 0 $"/>
    <s v="negativo/devedor"/>
    <x v="16"/>
    <x v="0"/>
    <x v="3"/>
    <n v="731"/>
    <s v="&lt; 100 $"/>
    <s v="Baixo (&lt; 100 $)"/>
    <s v="&gt;= 7 anos"/>
    <s v="Muito Estável (&gt; 7 anos)"/>
    <x v="0"/>
    <x v="0"/>
    <s v="solteiro"/>
    <x v="0"/>
    <n v="4"/>
    <s v="imovel"/>
    <n v="47"/>
    <x v="2"/>
    <s v="nenhum"/>
    <x v="0"/>
    <n v="2"/>
    <x v="1"/>
    <n v="1"/>
    <s v="não"/>
    <x v="0"/>
    <n v="1"/>
  </r>
  <r>
    <n v="825"/>
    <x v="0"/>
    <s v="sem conta corrente"/>
    <s v="sem conta no banco"/>
    <x v="12"/>
    <x v="0"/>
    <x v="2"/>
    <n v="3780"/>
    <s v="&lt; 100 $"/>
    <s v="Baixo (&lt; 100 $)"/>
    <s v="&lt; 1 ano"/>
    <s v="Iniciante (&lt; 1 ano)"/>
    <x v="2"/>
    <x v="0"/>
    <s v="divorciado"/>
    <x v="0"/>
    <n v="2"/>
    <s v="carro ou outros-quitado"/>
    <n v="35"/>
    <x v="3"/>
    <s v="nenhum"/>
    <x v="0"/>
    <n v="2"/>
    <x v="2"/>
    <n v="1"/>
    <s v="sim"/>
    <x v="0"/>
    <n v="1"/>
  </r>
  <r>
    <n v="826"/>
    <x v="0"/>
    <s v="&lt; 0 $"/>
    <s v="negativo/devedor"/>
    <x v="21"/>
    <x v="0"/>
    <x v="3"/>
    <n v="1602"/>
    <s v="&lt; 100 $"/>
    <s v="Baixo (&lt; 100 $)"/>
    <s v="&gt;= 7 anos"/>
    <s v="Muito Estável (&gt; 7 anos)"/>
    <x v="0"/>
    <x v="0"/>
    <s v="casado/viuvo"/>
    <x v="0"/>
    <n v="3"/>
    <s v="carro ou outros-quitado"/>
    <n v="30"/>
    <x v="3"/>
    <s v="nenhum"/>
    <x v="0"/>
    <n v="2"/>
    <x v="0"/>
    <n v="1"/>
    <s v="sim"/>
    <x v="0"/>
    <n v="1"/>
  </r>
  <r>
    <n v="827"/>
    <x v="1"/>
    <s v="&lt; 0 $"/>
    <s v="negativo/devedor"/>
    <x v="12"/>
    <x v="0"/>
    <x v="3"/>
    <n v="3966"/>
    <s v="&lt; 100 $"/>
    <s v="Baixo (&lt; 100 $)"/>
    <s v="&gt;= 7 anos"/>
    <s v="Muito Estável (&gt; 7 anos)"/>
    <x v="3"/>
    <x v="1"/>
    <s v="divorciada/casada"/>
    <x v="0"/>
    <n v="4"/>
    <s v="imovel"/>
    <n v="33"/>
    <x v="3"/>
    <s v="banco"/>
    <x v="2"/>
    <n v="3"/>
    <x v="0"/>
    <n v="1"/>
    <s v="sim"/>
    <x v="0"/>
    <n v="2"/>
  </r>
  <r>
    <n v="828"/>
    <x v="1"/>
    <s v="sem conta corrente"/>
    <s v="sem conta no banco"/>
    <x v="12"/>
    <x v="3"/>
    <x v="5"/>
    <n v="4165"/>
    <s v="&lt; 100 $"/>
    <s v="Baixo (&lt; 100 $)"/>
    <s v="&lt; 4 anos"/>
    <s v="Intermediário (1-4 anos)"/>
    <x v="1"/>
    <x v="0"/>
    <s v="solteiro"/>
    <x v="0"/>
    <n v="2"/>
    <s v="carro ou outros-quitado"/>
    <n v="36"/>
    <x v="3"/>
    <s v="loja"/>
    <x v="0"/>
    <n v="2"/>
    <x v="0"/>
    <n v="2"/>
    <s v="não"/>
    <x v="0"/>
    <n v="2"/>
  </r>
  <r>
    <n v="829"/>
    <x v="1"/>
    <s v="&lt; 0 $"/>
    <s v="negativo/devedor"/>
    <x v="5"/>
    <x v="1"/>
    <x v="4"/>
    <n v="8335"/>
    <s v="sem poupança"/>
    <s v="sem poupança"/>
    <s v="&gt;= 7 anos"/>
    <s v="Muito Estável (&gt; 7 anos)"/>
    <x v="2"/>
    <x v="0"/>
    <s v="solteiro"/>
    <x v="0"/>
    <n v="4"/>
    <s v="sem bens"/>
    <n v="47"/>
    <x v="2"/>
    <s v="nenhum"/>
    <x v="1"/>
    <n v="1"/>
    <x v="0"/>
    <n v="1"/>
    <s v="não"/>
    <x v="0"/>
    <n v="2"/>
  </r>
  <r>
    <n v="830"/>
    <x v="0"/>
    <s v="&gt;= 0 &lt; 200 $"/>
    <s v="saldo baixo"/>
    <x v="1"/>
    <x v="2"/>
    <x v="5"/>
    <n v="6681"/>
    <s v="sem poupança"/>
    <s v="sem poupança"/>
    <s v="&lt; 4 anos"/>
    <s v="Intermediário (1-4 anos)"/>
    <x v="0"/>
    <x v="0"/>
    <s v="solteiro"/>
    <x v="0"/>
    <n v="4"/>
    <s v="sem bens"/>
    <n v="38"/>
    <x v="3"/>
    <s v="nenhum"/>
    <x v="1"/>
    <n v="1"/>
    <x v="0"/>
    <n v="2"/>
    <s v="sim"/>
    <x v="0"/>
    <n v="1"/>
  </r>
  <r>
    <n v="831"/>
    <x v="0"/>
    <s v="sem conta corrente"/>
    <s v="sem conta no banco"/>
    <x v="4"/>
    <x v="2"/>
    <x v="5"/>
    <n v="2375"/>
    <s v="&gt;= 500 &lt; 1000 $"/>
    <s v="Alto (500-1000 $)"/>
    <s v="&lt; 4 anos"/>
    <s v="Intermediário (1-4 anos)"/>
    <x v="0"/>
    <x v="0"/>
    <s v="solteiro"/>
    <x v="0"/>
    <n v="2"/>
    <s v="carro ou outros-quitado"/>
    <n v="44"/>
    <x v="2"/>
    <s v="nenhum"/>
    <x v="0"/>
    <n v="2"/>
    <x v="0"/>
    <n v="2"/>
    <s v="sim"/>
    <x v="0"/>
    <n v="1"/>
  </r>
  <r>
    <n v="832"/>
    <x v="1"/>
    <s v="&lt; 0 $"/>
    <s v="negativo/devedor"/>
    <x v="12"/>
    <x v="1"/>
    <x v="3"/>
    <n v="1216"/>
    <s v="&lt; 100 $"/>
    <s v="Baixo (&lt; 100 $)"/>
    <s v="&lt; 1 ano"/>
    <s v="Iniciante (&lt; 1 ano)"/>
    <x v="0"/>
    <x v="1"/>
    <s v="divorciada/casada"/>
    <x v="0"/>
    <n v="3"/>
    <s v="carro ou outros-quitado"/>
    <n v="23"/>
    <x v="1"/>
    <s v="nenhum"/>
    <x v="2"/>
    <n v="1"/>
    <x v="0"/>
    <n v="1"/>
    <s v="sim"/>
    <x v="0"/>
    <n v="2"/>
  </r>
  <r>
    <n v="833"/>
    <x v="1"/>
    <s v="&lt; 0 $"/>
    <s v="negativo/devedor"/>
    <x v="13"/>
    <x v="3"/>
    <x v="5"/>
    <n v="11816"/>
    <s v="&lt; 100 $"/>
    <s v="Baixo (&lt; 100 $)"/>
    <s v="&gt;= 7 anos"/>
    <s v="Muito Estável (&gt; 7 anos)"/>
    <x v="1"/>
    <x v="0"/>
    <s v="solteiro"/>
    <x v="0"/>
    <n v="4"/>
    <s v="carro ou outros-quitado"/>
    <n v="29"/>
    <x v="3"/>
    <s v="nenhum"/>
    <x v="2"/>
    <n v="2"/>
    <x v="0"/>
    <n v="1"/>
    <s v="não"/>
    <x v="0"/>
    <n v="2"/>
  </r>
  <r>
    <n v="834"/>
    <x v="0"/>
    <s v="&gt;= 0 &lt; 200 $"/>
    <s v="saldo baixo"/>
    <x v="4"/>
    <x v="1"/>
    <x v="0"/>
    <n v="5084"/>
    <s v="sem poupança"/>
    <s v="sem poupança"/>
    <s v="&gt;= 7 anos"/>
    <s v="Muito Estável (&gt; 7 anos)"/>
    <x v="1"/>
    <x v="1"/>
    <s v="divorciada/casada"/>
    <x v="0"/>
    <n v="4"/>
    <s v="carro ou outros-quitado"/>
    <n v="42"/>
    <x v="2"/>
    <s v="nenhum"/>
    <x v="0"/>
    <n v="1"/>
    <x v="0"/>
    <n v="1"/>
    <s v="sim"/>
    <x v="0"/>
    <n v="1"/>
  </r>
  <r>
    <n v="835"/>
    <x v="1"/>
    <s v="&gt;= 200 $"/>
    <s v="saldo saudável"/>
    <x v="7"/>
    <x v="1"/>
    <x v="0"/>
    <n v="2327"/>
    <s v="&lt; 100 $"/>
    <s v="Baixo (&lt; 100 $)"/>
    <s v="&lt; 1 ano"/>
    <s v="Iniciante (&lt; 1 ano)"/>
    <x v="1"/>
    <x v="1"/>
    <s v="divorciada/casada"/>
    <x v="0"/>
    <n v="3"/>
    <s v="imovel"/>
    <n v="25"/>
    <x v="3"/>
    <s v="nenhum"/>
    <x v="0"/>
    <n v="1"/>
    <x v="1"/>
    <n v="1"/>
    <s v="não"/>
    <x v="0"/>
    <n v="2"/>
  </r>
  <r>
    <n v="836"/>
    <x v="1"/>
    <s v="&lt; 0 $"/>
    <s v="negativo/devedor"/>
    <x v="2"/>
    <x v="3"/>
    <x v="3"/>
    <n v="1082"/>
    <s v="&lt; 100 $"/>
    <s v="Baixo (&lt; 100 $)"/>
    <s v="&lt; 4 anos"/>
    <s v="Intermediário (1-4 anos)"/>
    <x v="0"/>
    <x v="0"/>
    <s v="solteiro"/>
    <x v="0"/>
    <n v="4"/>
    <s v="carro ou outros-quitado"/>
    <n v="48"/>
    <x v="2"/>
    <s v="banco"/>
    <x v="0"/>
    <n v="2"/>
    <x v="0"/>
    <n v="1"/>
    <s v="não"/>
    <x v="0"/>
    <n v="2"/>
  </r>
  <r>
    <n v="837"/>
    <x v="0"/>
    <s v="sem conta corrente"/>
    <s v="sem conta no banco"/>
    <x v="2"/>
    <x v="1"/>
    <x v="0"/>
    <n v="886"/>
    <s v="sem poupança"/>
    <s v="sem poupança"/>
    <s v="&lt; 4 anos"/>
    <s v="Intermediário (1-4 anos)"/>
    <x v="0"/>
    <x v="1"/>
    <s v="divorciada/casada"/>
    <x v="0"/>
    <n v="2"/>
    <s v="carro ou outros-quitado"/>
    <n v="21"/>
    <x v="1"/>
    <s v="nenhum"/>
    <x v="0"/>
    <n v="1"/>
    <x v="0"/>
    <n v="1"/>
    <s v="não"/>
    <x v="0"/>
    <n v="1"/>
  </r>
  <r>
    <n v="838"/>
    <x v="0"/>
    <s v="sem conta corrente"/>
    <s v="sem conta no banco"/>
    <x v="23"/>
    <x v="1"/>
    <x v="2"/>
    <n v="601"/>
    <s v="&lt; 100 $"/>
    <s v="Baixo (&lt; 100 $)"/>
    <s v="&lt; 1 ano"/>
    <s v="Iniciante (&lt; 1 ano)"/>
    <x v="3"/>
    <x v="1"/>
    <s v="divorciada/casada"/>
    <x v="0"/>
    <n v="3"/>
    <s v="imovel"/>
    <n v="23"/>
    <x v="1"/>
    <s v="nenhum"/>
    <x v="2"/>
    <n v="1"/>
    <x v="1"/>
    <n v="2"/>
    <s v="não"/>
    <x v="0"/>
    <n v="1"/>
  </r>
  <r>
    <n v="839"/>
    <x v="0"/>
    <s v="&lt; 0 $"/>
    <s v="negativo/devedor"/>
    <x v="4"/>
    <x v="0"/>
    <x v="4"/>
    <n v="2957"/>
    <s v="&lt; 100 $"/>
    <s v="Baixo (&lt; 100 $)"/>
    <s v="&gt;= 7 anos"/>
    <s v="Muito Estável (&gt; 7 anos)"/>
    <x v="0"/>
    <x v="0"/>
    <s v="solteiro"/>
    <x v="0"/>
    <n v="4"/>
    <s v="poupança ou seguro de vida"/>
    <n v="63"/>
    <x v="0"/>
    <s v="nenhum"/>
    <x v="0"/>
    <n v="2"/>
    <x v="0"/>
    <n v="1"/>
    <s v="sim"/>
    <x v="0"/>
    <n v="1"/>
  </r>
  <r>
    <n v="840"/>
    <x v="0"/>
    <s v="sem conta corrente"/>
    <s v="sem conta no banco"/>
    <x v="4"/>
    <x v="0"/>
    <x v="0"/>
    <n v="2611"/>
    <s v="&lt; 100 $"/>
    <s v="Baixo (&lt; 100 $)"/>
    <s v="&gt;= 7 anos"/>
    <s v="Muito Estável (&gt; 7 anos)"/>
    <x v="0"/>
    <x v="0"/>
    <s v="casado/viuvo"/>
    <x v="2"/>
    <n v="3"/>
    <s v="imovel"/>
    <n v="46"/>
    <x v="2"/>
    <s v="nenhum"/>
    <x v="0"/>
    <n v="2"/>
    <x v="0"/>
    <n v="1"/>
    <s v="não"/>
    <x v="0"/>
    <n v="1"/>
  </r>
  <r>
    <n v="841"/>
    <x v="1"/>
    <s v="&lt; 0 $"/>
    <s v="negativo/devedor"/>
    <x v="5"/>
    <x v="1"/>
    <x v="2"/>
    <n v="5179"/>
    <s v="&lt; 100 $"/>
    <s v="Baixo (&lt; 100 $)"/>
    <s v="&lt; 7 anos"/>
    <s v="Estável (4-7 anos)"/>
    <x v="0"/>
    <x v="0"/>
    <s v="solteiro"/>
    <x v="0"/>
    <n v="2"/>
    <s v="poupança ou seguro de vida"/>
    <n v="29"/>
    <x v="3"/>
    <s v="nenhum"/>
    <x v="0"/>
    <n v="1"/>
    <x v="0"/>
    <n v="1"/>
    <s v="não"/>
    <x v="0"/>
    <n v="2"/>
  </r>
  <r>
    <n v="842"/>
    <x v="0"/>
    <s v="sem conta corrente"/>
    <s v="sem conta no banco"/>
    <x v="21"/>
    <x v="2"/>
    <x v="4"/>
    <n v="2993"/>
    <s v="&lt; 100 $"/>
    <s v="Baixo (&lt; 100 $)"/>
    <s v="&lt; 4 anos"/>
    <s v="Intermediário (1-4 anos)"/>
    <x v="2"/>
    <x v="0"/>
    <s v="solteiro"/>
    <x v="0"/>
    <n v="2"/>
    <s v="imovel"/>
    <n v="28"/>
    <x v="3"/>
    <s v="loja"/>
    <x v="0"/>
    <n v="2"/>
    <x v="1"/>
    <n v="1"/>
    <s v="não"/>
    <x v="0"/>
    <n v="1"/>
  </r>
  <r>
    <n v="843"/>
    <x v="1"/>
    <s v="sem conta corrente"/>
    <s v="sem conta no banco"/>
    <x v="12"/>
    <x v="1"/>
    <x v="7"/>
    <n v="1943"/>
    <s v="&lt; 100 $"/>
    <s v="Baixo (&lt; 100 $)"/>
    <s v="&lt; 1 ano"/>
    <s v="Iniciante (&lt; 1 ano)"/>
    <x v="0"/>
    <x v="1"/>
    <s v="divorciada/casada"/>
    <x v="0"/>
    <n v="4"/>
    <s v="imovel"/>
    <n v="23"/>
    <x v="1"/>
    <s v="nenhum"/>
    <x v="0"/>
    <n v="1"/>
    <x v="0"/>
    <n v="1"/>
    <s v="não"/>
    <x v="0"/>
    <n v="2"/>
  </r>
  <r>
    <n v="844"/>
    <x v="0"/>
    <s v="sem conta corrente"/>
    <s v="sem conta no banco"/>
    <x v="4"/>
    <x v="4"/>
    <x v="5"/>
    <n v="1559"/>
    <s v="&lt; 100 $"/>
    <s v="Baixo (&lt; 100 $)"/>
    <s v="&lt; 7 anos"/>
    <s v="Estável (4-7 anos)"/>
    <x v="0"/>
    <x v="0"/>
    <s v="solteiro"/>
    <x v="0"/>
    <n v="4"/>
    <s v="carro ou outros-quitado"/>
    <n v="50"/>
    <x v="2"/>
    <s v="banco"/>
    <x v="0"/>
    <n v="1"/>
    <x v="0"/>
    <n v="1"/>
    <s v="sim"/>
    <x v="0"/>
    <n v="1"/>
  </r>
  <r>
    <n v="845"/>
    <x v="0"/>
    <s v="sem conta corrente"/>
    <s v="sem conta no banco"/>
    <x v="12"/>
    <x v="1"/>
    <x v="2"/>
    <n v="3422"/>
    <s v="&lt; 100 $"/>
    <s v="Baixo (&lt; 100 $)"/>
    <s v="&gt;= 7 anos"/>
    <s v="Muito Estável (&gt; 7 anos)"/>
    <x v="0"/>
    <x v="0"/>
    <s v="solteiro"/>
    <x v="0"/>
    <n v="4"/>
    <s v="poupança ou seguro de vida"/>
    <n v="47"/>
    <x v="2"/>
    <s v="banco"/>
    <x v="0"/>
    <n v="3"/>
    <x v="0"/>
    <n v="2"/>
    <s v="sim"/>
    <x v="0"/>
    <n v="1"/>
  </r>
  <r>
    <n v="846"/>
    <x v="0"/>
    <s v="&gt;= 0 &lt; 200 $"/>
    <s v="saldo baixo"/>
    <x v="21"/>
    <x v="1"/>
    <x v="2"/>
    <n v="3976"/>
    <s v="sem poupança"/>
    <s v="sem poupança"/>
    <s v="&lt; 7 anos"/>
    <s v="Estável (4-7 anos)"/>
    <x v="1"/>
    <x v="0"/>
    <s v="solteiro"/>
    <x v="0"/>
    <n v="3"/>
    <s v="carro ou outros-quitado"/>
    <n v="35"/>
    <x v="3"/>
    <s v="nenhum"/>
    <x v="0"/>
    <n v="1"/>
    <x v="0"/>
    <n v="1"/>
    <s v="sim"/>
    <x v="0"/>
    <n v="1"/>
  </r>
  <r>
    <n v="847"/>
    <x v="1"/>
    <s v="sem conta corrente"/>
    <s v="sem conta no banco"/>
    <x v="12"/>
    <x v="1"/>
    <x v="3"/>
    <n v="6761"/>
    <s v="sem poupança"/>
    <s v="sem poupança"/>
    <s v="&lt; 4 anos"/>
    <s v="Intermediário (1-4 anos)"/>
    <x v="1"/>
    <x v="0"/>
    <s v="solteiro"/>
    <x v="0"/>
    <n v="4"/>
    <s v="carro ou outros-quitado"/>
    <n v="68"/>
    <x v="0"/>
    <s v="nenhum"/>
    <x v="2"/>
    <n v="2"/>
    <x v="0"/>
    <n v="1"/>
    <s v="não"/>
    <x v="0"/>
    <n v="2"/>
  </r>
  <r>
    <n v="848"/>
    <x v="0"/>
    <s v="sem conta corrente"/>
    <s v="sem conta no banco"/>
    <x v="4"/>
    <x v="1"/>
    <x v="3"/>
    <n v="1249"/>
    <s v="&lt; 100 $"/>
    <s v="Baixo (&lt; 100 $)"/>
    <s v="&lt; 1 ano"/>
    <s v="Iniciante (&lt; 1 ano)"/>
    <x v="0"/>
    <x v="0"/>
    <s v="casado/viuvo"/>
    <x v="0"/>
    <n v="2"/>
    <s v="imovel"/>
    <n v="28"/>
    <x v="3"/>
    <s v="nenhum"/>
    <x v="0"/>
    <n v="1"/>
    <x v="0"/>
    <n v="1"/>
    <s v="não"/>
    <x v="0"/>
    <n v="1"/>
  </r>
  <r>
    <n v="849"/>
    <x v="0"/>
    <s v="&lt; 0 $"/>
    <s v="negativo/devedor"/>
    <x v="8"/>
    <x v="1"/>
    <x v="0"/>
    <n v="1364"/>
    <s v="&lt; 100 $"/>
    <s v="Baixo (&lt; 100 $)"/>
    <s v="&lt; 7 anos"/>
    <s v="Estável (4-7 anos)"/>
    <x v="2"/>
    <x v="0"/>
    <s v="solteiro"/>
    <x v="0"/>
    <n v="4"/>
    <s v="imovel"/>
    <n v="59"/>
    <x v="2"/>
    <s v="nenhum"/>
    <x v="0"/>
    <n v="1"/>
    <x v="0"/>
    <n v="1"/>
    <s v="não"/>
    <x v="0"/>
    <n v="1"/>
  </r>
  <r>
    <n v="850"/>
    <x v="1"/>
    <s v="&lt; 0 $"/>
    <s v="negativo/devedor"/>
    <x v="2"/>
    <x v="1"/>
    <x v="0"/>
    <n v="709"/>
    <s v="&lt; 100 $"/>
    <s v="Baixo (&lt; 100 $)"/>
    <s v="&gt;= 7 anos"/>
    <s v="Muito Estável (&gt; 7 anos)"/>
    <x v="0"/>
    <x v="0"/>
    <s v="solteiro"/>
    <x v="0"/>
    <n v="4"/>
    <s v="imovel"/>
    <n v="57"/>
    <x v="2"/>
    <s v="loja"/>
    <x v="0"/>
    <n v="1"/>
    <x v="1"/>
    <n v="1"/>
    <s v="não"/>
    <x v="0"/>
    <n v="2"/>
  </r>
  <r>
    <n v="851"/>
    <x v="1"/>
    <s v="&lt; 0 $"/>
    <s v="negativo/devedor"/>
    <x v="18"/>
    <x v="0"/>
    <x v="3"/>
    <n v="2235"/>
    <s v="&lt; 100 $"/>
    <s v="Baixo (&lt; 100 $)"/>
    <s v="&lt; 4 anos"/>
    <s v="Intermediário (1-4 anos)"/>
    <x v="0"/>
    <x v="0"/>
    <s v="casado/viuvo"/>
    <x v="1"/>
    <n v="2"/>
    <s v="poupança ou seguro de vida"/>
    <n v="33"/>
    <x v="3"/>
    <s v="banco"/>
    <x v="2"/>
    <n v="2"/>
    <x v="0"/>
    <n v="1"/>
    <s v="não"/>
    <x v="1"/>
    <n v="2"/>
  </r>
  <r>
    <n v="852"/>
    <x v="0"/>
    <s v="sem conta corrente"/>
    <s v="sem conta no banco"/>
    <x v="4"/>
    <x v="0"/>
    <x v="4"/>
    <n v="4042"/>
    <s v="sem poupança"/>
    <s v="sem poupança"/>
    <s v="&lt; 7 anos"/>
    <s v="Estável (4-7 anos)"/>
    <x v="2"/>
    <x v="0"/>
    <s v="solteiro"/>
    <x v="0"/>
    <n v="4"/>
    <s v="poupança ou seguro de vida"/>
    <n v="43"/>
    <x v="2"/>
    <s v="nenhum"/>
    <x v="0"/>
    <n v="2"/>
    <x v="0"/>
    <n v="1"/>
    <s v="sim"/>
    <x v="0"/>
    <n v="1"/>
  </r>
  <r>
    <n v="853"/>
    <x v="0"/>
    <s v="sem conta corrente"/>
    <s v="sem conta no banco"/>
    <x v="7"/>
    <x v="0"/>
    <x v="0"/>
    <n v="1471"/>
    <s v="&lt; 100 $"/>
    <s v="Baixo (&lt; 100 $)"/>
    <s v="&lt; 4 anos"/>
    <s v="Intermediário (1-4 anos)"/>
    <x v="0"/>
    <x v="0"/>
    <s v="solteiro"/>
    <x v="0"/>
    <n v="4"/>
    <s v="sem bens"/>
    <n v="35"/>
    <x v="3"/>
    <s v="nenhum"/>
    <x v="1"/>
    <n v="2"/>
    <x v="0"/>
    <n v="1"/>
    <s v="sim"/>
    <x v="0"/>
    <n v="1"/>
  </r>
  <r>
    <n v="854"/>
    <x v="1"/>
    <s v="&lt; 0 $"/>
    <s v="negativo/devedor"/>
    <x v="12"/>
    <x v="4"/>
    <x v="3"/>
    <n v="1442"/>
    <s v="&lt; 100 $"/>
    <s v="Baixo (&lt; 100 $)"/>
    <s v="&lt; 7 anos"/>
    <s v="Estável (4-7 anos)"/>
    <x v="0"/>
    <x v="0"/>
    <s v="solteiro"/>
    <x v="0"/>
    <n v="4"/>
    <s v="sem bens"/>
    <n v="32"/>
    <x v="3"/>
    <s v="nenhum"/>
    <x v="1"/>
    <n v="2"/>
    <x v="1"/>
    <n v="2"/>
    <s v="não"/>
    <x v="0"/>
    <n v="2"/>
  </r>
  <r>
    <n v="855"/>
    <x v="0"/>
    <s v="sem conta corrente"/>
    <s v="sem conta no banco"/>
    <x v="5"/>
    <x v="2"/>
    <x v="3"/>
    <n v="10875"/>
    <s v="&lt; 100 $"/>
    <s v="Baixo (&lt; 100 $)"/>
    <s v="&gt;= 7 anos"/>
    <s v="Muito Estável (&gt; 7 anos)"/>
    <x v="1"/>
    <x v="0"/>
    <s v="solteiro"/>
    <x v="0"/>
    <n v="2"/>
    <s v="carro ou outros-quitado"/>
    <n v="45"/>
    <x v="2"/>
    <s v="nenhum"/>
    <x v="0"/>
    <n v="2"/>
    <x v="0"/>
    <n v="2"/>
    <s v="sim"/>
    <x v="0"/>
    <n v="1"/>
  </r>
  <r>
    <n v="856"/>
    <x v="0"/>
    <s v="sem conta corrente"/>
    <s v="sem conta no banco"/>
    <x v="4"/>
    <x v="1"/>
    <x v="3"/>
    <n v="1474"/>
    <s v="&gt;= 100 &lt; 500 $"/>
    <s v="Médio (100-500$)"/>
    <s v="&lt; 1 ano"/>
    <s v="Iniciante (&lt; 1 ano)"/>
    <x v="0"/>
    <x v="0"/>
    <s v="casado/viuvo"/>
    <x v="0"/>
    <n v="3"/>
    <s v="imovel"/>
    <n v="33"/>
    <x v="3"/>
    <s v="nenhum"/>
    <x v="0"/>
    <n v="1"/>
    <x v="0"/>
    <n v="1"/>
    <s v="sim"/>
    <x v="0"/>
    <n v="1"/>
  </r>
  <r>
    <n v="857"/>
    <x v="0"/>
    <s v="sem conta corrente"/>
    <s v="sem conta no banco"/>
    <x v="9"/>
    <x v="1"/>
    <x v="9"/>
    <n v="894"/>
    <s v="sem poupança"/>
    <s v="sem poupança"/>
    <s v="&lt; 7 anos"/>
    <s v="Estável (4-7 anos)"/>
    <x v="0"/>
    <x v="1"/>
    <s v="divorciada/casada"/>
    <x v="0"/>
    <n v="3"/>
    <s v="poupança ou seguro de vida"/>
    <n v="40"/>
    <x v="2"/>
    <s v="nenhum"/>
    <x v="0"/>
    <n v="1"/>
    <x v="0"/>
    <n v="1"/>
    <s v="sim"/>
    <x v="0"/>
    <n v="1"/>
  </r>
  <r>
    <n v="858"/>
    <x v="0"/>
    <s v="sem conta corrente"/>
    <s v="sem conta no banco"/>
    <x v="7"/>
    <x v="0"/>
    <x v="2"/>
    <n v="3343"/>
    <s v="&lt; 100 $"/>
    <s v="Baixo (&lt; 100 $)"/>
    <s v="&lt; 4 anos"/>
    <s v="Intermediário (1-4 anos)"/>
    <x v="0"/>
    <x v="0"/>
    <s v="solteiro"/>
    <x v="0"/>
    <n v="2"/>
    <s v="sem bens"/>
    <n v="28"/>
    <x v="3"/>
    <s v="nenhum"/>
    <x v="1"/>
    <n v="1"/>
    <x v="0"/>
    <n v="1"/>
    <s v="sim"/>
    <x v="0"/>
    <n v="1"/>
  </r>
  <r>
    <n v="859"/>
    <x v="1"/>
    <s v="&lt; 0 $"/>
    <s v="negativo/devedor"/>
    <x v="7"/>
    <x v="1"/>
    <x v="3"/>
    <n v="3959"/>
    <s v="&lt; 100 $"/>
    <s v="Baixo (&lt; 100 $)"/>
    <s v="&lt; 4 anos"/>
    <s v="Intermediário (1-4 anos)"/>
    <x v="2"/>
    <x v="1"/>
    <s v="divorciada/casada"/>
    <x v="0"/>
    <n v="2"/>
    <s v="poupança ou seguro de vida"/>
    <n v="29"/>
    <x v="3"/>
    <s v="nenhum"/>
    <x v="0"/>
    <n v="1"/>
    <x v="0"/>
    <n v="1"/>
    <s v="sim"/>
    <x v="0"/>
    <n v="2"/>
  </r>
  <r>
    <n v="860"/>
    <x v="0"/>
    <s v="sem conta corrente"/>
    <s v="sem conta no banco"/>
    <x v="8"/>
    <x v="1"/>
    <x v="3"/>
    <n v="3577"/>
    <s v="&gt;= 100 &lt; 500 $"/>
    <s v="Médio (100-500$)"/>
    <s v="&lt; 4 anos"/>
    <s v="Intermediário (1-4 anos)"/>
    <x v="3"/>
    <x v="0"/>
    <s v="solteiro"/>
    <x v="1"/>
    <n v="2"/>
    <s v="imovel"/>
    <n v="26"/>
    <x v="3"/>
    <s v="nenhum"/>
    <x v="2"/>
    <n v="1"/>
    <x v="0"/>
    <n v="2"/>
    <s v="não"/>
    <x v="1"/>
    <n v="1"/>
  </r>
  <r>
    <n v="861"/>
    <x v="0"/>
    <s v="sem conta corrente"/>
    <s v="sem conta no banco"/>
    <x v="4"/>
    <x v="0"/>
    <x v="4"/>
    <n v="5804"/>
    <s v="&gt;= 1000 $"/>
    <s v="Muito alto (&gt;1000$)"/>
    <s v="&lt; 4 anos"/>
    <s v="Intermediário (1-4 anos)"/>
    <x v="0"/>
    <x v="0"/>
    <s v="solteiro"/>
    <x v="0"/>
    <n v="2"/>
    <s v="imovel"/>
    <n v="27"/>
    <x v="3"/>
    <s v="nenhum"/>
    <x v="0"/>
    <n v="2"/>
    <x v="0"/>
    <n v="1"/>
    <s v="não"/>
    <x v="0"/>
    <n v="1"/>
  </r>
  <r>
    <n v="862"/>
    <x v="1"/>
    <s v="sem conta corrente"/>
    <s v="sem conta no banco"/>
    <x v="12"/>
    <x v="2"/>
    <x v="5"/>
    <n v="2169"/>
    <s v="&lt; 100 $"/>
    <s v="Baixo (&lt; 100 $)"/>
    <s v="&lt; 4 anos"/>
    <s v="Intermediário (1-4 anos)"/>
    <x v="0"/>
    <x v="0"/>
    <s v="casado/viuvo"/>
    <x v="0"/>
    <n v="2"/>
    <s v="carro ou outros-quitado"/>
    <n v="28"/>
    <x v="3"/>
    <s v="nenhum"/>
    <x v="0"/>
    <n v="1"/>
    <x v="0"/>
    <n v="1"/>
    <s v="sim"/>
    <x v="0"/>
    <n v="2"/>
  </r>
  <r>
    <n v="863"/>
    <x v="1"/>
    <s v="&lt; 0 $"/>
    <s v="negativo/devedor"/>
    <x v="4"/>
    <x v="1"/>
    <x v="0"/>
    <n v="2439"/>
    <s v="&lt; 100 $"/>
    <s v="Baixo (&lt; 100 $)"/>
    <s v="&lt; 1 ano"/>
    <s v="Iniciante (&lt; 1 ano)"/>
    <x v="0"/>
    <x v="1"/>
    <s v="divorciada/casada"/>
    <x v="0"/>
    <n v="4"/>
    <s v="imovel"/>
    <n v="35"/>
    <x v="3"/>
    <s v="nenhum"/>
    <x v="0"/>
    <n v="1"/>
    <x v="0"/>
    <n v="1"/>
    <s v="sim"/>
    <x v="0"/>
    <n v="2"/>
  </r>
  <r>
    <n v="864"/>
    <x v="0"/>
    <s v="sem conta corrente"/>
    <s v="sem conta no banco"/>
    <x v="15"/>
    <x v="0"/>
    <x v="2"/>
    <n v="4526"/>
    <s v="&gt;= 1000 $"/>
    <s v="Muito alto (&gt;1000$)"/>
    <s v="&lt; 1 ano"/>
    <s v="Iniciante (&lt; 1 ano)"/>
    <x v="0"/>
    <x v="0"/>
    <s v="solteiro"/>
    <x v="0"/>
    <n v="2"/>
    <s v="imovel"/>
    <n v="32"/>
    <x v="3"/>
    <s v="loja"/>
    <x v="0"/>
    <n v="2"/>
    <x v="1"/>
    <n v="2"/>
    <s v="sim"/>
    <x v="0"/>
    <n v="1"/>
  </r>
  <r>
    <n v="865"/>
    <x v="1"/>
    <s v="sem conta corrente"/>
    <s v="sem conta no banco"/>
    <x v="9"/>
    <x v="1"/>
    <x v="2"/>
    <n v="2210"/>
    <s v="&lt; 100 $"/>
    <s v="Baixo (&lt; 100 $)"/>
    <s v="&lt; 4 anos"/>
    <s v="Intermediário (1-4 anos)"/>
    <x v="1"/>
    <x v="0"/>
    <s v="solteiro"/>
    <x v="0"/>
    <n v="2"/>
    <s v="imovel"/>
    <n v="25"/>
    <x v="3"/>
    <s v="banco"/>
    <x v="2"/>
    <n v="1"/>
    <x v="1"/>
    <n v="1"/>
    <s v="não"/>
    <x v="0"/>
    <n v="2"/>
  </r>
  <r>
    <n v="866"/>
    <x v="0"/>
    <s v="sem conta corrente"/>
    <s v="sem conta no banco"/>
    <x v="7"/>
    <x v="1"/>
    <x v="2"/>
    <n v="2221"/>
    <s v="&gt;= 500 &lt; 1000 $"/>
    <s v="Alto (500-1000 $)"/>
    <s v="&lt; 4 anos"/>
    <s v="Intermediário (1-4 anos)"/>
    <x v="1"/>
    <x v="1"/>
    <s v="divorciada/casada"/>
    <x v="0"/>
    <n v="4"/>
    <s v="carro ou outros-quitado"/>
    <n v="20"/>
    <x v="1"/>
    <s v="nenhum"/>
    <x v="2"/>
    <n v="1"/>
    <x v="0"/>
    <n v="1"/>
    <s v="não"/>
    <x v="0"/>
    <n v="1"/>
  </r>
  <r>
    <n v="867"/>
    <x v="0"/>
    <s v="&lt; 0 $"/>
    <s v="negativo/devedor"/>
    <x v="12"/>
    <x v="1"/>
    <x v="0"/>
    <n v="2389"/>
    <s v="&lt; 100 $"/>
    <s v="Baixo (&lt; 100 $)"/>
    <s v="&lt; 1 ano"/>
    <s v="Iniciante (&lt; 1 ano)"/>
    <x v="0"/>
    <x v="1"/>
    <s v="divorciada/casada"/>
    <x v="0"/>
    <n v="1"/>
    <s v="carro ou outros-quitado"/>
    <n v="27"/>
    <x v="3"/>
    <s v="loja"/>
    <x v="0"/>
    <n v="1"/>
    <x v="0"/>
    <n v="1"/>
    <s v="não"/>
    <x v="0"/>
    <n v="1"/>
  </r>
  <r>
    <n v="868"/>
    <x v="0"/>
    <s v="sem conta corrente"/>
    <s v="sem conta no banco"/>
    <x v="2"/>
    <x v="0"/>
    <x v="2"/>
    <n v="3331"/>
    <s v="&lt; 100 $"/>
    <s v="Baixo (&lt; 100 $)"/>
    <s v="&gt;= 7 anos"/>
    <s v="Muito Estável (&gt; 7 anos)"/>
    <x v="1"/>
    <x v="0"/>
    <s v="solteiro"/>
    <x v="0"/>
    <n v="4"/>
    <s v="poupança ou seguro de vida"/>
    <n v="42"/>
    <x v="2"/>
    <s v="loja"/>
    <x v="0"/>
    <n v="1"/>
    <x v="0"/>
    <n v="1"/>
    <s v="não"/>
    <x v="0"/>
    <n v="1"/>
  </r>
  <r>
    <n v="869"/>
    <x v="0"/>
    <s v="sem conta corrente"/>
    <s v="sem conta no banco"/>
    <x v="5"/>
    <x v="1"/>
    <x v="5"/>
    <n v="7409"/>
    <s v="sem poupança"/>
    <s v="sem poupança"/>
    <s v="&gt;= 7 anos"/>
    <s v="Muito Estável (&gt; 7 anos)"/>
    <x v="2"/>
    <x v="0"/>
    <s v="solteiro"/>
    <x v="0"/>
    <n v="2"/>
    <s v="poupança ou seguro de vida"/>
    <n v="37"/>
    <x v="3"/>
    <s v="nenhum"/>
    <x v="0"/>
    <n v="2"/>
    <x v="0"/>
    <n v="1"/>
    <s v="não"/>
    <x v="0"/>
    <n v="1"/>
  </r>
  <r>
    <n v="870"/>
    <x v="0"/>
    <s v="&lt; 0 $"/>
    <s v="negativo/devedor"/>
    <x v="2"/>
    <x v="1"/>
    <x v="2"/>
    <n v="652"/>
    <s v="&lt; 100 $"/>
    <s v="Baixo (&lt; 100 $)"/>
    <s v="&gt;= 7 anos"/>
    <s v="Muito Estável (&gt; 7 anos)"/>
    <x v="0"/>
    <x v="1"/>
    <s v="divorciada/casada"/>
    <x v="0"/>
    <n v="4"/>
    <s v="poupança ou seguro de vida"/>
    <n v="24"/>
    <x v="1"/>
    <s v="nenhum"/>
    <x v="2"/>
    <n v="1"/>
    <x v="0"/>
    <n v="1"/>
    <s v="não"/>
    <x v="0"/>
    <n v="1"/>
  </r>
  <r>
    <n v="871"/>
    <x v="0"/>
    <s v="sem conta corrente"/>
    <s v="sem conta no banco"/>
    <x v="5"/>
    <x v="2"/>
    <x v="2"/>
    <n v="7678"/>
    <s v="&gt;= 500 &lt; 1000 $"/>
    <s v="Alto (500-1000 $)"/>
    <s v="&lt; 7 anos"/>
    <s v="Estável (4-7 anos)"/>
    <x v="1"/>
    <x v="1"/>
    <s v="divorciada/casada"/>
    <x v="0"/>
    <n v="4"/>
    <s v="carro ou outros-quitado"/>
    <n v="40"/>
    <x v="2"/>
    <s v="nenhum"/>
    <x v="0"/>
    <n v="2"/>
    <x v="0"/>
    <n v="1"/>
    <s v="sim"/>
    <x v="0"/>
    <n v="1"/>
  </r>
  <r>
    <n v="872"/>
    <x v="0"/>
    <s v="&gt;= 200 $"/>
    <s v="saldo saudável"/>
    <x v="0"/>
    <x v="0"/>
    <x v="3"/>
    <n v="1343"/>
    <s v="&lt; 100 $"/>
    <s v="Baixo (&lt; 100 $)"/>
    <s v="&gt;= 7 anos"/>
    <s v="Muito Estável (&gt; 7 anos)"/>
    <x v="3"/>
    <x v="0"/>
    <s v="solteiro"/>
    <x v="0"/>
    <n v="4"/>
    <s v="imovel"/>
    <n v="46"/>
    <x v="2"/>
    <s v="nenhum"/>
    <x v="0"/>
    <n v="2"/>
    <x v="0"/>
    <n v="2"/>
    <s v="não"/>
    <x v="1"/>
    <n v="1"/>
  </r>
  <r>
    <n v="873"/>
    <x v="0"/>
    <s v="&lt; 0 $"/>
    <s v="negativo/devedor"/>
    <x v="4"/>
    <x v="0"/>
    <x v="5"/>
    <n v="1382"/>
    <s v="&gt;= 100 &lt; 500 $"/>
    <s v="Médio (100-500$)"/>
    <s v="&lt; 7 anos"/>
    <s v="Estável (4-7 anos)"/>
    <x v="0"/>
    <x v="0"/>
    <s v="solteiro"/>
    <x v="0"/>
    <n v="1"/>
    <s v="imovel"/>
    <n v="26"/>
    <x v="3"/>
    <s v="nenhum"/>
    <x v="0"/>
    <n v="2"/>
    <x v="0"/>
    <n v="1"/>
    <s v="sim"/>
    <x v="0"/>
    <n v="1"/>
  </r>
  <r>
    <n v="874"/>
    <x v="0"/>
    <s v="sem conta corrente"/>
    <s v="sem conta no banco"/>
    <x v="7"/>
    <x v="1"/>
    <x v="6"/>
    <n v="874"/>
    <s v="sem poupança"/>
    <s v="sem poupança"/>
    <s v="&lt; 1 ano"/>
    <s v="Iniciante (&lt; 1 ano)"/>
    <x v="0"/>
    <x v="1"/>
    <s v="divorciada/casada"/>
    <x v="0"/>
    <n v="1"/>
    <s v="imovel"/>
    <n v="24"/>
    <x v="1"/>
    <s v="nenhum"/>
    <x v="0"/>
    <n v="1"/>
    <x v="0"/>
    <n v="1"/>
    <s v="não"/>
    <x v="0"/>
    <n v="1"/>
  </r>
  <r>
    <n v="875"/>
    <x v="0"/>
    <s v="&lt; 0 $"/>
    <s v="negativo/devedor"/>
    <x v="2"/>
    <x v="1"/>
    <x v="2"/>
    <n v="3590"/>
    <s v="&lt; 100 $"/>
    <s v="Baixo (&lt; 100 $)"/>
    <s v="&lt; 4 anos"/>
    <s v="Intermediário (1-4 anos)"/>
    <x v="1"/>
    <x v="0"/>
    <s v="solteiro"/>
    <x v="2"/>
    <n v="2"/>
    <s v="poupança ou seguro de vida"/>
    <n v="29"/>
    <x v="3"/>
    <s v="nenhum"/>
    <x v="0"/>
    <n v="1"/>
    <x v="1"/>
    <n v="2"/>
    <s v="não"/>
    <x v="0"/>
    <n v="1"/>
  </r>
  <r>
    <n v="876"/>
    <x v="0"/>
    <s v="&gt;= 0 &lt; 200 $"/>
    <s v="saldo baixo"/>
    <x v="14"/>
    <x v="0"/>
    <x v="3"/>
    <n v="1322"/>
    <s v="&gt;= 1000 $"/>
    <s v="Muito alto (&gt;1000$)"/>
    <s v="&lt; 4 anos"/>
    <s v="Intermediário (1-4 anos)"/>
    <x v="0"/>
    <x v="1"/>
    <s v="divorciada/casada"/>
    <x v="0"/>
    <n v="4"/>
    <s v="carro ou outros-quitado"/>
    <n v="40"/>
    <x v="2"/>
    <s v="nenhum"/>
    <x v="0"/>
    <n v="2"/>
    <x v="0"/>
    <n v="1"/>
    <s v="não"/>
    <x v="0"/>
    <n v="1"/>
  </r>
  <r>
    <n v="877"/>
    <x v="0"/>
    <s v="&lt; 0 $"/>
    <s v="negativo/devedor"/>
    <x v="12"/>
    <x v="4"/>
    <x v="0"/>
    <n v="1940"/>
    <s v="&lt; 100 $"/>
    <s v="Baixo (&lt; 100 $)"/>
    <s v="&lt; 1 ano"/>
    <s v="Iniciante (&lt; 1 ano)"/>
    <x v="2"/>
    <x v="0"/>
    <s v="solteiro"/>
    <x v="2"/>
    <n v="4"/>
    <s v="sem bens"/>
    <n v="36"/>
    <x v="3"/>
    <s v="banco"/>
    <x v="1"/>
    <n v="1"/>
    <x v="2"/>
    <n v="1"/>
    <s v="sim"/>
    <x v="0"/>
    <n v="1"/>
  </r>
  <r>
    <n v="878"/>
    <x v="0"/>
    <s v="sem conta corrente"/>
    <s v="sem conta no banco"/>
    <x v="5"/>
    <x v="1"/>
    <x v="0"/>
    <n v="3595"/>
    <s v="&lt; 100 $"/>
    <s v="Baixo (&lt; 100 $)"/>
    <s v="&gt;= 7 anos"/>
    <s v="Muito Estável (&gt; 7 anos)"/>
    <x v="0"/>
    <x v="0"/>
    <s v="solteiro"/>
    <x v="0"/>
    <n v="2"/>
    <s v="carro ou outros-quitado"/>
    <n v="28"/>
    <x v="3"/>
    <s v="nenhum"/>
    <x v="0"/>
    <n v="1"/>
    <x v="0"/>
    <n v="1"/>
    <s v="não"/>
    <x v="0"/>
    <n v="1"/>
  </r>
  <r>
    <n v="879"/>
    <x v="1"/>
    <s v="&lt; 0 $"/>
    <s v="negativo/devedor"/>
    <x v="8"/>
    <x v="1"/>
    <x v="3"/>
    <n v="1422"/>
    <s v="&lt; 100 $"/>
    <s v="Baixo (&lt; 100 $)"/>
    <s v="&lt; 1 ano"/>
    <s v="Iniciante (&lt; 1 ano)"/>
    <x v="2"/>
    <x v="0"/>
    <s v="solteiro"/>
    <x v="0"/>
    <n v="2"/>
    <s v="sem bens"/>
    <n v="27"/>
    <x v="3"/>
    <s v="nenhum"/>
    <x v="1"/>
    <n v="1"/>
    <x v="2"/>
    <n v="1"/>
    <s v="sim"/>
    <x v="0"/>
    <n v="2"/>
  </r>
  <r>
    <n v="880"/>
    <x v="0"/>
    <s v="sem conta corrente"/>
    <s v="sem conta no banco"/>
    <x v="6"/>
    <x v="0"/>
    <x v="0"/>
    <n v="6742"/>
    <s v="sem poupança"/>
    <s v="sem poupança"/>
    <s v="&lt; 7 anos"/>
    <s v="Estável (4-7 anos)"/>
    <x v="1"/>
    <x v="0"/>
    <s v="solteiro"/>
    <x v="0"/>
    <n v="3"/>
    <s v="poupança ou seguro de vida"/>
    <n v="36"/>
    <x v="3"/>
    <s v="nenhum"/>
    <x v="0"/>
    <n v="2"/>
    <x v="0"/>
    <n v="1"/>
    <s v="não"/>
    <x v="0"/>
    <n v="1"/>
  </r>
  <r>
    <n v="881"/>
    <x v="0"/>
    <s v="sem conta corrente"/>
    <s v="sem conta no banco"/>
    <x v="4"/>
    <x v="1"/>
    <x v="4"/>
    <n v="7814"/>
    <s v="&lt; 100 $"/>
    <s v="Baixo (&lt; 100 $)"/>
    <s v="&lt; 7 anos"/>
    <s v="Estável (4-7 anos)"/>
    <x v="2"/>
    <x v="0"/>
    <s v="solteiro"/>
    <x v="0"/>
    <n v="3"/>
    <s v="carro ou outros-quitado"/>
    <n v="38"/>
    <x v="3"/>
    <s v="nenhum"/>
    <x v="0"/>
    <n v="1"/>
    <x v="2"/>
    <n v="1"/>
    <s v="sim"/>
    <x v="0"/>
    <n v="1"/>
  </r>
  <r>
    <n v="882"/>
    <x v="0"/>
    <s v="sem conta corrente"/>
    <s v="sem conta no banco"/>
    <x v="4"/>
    <x v="1"/>
    <x v="4"/>
    <n v="9277"/>
    <s v="sem poupança"/>
    <s v="sem poupança"/>
    <s v="&lt; 4 anos"/>
    <s v="Intermediário (1-4 anos)"/>
    <x v="1"/>
    <x v="0"/>
    <s v="divorciado"/>
    <x v="0"/>
    <n v="4"/>
    <s v="sem bens"/>
    <n v="48"/>
    <x v="2"/>
    <s v="nenhum"/>
    <x v="1"/>
    <n v="1"/>
    <x v="0"/>
    <n v="1"/>
    <s v="sim"/>
    <x v="0"/>
    <n v="1"/>
  </r>
  <r>
    <n v="883"/>
    <x v="0"/>
    <s v="&gt;= 0 &lt; 200 $"/>
    <s v="saldo baixo"/>
    <x v="6"/>
    <x v="0"/>
    <x v="3"/>
    <n v="2181"/>
    <s v="sem poupança"/>
    <s v="sem poupança"/>
    <s v="&gt;= 7 anos"/>
    <s v="Muito Estável (&gt; 7 anos)"/>
    <x v="0"/>
    <x v="0"/>
    <s v="solteiro"/>
    <x v="0"/>
    <n v="4"/>
    <s v="imovel"/>
    <n v="36"/>
    <x v="3"/>
    <s v="nenhum"/>
    <x v="0"/>
    <n v="2"/>
    <x v="0"/>
    <n v="1"/>
    <s v="não"/>
    <x v="0"/>
    <n v="1"/>
  </r>
  <r>
    <n v="884"/>
    <x v="0"/>
    <s v="sem conta corrente"/>
    <s v="sem conta no banco"/>
    <x v="12"/>
    <x v="0"/>
    <x v="0"/>
    <n v="1098"/>
    <s v="&lt; 100 $"/>
    <s v="Baixo (&lt; 100 $)"/>
    <s v="desempregado"/>
    <s v="desempregado"/>
    <x v="0"/>
    <x v="1"/>
    <s v="divorciada/casada"/>
    <x v="0"/>
    <n v="4"/>
    <s v="carro ou outros-quitado"/>
    <n v="65"/>
    <x v="0"/>
    <s v="nenhum"/>
    <x v="0"/>
    <n v="2"/>
    <x v="3"/>
    <n v="1"/>
    <s v="não"/>
    <x v="0"/>
    <n v="1"/>
  </r>
  <r>
    <n v="885"/>
    <x v="1"/>
    <s v="&gt;= 0 &lt; 200 $"/>
    <s v="saldo baixo"/>
    <x v="4"/>
    <x v="1"/>
    <x v="2"/>
    <n v="4057"/>
    <s v="&lt; 100 $"/>
    <s v="Baixo (&lt; 100 $)"/>
    <s v="&lt; 7 anos"/>
    <s v="Estável (4-7 anos)"/>
    <x v="2"/>
    <x v="0"/>
    <s v="divorciado"/>
    <x v="0"/>
    <n v="3"/>
    <s v="carro ou outros-quitado"/>
    <n v="43"/>
    <x v="2"/>
    <s v="nenhum"/>
    <x v="0"/>
    <n v="1"/>
    <x v="0"/>
    <n v="1"/>
    <s v="sim"/>
    <x v="0"/>
    <n v="2"/>
  </r>
  <r>
    <n v="886"/>
    <x v="1"/>
    <s v="&lt; 0 $"/>
    <s v="negativo/devedor"/>
    <x v="2"/>
    <x v="1"/>
    <x v="1"/>
    <n v="795"/>
    <s v="&lt; 100 $"/>
    <s v="Baixo (&lt; 100 $)"/>
    <s v="&lt; 1 ano"/>
    <s v="Iniciante (&lt; 1 ano)"/>
    <x v="0"/>
    <x v="1"/>
    <s v="divorciada/casada"/>
    <x v="0"/>
    <n v="4"/>
    <s v="poupança ou seguro de vida"/>
    <n v="53"/>
    <x v="2"/>
    <s v="nenhum"/>
    <x v="0"/>
    <n v="1"/>
    <x v="0"/>
    <n v="1"/>
    <s v="não"/>
    <x v="0"/>
    <n v="2"/>
  </r>
  <r>
    <n v="887"/>
    <x v="0"/>
    <s v="&gt;= 0 &lt; 200 $"/>
    <s v="saldo baixo"/>
    <x v="4"/>
    <x v="0"/>
    <x v="5"/>
    <n v="2825"/>
    <s v="sem poupança"/>
    <s v="sem poupança"/>
    <s v="&lt; 7 anos"/>
    <s v="Estável (4-7 anos)"/>
    <x v="0"/>
    <x v="0"/>
    <s v="solteiro"/>
    <x v="0"/>
    <n v="3"/>
    <s v="sem bens"/>
    <n v="34"/>
    <x v="3"/>
    <s v="nenhum"/>
    <x v="0"/>
    <n v="2"/>
    <x v="0"/>
    <n v="2"/>
    <s v="sim"/>
    <x v="0"/>
    <n v="1"/>
  </r>
  <r>
    <n v="888"/>
    <x v="1"/>
    <s v="&gt;= 0 &lt; 200 $"/>
    <s v="saldo baixo"/>
    <x v="1"/>
    <x v="1"/>
    <x v="5"/>
    <n v="15672"/>
    <s v="&lt; 100 $"/>
    <s v="Baixo (&lt; 100 $)"/>
    <s v="&lt; 4 anos"/>
    <s v="Intermediário (1-4 anos)"/>
    <x v="1"/>
    <x v="0"/>
    <s v="solteiro"/>
    <x v="0"/>
    <n v="2"/>
    <s v="carro ou outros-quitado"/>
    <n v="23"/>
    <x v="1"/>
    <s v="nenhum"/>
    <x v="0"/>
    <n v="1"/>
    <x v="0"/>
    <n v="1"/>
    <s v="sim"/>
    <x v="0"/>
    <n v="2"/>
  </r>
  <r>
    <n v="889"/>
    <x v="0"/>
    <s v="sem conta corrente"/>
    <s v="sem conta no banco"/>
    <x v="5"/>
    <x v="0"/>
    <x v="3"/>
    <n v="6614"/>
    <s v="&lt; 100 $"/>
    <s v="Baixo (&lt; 100 $)"/>
    <s v="&gt;= 7 anos"/>
    <s v="Muito Estável (&gt; 7 anos)"/>
    <x v="0"/>
    <x v="0"/>
    <s v="solteiro"/>
    <x v="0"/>
    <n v="4"/>
    <s v="carro ou outros-quitado"/>
    <n v="34"/>
    <x v="3"/>
    <s v="nenhum"/>
    <x v="0"/>
    <n v="2"/>
    <x v="2"/>
    <n v="1"/>
    <s v="sim"/>
    <x v="0"/>
    <n v="1"/>
  </r>
  <r>
    <n v="890"/>
    <x v="0"/>
    <s v="sem conta corrente"/>
    <s v="sem conta no banco"/>
    <x v="28"/>
    <x v="4"/>
    <x v="4"/>
    <n v="7824"/>
    <s v="sem poupança"/>
    <s v="sem poupança"/>
    <s v="&lt; 1 ano"/>
    <s v="Iniciante (&lt; 1 ano)"/>
    <x v="2"/>
    <x v="0"/>
    <s v="solteiro"/>
    <x v="1"/>
    <n v="4"/>
    <s v="imovel"/>
    <n v="40"/>
    <x v="2"/>
    <s v="banco"/>
    <x v="2"/>
    <n v="2"/>
    <x v="0"/>
    <n v="2"/>
    <s v="sim"/>
    <x v="0"/>
    <n v="1"/>
  </r>
  <r>
    <n v="891"/>
    <x v="0"/>
    <s v="&lt; 0 $"/>
    <s v="negativo/devedor"/>
    <x v="15"/>
    <x v="0"/>
    <x v="5"/>
    <n v="2442"/>
    <s v="&lt; 100 $"/>
    <s v="Baixo (&lt; 100 $)"/>
    <s v="&gt;= 7 anos"/>
    <s v="Muito Estável (&gt; 7 anos)"/>
    <x v="0"/>
    <x v="0"/>
    <s v="solteiro"/>
    <x v="0"/>
    <n v="4"/>
    <s v="carro ou outros-quitado"/>
    <n v="43"/>
    <x v="2"/>
    <s v="loja"/>
    <x v="0"/>
    <n v="4"/>
    <x v="2"/>
    <n v="2"/>
    <s v="sim"/>
    <x v="0"/>
    <n v="1"/>
  </r>
  <r>
    <n v="892"/>
    <x v="0"/>
    <s v="sem conta corrente"/>
    <s v="sem conta no banco"/>
    <x v="7"/>
    <x v="0"/>
    <x v="0"/>
    <n v="1829"/>
    <s v="&lt; 100 $"/>
    <s v="Baixo (&lt; 100 $)"/>
    <s v="&gt;= 7 anos"/>
    <s v="Muito Estável (&gt; 7 anos)"/>
    <x v="0"/>
    <x v="0"/>
    <s v="solteiro"/>
    <x v="0"/>
    <n v="4"/>
    <s v="carro ou outros-quitado"/>
    <n v="46"/>
    <x v="2"/>
    <s v="nenhum"/>
    <x v="0"/>
    <n v="2"/>
    <x v="0"/>
    <n v="1"/>
    <s v="sim"/>
    <x v="0"/>
    <n v="1"/>
  </r>
  <r>
    <n v="893"/>
    <x v="0"/>
    <s v="&lt; 0 $"/>
    <s v="negativo/devedor"/>
    <x v="2"/>
    <x v="0"/>
    <x v="3"/>
    <n v="2171"/>
    <s v="&lt; 100 $"/>
    <s v="Baixo (&lt; 100 $)"/>
    <s v="&lt; 4 anos"/>
    <s v="Intermediário (1-4 anos)"/>
    <x v="0"/>
    <x v="0"/>
    <s v="solteiro"/>
    <x v="0"/>
    <n v="4"/>
    <s v="poupança ou seguro de vida"/>
    <n v="38"/>
    <x v="3"/>
    <s v="banco"/>
    <x v="0"/>
    <n v="2"/>
    <x v="1"/>
    <n v="1"/>
    <s v="não"/>
    <x v="1"/>
    <n v="1"/>
  </r>
  <r>
    <n v="894"/>
    <x v="0"/>
    <s v="&gt;= 0 &lt; 200 $"/>
    <s v="saldo baixo"/>
    <x v="5"/>
    <x v="0"/>
    <x v="4"/>
    <n v="5800"/>
    <s v="&lt; 100 $"/>
    <s v="Baixo (&lt; 100 $)"/>
    <s v="&lt; 4 anos"/>
    <s v="Intermediário (1-4 anos)"/>
    <x v="2"/>
    <x v="0"/>
    <s v="solteiro"/>
    <x v="0"/>
    <n v="4"/>
    <s v="carro ou outros-quitado"/>
    <n v="34"/>
    <x v="3"/>
    <s v="nenhum"/>
    <x v="0"/>
    <n v="2"/>
    <x v="0"/>
    <n v="1"/>
    <s v="sim"/>
    <x v="0"/>
    <n v="1"/>
  </r>
  <r>
    <n v="895"/>
    <x v="0"/>
    <s v="sem conta corrente"/>
    <s v="sem conta no banco"/>
    <x v="12"/>
    <x v="0"/>
    <x v="0"/>
    <n v="1169"/>
    <s v="sem poupança"/>
    <s v="sem poupança"/>
    <s v="&lt; 4 anos"/>
    <s v="Intermediário (1-4 anos)"/>
    <x v="0"/>
    <x v="0"/>
    <s v="solteiro"/>
    <x v="0"/>
    <n v="3"/>
    <s v="poupança ou seguro de vida"/>
    <n v="29"/>
    <x v="3"/>
    <s v="nenhum"/>
    <x v="0"/>
    <n v="2"/>
    <x v="0"/>
    <n v="1"/>
    <s v="sim"/>
    <x v="0"/>
    <n v="1"/>
  </r>
  <r>
    <n v="896"/>
    <x v="0"/>
    <s v="sem conta corrente"/>
    <s v="sem conta no banco"/>
    <x v="5"/>
    <x v="2"/>
    <x v="4"/>
    <n v="8947"/>
    <s v="sem poupança"/>
    <s v="sem poupança"/>
    <s v="&lt; 7 anos"/>
    <s v="Estável (4-7 anos)"/>
    <x v="2"/>
    <x v="0"/>
    <s v="solteiro"/>
    <x v="0"/>
    <n v="2"/>
    <s v="carro ou outros-quitado"/>
    <n v="31"/>
    <x v="3"/>
    <s v="loja"/>
    <x v="0"/>
    <n v="1"/>
    <x v="2"/>
    <n v="2"/>
    <s v="sim"/>
    <x v="0"/>
    <n v="1"/>
  </r>
  <r>
    <n v="897"/>
    <x v="0"/>
    <s v="&lt; 0 $"/>
    <s v="negativo/devedor"/>
    <x v="21"/>
    <x v="1"/>
    <x v="0"/>
    <n v="2606"/>
    <s v="&lt; 100 $"/>
    <s v="Baixo (&lt; 100 $)"/>
    <s v="&lt; 1 ano"/>
    <s v="Iniciante (&lt; 1 ano)"/>
    <x v="0"/>
    <x v="1"/>
    <s v="divorciada/casada"/>
    <x v="0"/>
    <n v="4"/>
    <s v="poupança ou seguro de vida"/>
    <n v="28"/>
    <x v="3"/>
    <s v="nenhum"/>
    <x v="2"/>
    <n v="1"/>
    <x v="2"/>
    <n v="1"/>
    <s v="sim"/>
    <x v="0"/>
    <n v="1"/>
  </r>
  <r>
    <n v="898"/>
    <x v="0"/>
    <s v="sem conta corrente"/>
    <s v="sem conta no banco"/>
    <x v="2"/>
    <x v="0"/>
    <x v="2"/>
    <n v="1592"/>
    <s v="&gt;= 1000 $"/>
    <s v="Muito alto (&gt;1000$)"/>
    <s v="&lt; 7 anos"/>
    <s v="Estável (4-7 anos)"/>
    <x v="2"/>
    <x v="1"/>
    <s v="divorciada/casada"/>
    <x v="0"/>
    <n v="2"/>
    <s v="poupança ou seguro de vida"/>
    <n v="35"/>
    <x v="3"/>
    <s v="nenhum"/>
    <x v="0"/>
    <n v="1"/>
    <x v="0"/>
    <n v="1"/>
    <s v="não"/>
    <x v="1"/>
    <n v="1"/>
  </r>
  <r>
    <n v="899"/>
    <x v="0"/>
    <s v="sem conta corrente"/>
    <s v="sem conta no banco"/>
    <x v="7"/>
    <x v="1"/>
    <x v="2"/>
    <n v="2186"/>
    <s v="sem poupança"/>
    <s v="sem poupança"/>
    <s v="&lt; 7 anos"/>
    <s v="Estável (4-7 anos)"/>
    <x v="3"/>
    <x v="1"/>
    <s v="divorciada/casada"/>
    <x v="0"/>
    <n v="4"/>
    <s v="imovel"/>
    <n v="33"/>
    <x v="3"/>
    <s v="banco"/>
    <x v="2"/>
    <n v="1"/>
    <x v="1"/>
    <n v="1"/>
    <s v="não"/>
    <x v="0"/>
    <n v="1"/>
  </r>
  <r>
    <n v="900"/>
    <x v="1"/>
    <s v="&lt; 0 $"/>
    <s v="negativo/devedor"/>
    <x v="12"/>
    <x v="1"/>
    <x v="2"/>
    <n v="4153"/>
    <s v="&lt; 100 $"/>
    <s v="Baixo (&lt; 100 $)"/>
    <s v="&lt; 4 anos"/>
    <s v="Intermediário (1-4 anos)"/>
    <x v="1"/>
    <x v="0"/>
    <s v="solteiro"/>
    <x v="2"/>
    <n v="3"/>
    <s v="carro ou outros-quitado"/>
    <n v="42"/>
    <x v="2"/>
    <s v="nenhum"/>
    <x v="0"/>
    <n v="1"/>
    <x v="0"/>
    <n v="1"/>
    <s v="não"/>
    <x v="0"/>
    <n v="2"/>
  </r>
  <r>
    <n v="901"/>
    <x v="1"/>
    <s v="&lt; 0 $"/>
    <s v="negativo/devedor"/>
    <x v="22"/>
    <x v="0"/>
    <x v="3"/>
    <n v="2625"/>
    <s v="&lt; 100 $"/>
    <s v="Baixo (&lt; 100 $)"/>
    <s v="&gt;= 7 anos"/>
    <s v="Muito Estável (&gt; 7 anos)"/>
    <x v="1"/>
    <x v="0"/>
    <s v="solteiro"/>
    <x v="1"/>
    <n v="4"/>
    <s v="poupança ou seguro de vida"/>
    <n v="43"/>
    <x v="2"/>
    <s v="banco"/>
    <x v="2"/>
    <n v="1"/>
    <x v="0"/>
    <n v="1"/>
    <s v="sim"/>
    <x v="0"/>
    <n v="2"/>
  </r>
  <r>
    <n v="902"/>
    <x v="0"/>
    <s v="sem conta corrente"/>
    <s v="sem conta no banco"/>
    <x v="18"/>
    <x v="0"/>
    <x v="3"/>
    <n v="3485"/>
    <s v="sem poupança"/>
    <s v="sem poupança"/>
    <s v="&lt; 1 ano"/>
    <s v="Iniciante (&lt; 1 ano)"/>
    <x v="1"/>
    <x v="0"/>
    <s v="divorciado"/>
    <x v="0"/>
    <n v="4"/>
    <s v="imovel"/>
    <n v="44"/>
    <x v="2"/>
    <s v="nenhum"/>
    <x v="0"/>
    <n v="2"/>
    <x v="0"/>
    <n v="1"/>
    <s v="sim"/>
    <x v="0"/>
    <n v="1"/>
  </r>
  <r>
    <n v="903"/>
    <x v="0"/>
    <s v="sem conta corrente"/>
    <s v="sem conta no banco"/>
    <x v="5"/>
    <x v="0"/>
    <x v="4"/>
    <n v="10477"/>
    <s v="sem poupança"/>
    <s v="sem poupança"/>
    <s v="&gt;= 7 anos"/>
    <s v="Muito Estável (&gt; 7 anos)"/>
    <x v="1"/>
    <x v="0"/>
    <s v="solteiro"/>
    <x v="0"/>
    <n v="4"/>
    <s v="sem bens"/>
    <n v="42"/>
    <x v="2"/>
    <s v="nenhum"/>
    <x v="1"/>
    <n v="2"/>
    <x v="0"/>
    <n v="1"/>
    <s v="não"/>
    <x v="0"/>
    <n v="1"/>
  </r>
  <r>
    <n v="904"/>
    <x v="0"/>
    <s v="sem conta corrente"/>
    <s v="sem conta no banco"/>
    <x v="7"/>
    <x v="1"/>
    <x v="0"/>
    <n v="1386"/>
    <s v="sem poupança"/>
    <s v="sem poupança"/>
    <s v="&lt; 4 anos"/>
    <s v="Intermediário (1-4 anos)"/>
    <x v="0"/>
    <x v="0"/>
    <s v="casado/viuvo"/>
    <x v="0"/>
    <n v="2"/>
    <s v="imovel"/>
    <n v="40"/>
    <x v="2"/>
    <s v="nenhum"/>
    <x v="2"/>
    <n v="1"/>
    <x v="0"/>
    <n v="1"/>
    <s v="sim"/>
    <x v="0"/>
    <n v="1"/>
  </r>
  <r>
    <n v="905"/>
    <x v="0"/>
    <s v="sem conta corrente"/>
    <s v="sem conta no banco"/>
    <x v="4"/>
    <x v="1"/>
    <x v="0"/>
    <n v="1278"/>
    <s v="&lt; 100 $"/>
    <s v="Baixo (&lt; 100 $)"/>
    <s v="&gt;= 7 anos"/>
    <s v="Muito Estável (&gt; 7 anos)"/>
    <x v="0"/>
    <x v="0"/>
    <s v="solteiro"/>
    <x v="0"/>
    <n v="1"/>
    <s v="imovel"/>
    <n v="36"/>
    <x v="3"/>
    <s v="nenhum"/>
    <x v="0"/>
    <n v="1"/>
    <x v="2"/>
    <n v="1"/>
    <s v="sim"/>
    <x v="0"/>
    <n v="1"/>
  </r>
  <r>
    <n v="906"/>
    <x v="0"/>
    <s v="&lt; 0 $"/>
    <s v="negativo/devedor"/>
    <x v="2"/>
    <x v="1"/>
    <x v="0"/>
    <n v="1107"/>
    <s v="&lt; 100 $"/>
    <s v="Baixo (&lt; 100 $)"/>
    <s v="&lt; 4 anos"/>
    <s v="Intermediário (1-4 anos)"/>
    <x v="1"/>
    <x v="0"/>
    <s v="solteiro"/>
    <x v="0"/>
    <n v="2"/>
    <s v="imovel"/>
    <n v="20"/>
    <x v="1"/>
    <s v="nenhum"/>
    <x v="2"/>
    <n v="1"/>
    <x v="2"/>
    <n v="2"/>
    <s v="sim"/>
    <x v="0"/>
    <n v="1"/>
  </r>
  <r>
    <n v="907"/>
    <x v="0"/>
    <s v="&lt; 0 $"/>
    <s v="negativo/devedor"/>
    <x v="21"/>
    <x v="1"/>
    <x v="3"/>
    <n v="3763"/>
    <s v="sem poupança"/>
    <s v="sem poupança"/>
    <s v="&lt; 7 anos"/>
    <s v="Estável (4-7 anos)"/>
    <x v="1"/>
    <x v="0"/>
    <s v="solteiro"/>
    <x v="2"/>
    <n v="2"/>
    <s v="imovel"/>
    <n v="24"/>
    <x v="1"/>
    <s v="nenhum"/>
    <x v="0"/>
    <n v="1"/>
    <x v="1"/>
    <n v="1"/>
    <s v="não"/>
    <x v="1"/>
    <n v="1"/>
  </r>
  <r>
    <n v="908"/>
    <x v="0"/>
    <s v="&gt;= 0 &lt; 200 $"/>
    <s v="saldo baixo"/>
    <x v="5"/>
    <x v="1"/>
    <x v="1"/>
    <n v="3711"/>
    <s v="sem poupança"/>
    <s v="sem poupança"/>
    <s v="&lt; 4 anos"/>
    <s v="Intermediário (1-4 anos)"/>
    <x v="1"/>
    <x v="0"/>
    <s v="casado/viuvo"/>
    <x v="0"/>
    <n v="2"/>
    <s v="carro ou outros-quitado"/>
    <n v="27"/>
    <x v="3"/>
    <s v="nenhum"/>
    <x v="0"/>
    <n v="1"/>
    <x v="0"/>
    <n v="1"/>
    <s v="não"/>
    <x v="0"/>
    <n v="1"/>
  </r>
  <r>
    <n v="909"/>
    <x v="0"/>
    <s v="sem conta corrente"/>
    <s v="sem conta no banco"/>
    <x v="7"/>
    <x v="2"/>
    <x v="4"/>
    <n v="3594"/>
    <s v="&lt; 100 $"/>
    <s v="Baixo (&lt; 100 $)"/>
    <s v="&lt; 1 ano"/>
    <s v="Iniciante (&lt; 1 ano)"/>
    <x v="3"/>
    <x v="1"/>
    <s v="divorciada/casada"/>
    <x v="0"/>
    <n v="2"/>
    <s v="poupança ou seguro de vida"/>
    <n v="46"/>
    <x v="2"/>
    <s v="nenhum"/>
    <x v="0"/>
    <n v="2"/>
    <x v="1"/>
    <n v="1"/>
    <s v="não"/>
    <x v="0"/>
    <n v="1"/>
  </r>
  <r>
    <n v="910"/>
    <x v="0"/>
    <s v="&gt;= 0 &lt; 200 $"/>
    <s v="saldo baixo"/>
    <x v="8"/>
    <x v="1"/>
    <x v="3"/>
    <n v="3195"/>
    <s v="sem poupança"/>
    <s v="sem poupança"/>
    <s v="&lt; 4 anos"/>
    <s v="Intermediário (1-4 anos)"/>
    <x v="3"/>
    <x v="1"/>
    <s v="divorciada/casada"/>
    <x v="0"/>
    <n v="2"/>
    <s v="imovel"/>
    <n v="33"/>
    <x v="3"/>
    <s v="nenhum"/>
    <x v="0"/>
    <n v="1"/>
    <x v="1"/>
    <n v="1"/>
    <s v="não"/>
    <x v="0"/>
    <n v="1"/>
  </r>
  <r>
    <n v="911"/>
    <x v="0"/>
    <s v="sem conta corrente"/>
    <s v="sem conta no banco"/>
    <x v="5"/>
    <x v="2"/>
    <x v="0"/>
    <n v="4454"/>
    <s v="&lt; 100 $"/>
    <s v="Baixo (&lt; 100 $)"/>
    <s v="&lt; 4 anos"/>
    <s v="Intermediário (1-4 anos)"/>
    <x v="0"/>
    <x v="1"/>
    <s v="divorciada/casada"/>
    <x v="0"/>
    <n v="4"/>
    <s v="imovel"/>
    <n v="34"/>
    <x v="3"/>
    <s v="nenhum"/>
    <x v="0"/>
    <n v="2"/>
    <x v="0"/>
    <n v="1"/>
    <s v="não"/>
    <x v="0"/>
    <n v="1"/>
  </r>
  <r>
    <n v="912"/>
    <x v="1"/>
    <s v="&gt;= 0 &lt; 200 $"/>
    <s v="saldo baixo"/>
    <x v="4"/>
    <x v="0"/>
    <x v="2"/>
    <n v="4736"/>
    <s v="&lt; 100 $"/>
    <s v="Baixo (&lt; 100 $)"/>
    <s v="&lt; 1 ano"/>
    <s v="Iniciante (&lt; 1 ano)"/>
    <x v="1"/>
    <x v="1"/>
    <s v="divorciada/casada"/>
    <x v="0"/>
    <n v="4"/>
    <s v="carro ou outros-quitado"/>
    <n v="25"/>
    <x v="3"/>
    <s v="banco"/>
    <x v="0"/>
    <n v="1"/>
    <x v="1"/>
    <n v="1"/>
    <s v="não"/>
    <x v="0"/>
    <n v="2"/>
  </r>
  <r>
    <n v="913"/>
    <x v="0"/>
    <s v="&gt;= 0 &lt; 200 $"/>
    <s v="saldo baixo"/>
    <x v="6"/>
    <x v="1"/>
    <x v="0"/>
    <n v="2991"/>
    <s v="sem poupança"/>
    <s v="sem poupança"/>
    <s v="&gt;= 7 anos"/>
    <s v="Muito Estável (&gt; 7 anos)"/>
    <x v="1"/>
    <x v="1"/>
    <s v="divorciada/casada"/>
    <x v="0"/>
    <n v="4"/>
    <s v="carro ou outros-quitado"/>
    <n v="25"/>
    <x v="3"/>
    <s v="nenhum"/>
    <x v="0"/>
    <n v="1"/>
    <x v="0"/>
    <n v="1"/>
    <s v="não"/>
    <x v="0"/>
    <n v="1"/>
  </r>
  <r>
    <n v="914"/>
    <x v="0"/>
    <s v="sem conta corrente"/>
    <s v="sem conta no banco"/>
    <x v="14"/>
    <x v="1"/>
    <x v="5"/>
    <n v="2142"/>
    <s v="&gt;= 1000 $"/>
    <s v="Muito alto (&gt;1000$)"/>
    <s v="&gt;= 7 anos"/>
    <s v="Muito Estável (&gt; 7 anos)"/>
    <x v="3"/>
    <x v="0"/>
    <s v="divorciado"/>
    <x v="0"/>
    <n v="2"/>
    <s v="imovel"/>
    <n v="28"/>
    <x v="3"/>
    <s v="nenhum"/>
    <x v="0"/>
    <n v="1"/>
    <x v="0"/>
    <n v="1"/>
    <s v="sim"/>
    <x v="0"/>
    <n v="1"/>
  </r>
  <r>
    <n v="915"/>
    <x v="1"/>
    <s v="&lt; 0 $"/>
    <s v="negativo/devedor"/>
    <x v="4"/>
    <x v="4"/>
    <x v="5"/>
    <n v="3161"/>
    <s v="&lt; 100 $"/>
    <s v="Baixo (&lt; 100 $)"/>
    <s v="&lt; 4 anos"/>
    <s v="Intermediário (1-4 anos)"/>
    <x v="0"/>
    <x v="0"/>
    <s v="solteiro"/>
    <x v="0"/>
    <n v="2"/>
    <s v="poupança ou seguro de vida"/>
    <n v="31"/>
    <x v="3"/>
    <s v="nenhum"/>
    <x v="2"/>
    <n v="1"/>
    <x v="0"/>
    <n v="1"/>
    <s v="sim"/>
    <x v="0"/>
    <n v="2"/>
  </r>
  <r>
    <n v="916"/>
    <x v="1"/>
    <s v="&gt;= 0 &lt; 200 $"/>
    <s v="saldo baixo"/>
    <x v="1"/>
    <x v="3"/>
    <x v="8"/>
    <n v="18424"/>
    <s v="&lt; 100 $"/>
    <s v="Baixo (&lt; 100 $)"/>
    <s v="&lt; 4 anos"/>
    <s v="Intermediário (1-4 anos)"/>
    <x v="3"/>
    <x v="1"/>
    <s v="divorciada/casada"/>
    <x v="0"/>
    <n v="2"/>
    <s v="poupança ou seguro de vida"/>
    <n v="32"/>
    <x v="3"/>
    <s v="banco"/>
    <x v="0"/>
    <n v="1"/>
    <x v="2"/>
    <n v="1"/>
    <s v="sim"/>
    <x v="1"/>
    <n v="2"/>
  </r>
  <r>
    <n v="917"/>
    <x v="0"/>
    <s v="sem conta corrente"/>
    <s v="sem conta no banco"/>
    <x v="9"/>
    <x v="1"/>
    <x v="4"/>
    <n v="2848"/>
    <s v="&gt;= 100 &lt; 500 $"/>
    <s v="Médio (100-500$)"/>
    <s v="&lt; 4 anos"/>
    <s v="Intermediário (1-4 anos)"/>
    <x v="3"/>
    <x v="0"/>
    <s v="solteiro"/>
    <x v="2"/>
    <n v="2"/>
    <s v="imovel"/>
    <n v="32"/>
    <x v="3"/>
    <s v="nenhum"/>
    <x v="0"/>
    <n v="1"/>
    <x v="0"/>
    <n v="2"/>
    <s v="não"/>
    <x v="0"/>
    <n v="1"/>
  </r>
  <r>
    <n v="918"/>
    <x v="1"/>
    <s v="&lt; 0 $"/>
    <s v="negativo/devedor"/>
    <x v="0"/>
    <x v="1"/>
    <x v="3"/>
    <n v="14896"/>
    <s v="&lt; 100 $"/>
    <s v="Baixo (&lt; 100 $)"/>
    <s v="&gt;= 7 anos"/>
    <s v="Muito Estável (&gt; 7 anos)"/>
    <x v="3"/>
    <x v="0"/>
    <s v="solteiro"/>
    <x v="0"/>
    <n v="4"/>
    <s v="sem bens"/>
    <n v="68"/>
    <x v="0"/>
    <s v="banco"/>
    <x v="0"/>
    <n v="1"/>
    <x v="2"/>
    <n v="1"/>
    <s v="sim"/>
    <x v="0"/>
    <n v="2"/>
  </r>
  <r>
    <n v="919"/>
    <x v="1"/>
    <s v="&lt; 0 $"/>
    <s v="negativo/devedor"/>
    <x v="4"/>
    <x v="1"/>
    <x v="2"/>
    <n v="2359"/>
    <s v="&gt;= 100 &lt; 500 $"/>
    <s v="Médio (100-500$)"/>
    <s v="desempregado"/>
    <s v="desempregado"/>
    <x v="3"/>
    <x v="0"/>
    <s v="divorciado"/>
    <x v="0"/>
    <n v="1"/>
    <s v="poupança ou seguro de vida"/>
    <n v="33"/>
    <x v="3"/>
    <s v="nenhum"/>
    <x v="0"/>
    <n v="1"/>
    <x v="0"/>
    <n v="1"/>
    <s v="não"/>
    <x v="0"/>
    <n v="2"/>
  </r>
  <r>
    <n v="920"/>
    <x v="1"/>
    <s v="&lt; 0 $"/>
    <s v="negativo/devedor"/>
    <x v="4"/>
    <x v="1"/>
    <x v="2"/>
    <n v="3345"/>
    <s v="&lt; 100 $"/>
    <s v="Baixo (&lt; 100 $)"/>
    <s v="&gt;= 7 anos"/>
    <s v="Muito Estável (&gt; 7 anos)"/>
    <x v="0"/>
    <x v="0"/>
    <s v="solteiro"/>
    <x v="0"/>
    <n v="2"/>
    <s v="poupança ou seguro de vida"/>
    <n v="39"/>
    <x v="3"/>
    <s v="nenhum"/>
    <x v="2"/>
    <n v="1"/>
    <x v="2"/>
    <n v="1"/>
    <s v="sim"/>
    <x v="0"/>
    <n v="2"/>
  </r>
  <r>
    <n v="921"/>
    <x v="0"/>
    <s v="sem conta corrente"/>
    <s v="sem conta no banco"/>
    <x v="12"/>
    <x v="0"/>
    <x v="2"/>
    <n v="1817"/>
    <s v="&lt; 100 $"/>
    <s v="Baixo (&lt; 100 $)"/>
    <s v="&lt; 4 anos"/>
    <s v="Intermediário (1-4 anos)"/>
    <x v="0"/>
    <x v="1"/>
    <s v="divorciada/casada"/>
    <x v="0"/>
    <n v="2"/>
    <s v="sem bens"/>
    <n v="28"/>
    <x v="3"/>
    <s v="nenhum"/>
    <x v="0"/>
    <n v="2"/>
    <x v="0"/>
    <n v="1"/>
    <s v="não"/>
    <x v="0"/>
    <n v="1"/>
  </r>
  <r>
    <n v="922"/>
    <x v="0"/>
    <s v="sem conta corrente"/>
    <s v="sem conta no banco"/>
    <x v="1"/>
    <x v="2"/>
    <x v="0"/>
    <n v="12749"/>
    <s v="&gt;= 500 &lt; 1000 $"/>
    <s v="Alto (500-1000 $)"/>
    <s v="&lt; 7 anos"/>
    <s v="Estável (4-7 anos)"/>
    <x v="0"/>
    <x v="0"/>
    <s v="solteiro"/>
    <x v="0"/>
    <n v="1"/>
    <s v="carro ou outros-quitado"/>
    <n v="37"/>
    <x v="3"/>
    <s v="nenhum"/>
    <x v="0"/>
    <n v="1"/>
    <x v="2"/>
    <n v="1"/>
    <s v="sim"/>
    <x v="0"/>
    <n v="1"/>
  </r>
  <r>
    <n v="923"/>
    <x v="1"/>
    <s v="&lt; 0 $"/>
    <s v="negativo/devedor"/>
    <x v="8"/>
    <x v="1"/>
    <x v="0"/>
    <n v="1366"/>
    <s v="&lt; 100 $"/>
    <s v="Baixo (&lt; 100 $)"/>
    <s v="&lt; 1 ano"/>
    <s v="Iniciante (&lt; 1 ano)"/>
    <x v="2"/>
    <x v="1"/>
    <s v="divorciada/casada"/>
    <x v="0"/>
    <n v="4"/>
    <s v="poupança ou seguro de vida"/>
    <n v="22"/>
    <x v="1"/>
    <s v="nenhum"/>
    <x v="2"/>
    <n v="1"/>
    <x v="0"/>
    <n v="1"/>
    <s v="não"/>
    <x v="0"/>
    <n v="2"/>
  </r>
  <r>
    <n v="924"/>
    <x v="0"/>
    <s v="&gt;= 0 &lt; 200 $"/>
    <s v="saldo baixo"/>
    <x v="2"/>
    <x v="1"/>
    <x v="3"/>
    <n v="2002"/>
    <s v="&lt; 100 $"/>
    <s v="Baixo (&lt; 100 $)"/>
    <s v="&lt; 7 anos"/>
    <s v="Estável (4-7 anos)"/>
    <x v="2"/>
    <x v="0"/>
    <s v="solteiro"/>
    <x v="0"/>
    <n v="4"/>
    <s v="poupança ou seguro de vida"/>
    <n v="30"/>
    <x v="3"/>
    <s v="nenhum"/>
    <x v="2"/>
    <n v="1"/>
    <x v="0"/>
    <n v="2"/>
    <s v="sim"/>
    <x v="0"/>
    <n v="1"/>
  </r>
  <r>
    <n v="925"/>
    <x v="1"/>
    <s v="&lt; 0 $"/>
    <s v="negativo/devedor"/>
    <x v="4"/>
    <x v="4"/>
    <x v="2"/>
    <n v="6872"/>
    <s v="&lt; 100 $"/>
    <s v="Baixo (&lt; 100 $)"/>
    <s v="&lt; 1 ano"/>
    <s v="Iniciante (&lt; 1 ano)"/>
    <x v="1"/>
    <x v="0"/>
    <s v="divorciado"/>
    <x v="0"/>
    <n v="1"/>
    <s v="poupança ou seguro de vida"/>
    <n v="55"/>
    <x v="2"/>
    <s v="banco"/>
    <x v="0"/>
    <n v="1"/>
    <x v="0"/>
    <n v="1"/>
    <s v="sim"/>
    <x v="0"/>
    <n v="2"/>
  </r>
  <r>
    <n v="926"/>
    <x v="1"/>
    <s v="&lt; 0 $"/>
    <s v="negativo/devedor"/>
    <x v="2"/>
    <x v="4"/>
    <x v="3"/>
    <n v="697"/>
    <s v="&lt; 100 $"/>
    <s v="Baixo (&lt; 100 $)"/>
    <s v="&lt; 1 ano"/>
    <s v="Iniciante (&lt; 1 ano)"/>
    <x v="0"/>
    <x v="0"/>
    <s v="solteiro"/>
    <x v="0"/>
    <n v="2"/>
    <s v="carro ou outros-quitado"/>
    <n v="46"/>
    <x v="2"/>
    <s v="banco"/>
    <x v="0"/>
    <n v="2"/>
    <x v="0"/>
    <n v="1"/>
    <s v="sim"/>
    <x v="0"/>
    <n v="2"/>
  </r>
  <r>
    <n v="927"/>
    <x v="0"/>
    <s v="&lt; 0 $"/>
    <s v="negativo/devedor"/>
    <x v="12"/>
    <x v="0"/>
    <x v="2"/>
    <n v="1049"/>
    <s v="&lt; 100 $"/>
    <s v="Baixo (&lt; 100 $)"/>
    <s v="&lt; 1 ano"/>
    <s v="Iniciante (&lt; 1 ano)"/>
    <x v="0"/>
    <x v="1"/>
    <s v="divorciada/casada"/>
    <x v="0"/>
    <n v="4"/>
    <s v="poupança ou seguro de vida"/>
    <n v="21"/>
    <x v="1"/>
    <s v="nenhum"/>
    <x v="2"/>
    <n v="1"/>
    <x v="0"/>
    <n v="1"/>
    <s v="não"/>
    <x v="0"/>
    <n v="1"/>
  </r>
  <r>
    <n v="928"/>
    <x v="1"/>
    <s v="&lt; 0 $"/>
    <s v="negativo/devedor"/>
    <x v="1"/>
    <x v="1"/>
    <x v="4"/>
    <n v="10297"/>
    <s v="&lt; 100 $"/>
    <s v="Baixo (&lt; 100 $)"/>
    <s v="&lt; 7 anos"/>
    <s v="Estável (4-7 anos)"/>
    <x v="0"/>
    <x v="0"/>
    <s v="solteiro"/>
    <x v="0"/>
    <n v="4"/>
    <s v="sem bens"/>
    <n v="39"/>
    <x v="3"/>
    <s v="loja"/>
    <x v="1"/>
    <n v="3"/>
    <x v="0"/>
    <n v="2"/>
    <s v="sim"/>
    <x v="0"/>
    <n v="2"/>
  </r>
  <r>
    <n v="929"/>
    <x v="0"/>
    <s v="sem conta corrente"/>
    <s v="sem conta no banco"/>
    <x v="6"/>
    <x v="1"/>
    <x v="0"/>
    <n v="1867"/>
    <s v="sem poupança"/>
    <s v="sem poupança"/>
    <s v="&gt;= 7 anos"/>
    <s v="Muito Estável (&gt; 7 anos)"/>
    <x v="0"/>
    <x v="0"/>
    <s v="solteiro"/>
    <x v="0"/>
    <n v="4"/>
    <s v="carro ou outros-quitado"/>
    <n v="58"/>
    <x v="2"/>
    <s v="nenhum"/>
    <x v="0"/>
    <n v="1"/>
    <x v="0"/>
    <n v="1"/>
    <s v="sim"/>
    <x v="0"/>
    <n v="1"/>
  </r>
  <r>
    <n v="930"/>
    <x v="0"/>
    <s v="&lt; 0 $"/>
    <s v="negativo/devedor"/>
    <x v="2"/>
    <x v="2"/>
    <x v="3"/>
    <n v="1344"/>
    <s v="&lt; 100 $"/>
    <s v="Baixo (&lt; 100 $)"/>
    <s v="&lt; 4 anos"/>
    <s v="Intermediário (1-4 anos)"/>
    <x v="0"/>
    <x v="0"/>
    <s v="solteiro"/>
    <x v="0"/>
    <n v="2"/>
    <s v="imovel"/>
    <n v="43"/>
    <x v="2"/>
    <s v="nenhum"/>
    <x v="0"/>
    <n v="2"/>
    <x v="1"/>
    <n v="2"/>
    <s v="não"/>
    <x v="0"/>
    <n v="1"/>
  </r>
  <r>
    <n v="931"/>
    <x v="0"/>
    <s v="&lt; 0 $"/>
    <s v="negativo/devedor"/>
    <x v="4"/>
    <x v="1"/>
    <x v="2"/>
    <n v="1747"/>
    <s v="&lt; 100 $"/>
    <s v="Baixo (&lt; 100 $)"/>
    <s v="&lt; 1 ano"/>
    <s v="Iniciante (&lt; 1 ano)"/>
    <x v="0"/>
    <x v="0"/>
    <s v="solteiro"/>
    <x v="2"/>
    <n v="1"/>
    <s v="poupança ou seguro de vida"/>
    <n v="24"/>
    <x v="1"/>
    <s v="nenhum"/>
    <x v="0"/>
    <n v="1"/>
    <x v="1"/>
    <n v="1"/>
    <s v="não"/>
    <x v="1"/>
    <n v="1"/>
  </r>
  <r>
    <n v="932"/>
    <x v="1"/>
    <s v="&gt;= 0 &lt; 200 $"/>
    <s v="saldo baixo"/>
    <x v="8"/>
    <x v="1"/>
    <x v="0"/>
    <n v="1670"/>
    <s v="&lt; 100 $"/>
    <s v="Baixo (&lt; 100 $)"/>
    <s v="&lt; 1 ano"/>
    <s v="Iniciante (&lt; 1 ano)"/>
    <x v="0"/>
    <x v="1"/>
    <s v="divorciada/casada"/>
    <x v="0"/>
    <n v="2"/>
    <s v="carro ou outros-quitado"/>
    <n v="22"/>
    <x v="1"/>
    <s v="nenhum"/>
    <x v="0"/>
    <n v="1"/>
    <x v="0"/>
    <n v="1"/>
    <s v="sim"/>
    <x v="0"/>
    <n v="2"/>
  </r>
  <r>
    <n v="933"/>
    <x v="0"/>
    <s v="sem conta corrente"/>
    <s v="sem conta no banco"/>
    <x v="8"/>
    <x v="0"/>
    <x v="3"/>
    <n v="1224"/>
    <s v="&lt; 100 $"/>
    <s v="Baixo (&lt; 100 $)"/>
    <s v="&lt; 4 anos"/>
    <s v="Intermediário (1-4 anos)"/>
    <x v="2"/>
    <x v="0"/>
    <s v="solteiro"/>
    <x v="0"/>
    <n v="1"/>
    <s v="imovel"/>
    <n v="30"/>
    <x v="3"/>
    <s v="nenhum"/>
    <x v="0"/>
    <n v="2"/>
    <x v="0"/>
    <n v="1"/>
    <s v="não"/>
    <x v="0"/>
    <n v="1"/>
  </r>
  <r>
    <n v="934"/>
    <x v="0"/>
    <s v="sem conta corrente"/>
    <s v="sem conta no banco"/>
    <x v="2"/>
    <x v="0"/>
    <x v="0"/>
    <n v="522"/>
    <s v="&gt;= 500 &lt; 1000 $"/>
    <s v="Alto (500-1000 $)"/>
    <s v="&gt;= 7 anos"/>
    <s v="Muito Estável (&gt; 7 anos)"/>
    <x v="0"/>
    <x v="0"/>
    <s v="solteiro"/>
    <x v="0"/>
    <n v="4"/>
    <s v="poupança ou seguro de vida"/>
    <n v="42"/>
    <x v="2"/>
    <s v="nenhum"/>
    <x v="0"/>
    <n v="2"/>
    <x v="0"/>
    <n v="2"/>
    <s v="sim"/>
    <x v="0"/>
    <n v="1"/>
  </r>
  <r>
    <n v="935"/>
    <x v="0"/>
    <s v="&lt; 0 $"/>
    <s v="negativo/devedor"/>
    <x v="2"/>
    <x v="1"/>
    <x v="0"/>
    <n v="1498"/>
    <s v="&lt; 100 $"/>
    <s v="Baixo (&lt; 100 $)"/>
    <s v="&lt; 4 anos"/>
    <s v="Intermediário (1-4 anos)"/>
    <x v="0"/>
    <x v="1"/>
    <s v="divorciada/casada"/>
    <x v="0"/>
    <n v="1"/>
    <s v="carro ou outros-quitado"/>
    <n v="23"/>
    <x v="1"/>
    <s v="banco"/>
    <x v="0"/>
    <n v="1"/>
    <x v="0"/>
    <n v="1"/>
    <s v="não"/>
    <x v="0"/>
    <n v="1"/>
  </r>
  <r>
    <n v="936"/>
    <x v="1"/>
    <s v="&gt;= 0 &lt; 200 $"/>
    <s v="saldo baixo"/>
    <x v="6"/>
    <x v="2"/>
    <x v="0"/>
    <n v="1919"/>
    <s v="&gt;= 100 &lt; 500 $"/>
    <s v="Médio (100-500$)"/>
    <s v="&lt; 1 ano"/>
    <s v="Iniciante (&lt; 1 ano)"/>
    <x v="0"/>
    <x v="0"/>
    <s v="solteiro"/>
    <x v="0"/>
    <n v="3"/>
    <s v="sem bens"/>
    <n v="30"/>
    <x v="3"/>
    <s v="loja"/>
    <x v="0"/>
    <n v="2"/>
    <x v="2"/>
    <n v="1"/>
    <s v="não"/>
    <x v="0"/>
    <n v="2"/>
  </r>
  <r>
    <n v="937"/>
    <x v="1"/>
    <s v="&gt;= 200 $"/>
    <s v="saldo saudável"/>
    <x v="8"/>
    <x v="1"/>
    <x v="0"/>
    <n v="745"/>
    <s v="&lt; 100 $"/>
    <s v="Baixo (&lt; 100 $)"/>
    <s v="&lt; 4 anos"/>
    <s v="Intermediário (1-4 anos)"/>
    <x v="2"/>
    <x v="1"/>
    <s v="divorciada/casada"/>
    <x v="0"/>
    <n v="2"/>
    <s v="imovel"/>
    <n v="28"/>
    <x v="3"/>
    <s v="nenhum"/>
    <x v="0"/>
    <n v="1"/>
    <x v="1"/>
    <n v="1"/>
    <s v="não"/>
    <x v="0"/>
    <n v="2"/>
  </r>
  <r>
    <n v="938"/>
    <x v="0"/>
    <s v="&gt;= 0 &lt; 200 $"/>
    <s v="saldo baixo"/>
    <x v="0"/>
    <x v="1"/>
    <x v="0"/>
    <n v="2063"/>
    <s v="&lt; 100 $"/>
    <s v="Baixo (&lt; 100 $)"/>
    <s v="&lt; 1 ano"/>
    <s v="Iniciante (&lt; 1 ano)"/>
    <x v="0"/>
    <x v="0"/>
    <s v="casado/viuvo"/>
    <x v="0"/>
    <n v="3"/>
    <s v="carro ou outros-quitado"/>
    <n v="30"/>
    <x v="3"/>
    <s v="nenhum"/>
    <x v="2"/>
    <n v="1"/>
    <x v="2"/>
    <n v="1"/>
    <s v="sim"/>
    <x v="0"/>
    <n v="1"/>
  </r>
  <r>
    <n v="939"/>
    <x v="1"/>
    <s v="&gt;= 0 &lt; 200 $"/>
    <s v="saldo baixo"/>
    <x v="11"/>
    <x v="1"/>
    <x v="1"/>
    <n v="6288"/>
    <s v="&lt; 100 $"/>
    <s v="Baixo (&lt; 100 $)"/>
    <s v="&lt; 4 anos"/>
    <s v="Intermediário (1-4 anos)"/>
    <x v="0"/>
    <x v="0"/>
    <s v="solteiro"/>
    <x v="0"/>
    <n v="4"/>
    <s v="sem bens"/>
    <n v="42"/>
    <x v="2"/>
    <s v="nenhum"/>
    <x v="1"/>
    <n v="1"/>
    <x v="0"/>
    <n v="1"/>
    <s v="não"/>
    <x v="0"/>
    <n v="2"/>
  </r>
  <r>
    <n v="940"/>
    <x v="0"/>
    <s v="sem conta corrente"/>
    <s v="sem conta no banco"/>
    <x v="4"/>
    <x v="0"/>
    <x v="4"/>
    <n v="6842"/>
    <s v="sem poupança"/>
    <s v="sem poupança"/>
    <s v="&lt; 4 anos"/>
    <s v="Intermediário (1-4 anos)"/>
    <x v="1"/>
    <x v="0"/>
    <s v="solteiro"/>
    <x v="0"/>
    <n v="4"/>
    <s v="poupança ou seguro de vida"/>
    <n v="46"/>
    <x v="2"/>
    <s v="nenhum"/>
    <x v="0"/>
    <n v="2"/>
    <x v="2"/>
    <n v="2"/>
    <s v="sim"/>
    <x v="0"/>
    <n v="1"/>
  </r>
  <r>
    <n v="941"/>
    <x v="0"/>
    <s v="sem conta corrente"/>
    <s v="sem conta no banco"/>
    <x v="2"/>
    <x v="1"/>
    <x v="3"/>
    <n v="3527"/>
    <s v="sem poupança"/>
    <s v="sem poupança"/>
    <s v="&lt; 1 ano"/>
    <s v="Iniciante (&lt; 1 ano)"/>
    <x v="1"/>
    <x v="0"/>
    <s v="solteiro"/>
    <x v="0"/>
    <n v="3"/>
    <s v="poupança ou seguro de vida"/>
    <n v="45"/>
    <x v="2"/>
    <s v="nenhum"/>
    <x v="0"/>
    <n v="1"/>
    <x v="2"/>
    <n v="2"/>
    <s v="sim"/>
    <x v="0"/>
    <n v="1"/>
  </r>
  <r>
    <n v="942"/>
    <x v="0"/>
    <s v="sem conta corrente"/>
    <s v="sem conta no banco"/>
    <x v="9"/>
    <x v="1"/>
    <x v="3"/>
    <n v="1546"/>
    <s v="&lt; 100 $"/>
    <s v="Baixo (&lt; 100 $)"/>
    <s v="&lt; 4 anos"/>
    <s v="Intermediário (1-4 anos)"/>
    <x v="2"/>
    <x v="0"/>
    <s v="solteiro"/>
    <x v="0"/>
    <n v="2"/>
    <s v="imovel"/>
    <n v="31"/>
    <x v="3"/>
    <s v="nenhum"/>
    <x v="0"/>
    <n v="1"/>
    <x v="1"/>
    <n v="2"/>
    <s v="não"/>
    <x v="1"/>
    <n v="1"/>
  </r>
  <r>
    <n v="943"/>
    <x v="0"/>
    <s v="sem conta corrente"/>
    <s v="sem conta no banco"/>
    <x v="4"/>
    <x v="1"/>
    <x v="2"/>
    <n v="929"/>
    <s v="sem poupança"/>
    <s v="sem poupança"/>
    <s v="&lt; 7 anos"/>
    <s v="Estável (4-7 anos)"/>
    <x v="0"/>
    <x v="0"/>
    <s v="solteiro"/>
    <x v="0"/>
    <n v="2"/>
    <s v="carro ou outros-quitado"/>
    <n v="31"/>
    <x v="3"/>
    <s v="loja"/>
    <x v="0"/>
    <n v="1"/>
    <x v="0"/>
    <n v="1"/>
    <s v="sim"/>
    <x v="0"/>
    <n v="1"/>
  </r>
  <r>
    <n v="944"/>
    <x v="0"/>
    <s v="sem conta corrente"/>
    <s v="sem conta no banco"/>
    <x v="23"/>
    <x v="0"/>
    <x v="3"/>
    <n v="1455"/>
    <s v="&lt; 100 $"/>
    <s v="Baixo (&lt; 100 $)"/>
    <s v="&lt; 7 anos"/>
    <s v="Estável (4-7 anos)"/>
    <x v="1"/>
    <x v="0"/>
    <s v="solteiro"/>
    <x v="0"/>
    <n v="1"/>
    <s v="imovel"/>
    <n v="42"/>
    <x v="2"/>
    <s v="nenhum"/>
    <x v="0"/>
    <n v="3"/>
    <x v="1"/>
    <n v="2"/>
    <s v="não"/>
    <x v="0"/>
    <n v="1"/>
  </r>
  <r>
    <n v="945"/>
    <x v="0"/>
    <s v="&lt; 0 $"/>
    <s v="negativo/devedor"/>
    <x v="7"/>
    <x v="1"/>
    <x v="2"/>
    <n v="1845"/>
    <s v="&lt; 100 $"/>
    <s v="Baixo (&lt; 100 $)"/>
    <s v="&lt; 1 ano"/>
    <s v="Iniciante (&lt; 1 ano)"/>
    <x v="0"/>
    <x v="1"/>
    <s v="divorciada/casada"/>
    <x v="1"/>
    <n v="1"/>
    <s v="poupança ou seguro de vida"/>
    <n v="46"/>
    <x v="2"/>
    <s v="nenhum"/>
    <x v="2"/>
    <n v="1"/>
    <x v="0"/>
    <n v="1"/>
    <s v="não"/>
    <x v="0"/>
    <n v="1"/>
  </r>
  <r>
    <n v="946"/>
    <x v="0"/>
    <s v="&gt;= 0 &lt; 200 $"/>
    <s v="saldo baixo"/>
    <x v="1"/>
    <x v="3"/>
    <x v="3"/>
    <n v="8358"/>
    <s v="&gt;= 500 &lt; 1000 $"/>
    <s v="Alto (500-1000 $)"/>
    <s v="&lt; 1 ano"/>
    <s v="Iniciante (&lt; 1 ano)"/>
    <x v="3"/>
    <x v="1"/>
    <s v="divorciada/casada"/>
    <x v="0"/>
    <n v="1"/>
    <s v="carro ou outros-quitado"/>
    <n v="30"/>
    <x v="3"/>
    <s v="nenhum"/>
    <x v="0"/>
    <n v="2"/>
    <x v="0"/>
    <n v="1"/>
    <s v="não"/>
    <x v="0"/>
    <n v="1"/>
  </r>
  <r>
    <n v="947"/>
    <x v="1"/>
    <s v="&lt; 0 $"/>
    <s v="negativo/devedor"/>
    <x v="4"/>
    <x v="4"/>
    <x v="2"/>
    <n v="3349"/>
    <s v="&gt;= 500 &lt; 1000 $"/>
    <s v="Alto (500-1000 $)"/>
    <s v="&lt; 1 ano"/>
    <s v="Iniciante (&lt; 1 ano)"/>
    <x v="0"/>
    <x v="0"/>
    <s v="solteiro"/>
    <x v="0"/>
    <n v="4"/>
    <s v="sem bens"/>
    <n v="30"/>
    <x v="3"/>
    <s v="nenhum"/>
    <x v="1"/>
    <n v="1"/>
    <x v="0"/>
    <n v="2"/>
    <s v="sim"/>
    <x v="0"/>
    <n v="2"/>
  </r>
  <r>
    <n v="948"/>
    <x v="0"/>
    <s v="sem conta corrente"/>
    <s v="sem conta no banco"/>
    <x v="2"/>
    <x v="1"/>
    <x v="3"/>
    <n v="2859"/>
    <s v="sem poupança"/>
    <s v="sem poupança"/>
    <s v="desempregado"/>
    <s v="desempregado"/>
    <x v="0"/>
    <x v="0"/>
    <s v="solteiro"/>
    <x v="0"/>
    <n v="4"/>
    <s v="sem bens"/>
    <n v="38"/>
    <x v="3"/>
    <s v="nenhum"/>
    <x v="0"/>
    <n v="1"/>
    <x v="2"/>
    <n v="1"/>
    <s v="sim"/>
    <x v="0"/>
    <n v="1"/>
  </r>
  <r>
    <n v="949"/>
    <x v="1"/>
    <s v="sem conta corrente"/>
    <s v="sem conta no banco"/>
    <x v="12"/>
    <x v="1"/>
    <x v="2"/>
    <n v="1533"/>
    <s v="&lt; 100 $"/>
    <s v="Baixo (&lt; 100 $)"/>
    <s v="&lt; 1 ano"/>
    <s v="Iniciante (&lt; 1 ano)"/>
    <x v="0"/>
    <x v="0"/>
    <s v="casado/viuvo"/>
    <x v="2"/>
    <n v="1"/>
    <s v="poupança ou seguro de vida"/>
    <n v="43"/>
    <x v="2"/>
    <s v="nenhum"/>
    <x v="0"/>
    <n v="1"/>
    <x v="1"/>
    <n v="2"/>
    <s v="não"/>
    <x v="0"/>
    <n v="2"/>
  </r>
  <r>
    <n v="950"/>
    <x v="1"/>
    <s v="sem conta corrente"/>
    <s v="sem conta no banco"/>
    <x v="4"/>
    <x v="1"/>
    <x v="0"/>
    <n v="3621"/>
    <s v="&gt;= 100 &lt; 500 $"/>
    <s v="Médio (100-500$)"/>
    <s v="&gt;= 7 anos"/>
    <s v="Muito Estável (&gt; 7 anos)"/>
    <x v="1"/>
    <x v="0"/>
    <s v="solteiro"/>
    <x v="0"/>
    <n v="4"/>
    <s v="carro ou outros-quitado"/>
    <n v="31"/>
    <x v="3"/>
    <s v="nenhum"/>
    <x v="0"/>
    <n v="2"/>
    <x v="0"/>
    <n v="1"/>
    <s v="não"/>
    <x v="0"/>
    <n v="2"/>
  </r>
  <r>
    <n v="951"/>
    <x v="0"/>
    <s v="&gt;= 0 &lt; 200 $"/>
    <s v="saldo baixo"/>
    <x v="12"/>
    <x v="0"/>
    <x v="5"/>
    <n v="3590"/>
    <s v="&lt; 100 $"/>
    <s v="Baixo (&lt; 100 $)"/>
    <s v="desempregado"/>
    <s v="desempregado"/>
    <x v="2"/>
    <x v="0"/>
    <s v="casado/viuvo"/>
    <x v="0"/>
    <n v="3"/>
    <s v="carro ou outros-quitado"/>
    <n v="40"/>
    <x v="2"/>
    <s v="nenhum"/>
    <x v="0"/>
    <n v="3"/>
    <x v="3"/>
    <n v="2"/>
    <s v="sim"/>
    <x v="0"/>
    <n v="1"/>
  </r>
  <r>
    <n v="952"/>
    <x v="1"/>
    <s v="&lt; 0 $"/>
    <s v="negativo/devedor"/>
    <x v="5"/>
    <x v="2"/>
    <x v="5"/>
    <n v="2145"/>
    <s v="&lt; 100 $"/>
    <s v="Baixo (&lt; 100 $)"/>
    <s v="&lt; 7 anos"/>
    <s v="Estável (4-7 anos)"/>
    <x v="1"/>
    <x v="0"/>
    <s v="solteiro"/>
    <x v="0"/>
    <n v="1"/>
    <s v="carro ou outros-quitado"/>
    <n v="24"/>
    <x v="1"/>
    <s v="nenhum"/>
    <x v="0"/>
    <n v="2"/>
    <x v="0"/>
    <n v="1"/>
    <s v="sim"/>
    <x v="0"/>
    <n v="2"/>
  </r>
  <r>
    <n v="953"/>
    <x v="1"/>
    <s v="&gt;= 0 &lt; 200 $"/>
    <s v="saldo baixo"/>
    <x v="4"/>
    <x v="1"/>
    <x v="4"/>
    <n v="4113"/>
    <s v="&gt;= 500 &lt; 1000 $"/>
    <s v="Alto (500-1000 $)"/>
    <s v="&lt; 1 ano"/>
    <s v="Iniciante (&lt; 1 ano)"/>
    <x v="2"/>
    <x v="1"/>
    <s v="divorciada/casada"/>
    <x v="0"/>
    <n v="4"/>
    <s v="carro ou outros-quitado"/>
    <n v="28"/>
    <x v="3"/>
    <s v="nenhum"/>
    <x v="2"/>
    <n v="1"/>
    <x v="0"/>
    <n v="1"/>
    <s v="não"/>
    <x v="0"/>
    <n v="2"/>
  </r>
  <r>
    <n v="954"/>
    <x v="1"/>
    <s v="sem conta corrente"/>
    <s v="sem conta no banco"/>
    <x v="5"/>
    <x v="1"/>
    <x v="2"/>
    <n v="10974"/>
    <s v="&lt; 100 $"/>
    <s v="Baixo (&lt; 100 $)"/>
    <s v="desempregado"/>
    <s v="desempregado"/>
    <x v="0"/>
    <x v="1"/>
    <s v="divorciada/casada"/>
    <x v="0"/>
    <n v="2"/>
    <s v="carro ou outros-quitado"/>
    <n v="26"/>
    <x v="3"/>
    <s v="nenhum"/>
    <x v="0"/>
    <n v="2"/>
    <x v="2"/>
    <n v="1"/>
    <s v="sim"/>
    <x v="0"/>
    <n v="2"/>
  </r>
  <r>
    <n v="955"/>
    <x v="0"/>
    <s v="&lt; 0 $"/>
    <s v="negativo/devedor"/>
    <x v="2"/>
    <x v="1"/>
    <x v="3"/>
    <n v="1893"/>
    <s v="&lt; 100 $"/>
    <s v="Baixo (&lt; 100 $)"/>
    <s v="&lt; 4 anos"/>
    <s v="Intermediário (1-4 anos)"/>
    <x v="0"/>
    <x v="1"/>
    <s v="divorciada/casada"/>
    <x v="1"/>
    <n v="4"/>
    <s v="poupança ou seguro de vida"/>
    <n v="29"/>
    <x v="3"/>
    <s v="nenhum"/>
    <x v="0"/>
    <n v="1"/>
    <x v="0"/>
    <n v="1"/>
    <s v="sim"/>
    <x v="0"/>
    <n v="1"/>
  </r>
  <r>
    <n v="956"/>
    <x v="0"/>
    <s v="&lt; 0 $"/>
    <s v="negativo/devedor"/>
    <x v="4"/>
    <x v="0"/>
    <x v="0"/>
    <n v="1231"/>
    <s v="&gt;= 1000 $"/>
    <s v="Muito alto (&gt;1000$)"/>
    <s v="&gt;= 7 anos"/>
    <s v="Muito Estável (&gt; 7 anos)"/>
    <x v="0"/>
    <x v="1"/>
    <s v="divorciada/casada"/>
    <x v="0"/>
    <n v="4"/>
    <s v="poupança ou seguro de vida"/>
    <n v="57"/>
    <x v="2"/>
    <s v="nenhum"/>
    <x v="2"/>
    <n v="2"/>
    <x v="2"/>
    <n v="1"/>
    <s v="sim"/>
    <x v="0"/>
    <n v="1"/>
  </r>
  <r>
    <n v="957"/>
    <x v="0"/>
    <s v="&gt;= 200 $"/>
    <s v="saldo saudável"/>
    <x v="6"/>
    <x v="0"/>
    <x v="0"/>
    <n v="3656"/>
    <s v="sem poupança"/>
    <s v="sem poupança"/>
    <s v="&gt;= 7 anos"/>
    <s v="Muito Estável (&gt; 7 anos)"/>
    <x v="0"/>
    <x v="0"/>
    <s v="solteiro"/>
    <x v="0"/>
    <n v="4"/>
    <s v="poupança ou seguro de vida"/>
    <n v="49"/>
    <x v="2"/>
    <s v="loja"/>
    <x v="0"/>
    <n v="2"/>
    <x v="1"/>
    <n v="1"/>
    <s v="não"/>
    <x v="0"/>
    <n v="1"/>
  </r>
  <r>
    <n v="958"/>
    <x v="0"/>
    <s v="&gt;= 0 &lt; 200 $"/>
    <s v="saldo baixo"/>
    <x v="8"/>
    <x v="0"/>
    <x v="0"/>
    <n v="1154"/>
    <s v="&lt; 100 $"/>
    <s v="Baixo (&lt; 100 $)"/>
    <s v="&gt;= 7 anos"/>
    <s v="Muito Estável (&gt; 7 anos)"/>
    <x v="1"/>
    <x v="0"/>
    <s v="solteiro"/>
    <x v="0"/>
    <n v="4"/>
    <s v="imovel"/>
    <n v="37"/>
    <x v="3"/>
    <s v="nenhum"/>
    <x v="0"/>
    <n v="3"/>
    <x v="1"/>
    <n v="1"/>
    <s v="não"/>
    <x v="0"/>
    <n v="1"/>
  </r>
  <r>
    <n v="959"/>
    <x v="1"/>
    <s v="&lt; 0 $"/>
    <s v="negativo/devedor"/>
    <x v="28"/>
    <x v="1"/>
    <x v="3"/>
    <n v="4006"/>
    <s v="&lt; 100 $"/>
    <s v="Baixo (&lt; 100 $)"/>
    <s v="&lt; 4 anos"/>
    <s v="Intermediário (1-4 anos)"/>
    <x v="2"/>
    <x v="0"/>
    <s v="solteiro"/>
    <x v="0"/>
    <n v="2"/>
    <s v="carro ou outros-quitado"/>
    <n v="45"/>
    <x v="2"/>
    <s v="nenhum"/>
    <x v="0"/>
    <n v="1"/>
    <x v="1"/>
    <n v="1"/>
    <s v="não"/>
    <x v="0"/>
    <n v="2"/>
  </r>
  <r>
    <n v="960"/>
    <x v="0"/>
    <s v="&gt;= 0 &lt; 200 $"/>
    <s v="saldo baixo"/>
    <x v="4"/>
    <x v="1"/>
    <x v="2"/>
    <n v="3069"/>
    <s v="&gt;= 100 &lt; 500 $"/>
    <s v="Médio (100-500$)"/>
    <s v="&gt;= 7 anos"/>
    <s v="Muito Estável (&gt; 7 anos)"/>
    <x v="0"/>
    <x v="0"/>
    <s v="solteiro"/>
    <x v="0"/>
    <n v="4"/>
    <s v="sem bens"/>
    <n v="30"/>
    <x v="3"/>
    <s v="nenhum"/>
    <x v="1"/>
    <n v="1"/>
    <x v="0"/>
    <n v="1"/>
    <s v="não"/>
    <x v="0"/>
    <n v="1"/>
  </r>
  <r>
    <n v="961"/>
    <x v="0"/>
    <s v="sem conta corrente"/>
    <s v="sem conta no banco"/>
    <x v="0"/>
    <x v="0"/>
    <x v="0"/>
    <n v="1740"/>
    <s v="&lt; 100 $"/>
    <s v="Baixo (&lt; 100 $)"/>
    <s v="&gt;= 7 anos"/>
    <s v="Muito Estável (&gt; 7 anos)"/>
    <x v="1"/>
    <x v="0"/>
    <s v="casado/viuvo"/>
    <x v="0"/>
    <n v="2"/>
    <s v="imovel"/>
    <n v="30"/>
    <x v="3"/>
    <s v="nenhum"/>
    <x v="2"/>
    <n v="2"/>
    <x v="0"/>
    <n v="1"/>
    <s v="não"/>
    <x v="0"/>
    <n v="1"/>
  </r>
  <r>
    <n v="962"/>
    <x v="0"/>
    <s v="&gt;= 0 &lt; 200 $"/>
    <s v="saldo baixo"/>
    <x v="21"/>
    <x v="2"/>
    <x v="3"/>
    <n v="2353"/>
    <s v="&lt; 100 $"/>
    <s v="Baixo (&lt; 100 $)"/>
    <s v="&lt; 4 anos"/>
    <s v="Intermediário (1-4 anos)"/>
    <x v="3"/>
    <x v="0"/>
    <s v="divorciado"/>
    <x v="0"/>
    <n v="4"/>
    <s v="poupança ou seguro de vida"/>
    <n v="47"/>
    <x v="2"/>
    <s v="nenhum"/>
    <x v="0"/>
    <n v="2"/>
    <x v="0"/>
    <n v="1"/>
    <s v="não"/>
    <x v="0"/>
    <n v="1"/>
  </r>
  <r>
    <n v="963"/>
    <x v="0"/>
    <s v="sem conta corrente"/>
    <s v="sem conta no banco"/>
    <x v="7"/>
    <x v="1"/>
    <x v="3"/>
    <n v="3556"/>
    <s v="sem poupança"/>
    <s v="sem poupança"/>
    <s v="&lt; 4 anos"/>
    <s v="Intermediário (1-4 anos)"/>
    <x v="2"/>
    <x v="0"/>
    <s v="solteiro"/>
    <x v="0"/>
    <n v="2"/>
    <s v="sem bens"/>
    <n v="29"/>
    <x v="3"/>
    <s v="nenhum"/>
    <x v="0"/>
    <n v="1"/>
    <x v="0"/>
    <n v="1"/>
    <s v="não"/>
    <x v="0"/>
    <n v="1"/>
  </r>
  <r>
    <n v="964"/>
    <x v="1"/>
    <s v="sem conta corrente"/>
    <s v="sem conta no banco"/>
    <x v="4"/>
    <x v="1"/>
    <x v="0"/>
    <n v="2397"/>
    <s v="&gt;= 500 &lt; 1000 $"/>
    <s v="Alto (500-1000 $)"/>
    <s v="&gt;= 7 anos"/>
    <s v="Muito Estável (&gt; 7 anos)"/>
    <x v="2"/>
    <x v="0"/>
    <s v="solteiro"/>
    <x v="0"/>
    <n v="2"/>
    <s v="carro ou outros-quitado"/>
    <n v="35"/>
    <x v="3"/>
    <s v="banco"/>
    <x v="0"/>
    <n v="2"/>
    <x v="0"/>
    <n v="1"/>
    <s v="sim"/>
    <x v="0"/>
    <n v="2"/>
  </r>
  <r>
    <n v="965"/>
    <x v="0"/>
    <s v="&gt;= 0 &lt; 200 $"/>
    <s v="saldo baixo"/>
    <x v="0"/>
    <x v="1"/>
    <x v="7"/>
    <n v="454"/>
    <s v="&lt; 100 $"/>
    <s v="Baixo (&lt; 100 $)"/>
    <s v="&lt; 1 ano"/>
    <s v="Iniciante (&lt; 1 ano)"/>
    <x v="2"/>
    <x v="0"/>
    <s v="casado/viuvo"/>
    <x v="0"/>
    <n v="1"/>
    <s v="poupança ou seguro de vida"/>
    <n v="22"/>
    <x v="1"/>
    <s v="nenhum"/>
    <x v="0"/>
    <n v="1"/>
    <x v="1"/>
    <n v="1"/>
    <s v="não"/>
    <x v="0"/>
    <n v="1"/>
  </r>
  <r>
    <n v="966"/>
    <x v="0"/>
    <s v="&gt;= 0 &lt; 200 $"/>
    <s v="saldo baixo"/>
    <x v="6"/>
    <x v="1"/>
    <x v="0"/>
    <n v="1715"/>
    <s v="sem poupança"/>
    <s v="sem poupança"/>
    <s v="&lt; 4 anos"/>
    <s v="Intermediário (1-4 anos)"/>
    <x v="0"/>
    <x v="1"/>
    <s v="divorciada/casada"/>
    <x v="0"/>
    <n v="1"/>
    <s v="carro ou outros-quitado"/>
    <n v="26"/>
    <x v="3"/>
    <s v="nenhum"/>
    <x v="0"/>
    <n v="1"/>
    <x v="0"/>
    <n v="1"/>
    <s v="não"/>
    <x v="0"/>
    <n v="1"/>
  </r>
  <r>
    <n v="967"/>
    <x v="1"/>
    <s v="&gt;= 0 &lt; 200 $"/>
    <s v="saldo baixo"/>
    <x v="15"/>
    <x v="0"/>
    <x v="0"/>
    <n v="2520"/>
    <s v="&gt;= 500 &lt; 1000 $"/>
    <s v="Alto (500-1000 $)"/>
    <s v="&lt; 4 anos"/>
    <s v="Intermediário (1-4 anos)"/>
    <x v="0"/>
    <x v="0"/>
    <s v="solteiro"/>
    <x v="0"/>
    <n v="2"/>
    <s v="poupança ou seguro de vida"/>
    <n v="23"/>
    <x v="1"/>
    <s v="nenhum"/>
    <x v="0"/>
    <n v="2"/>
    <x v="1"/>
    <n v="1"/>
    <s v="não"/>
    <x v="0"/>
    <n v="2"/>
  </r>
  <r>
    <n v="968"/>
    <x v="0"/>
    <s v="sem conta corrente"/>
    <s v="sem conta no banco"/>
    <x v="7"/>
    <x v="1"/>
    <x v="0"/>
    <n v="3568"/>
    <s v="&lt; 100 $"/>
    <s v="Baixo (&lt; 100 $)"/>
    <s v="&gt;= 7 anos"/>
    <s v="Muito Estável (&gt; 7 anos)"/>
    <x v="0"/>
    <x v="1"/>
    <s v="divorciada/casada"/>
    <x v="0"/>
    <n v="2"/>
    <s v="carro ou outros-quitado"/>
    <n v="54"/>
    <x v="2"/>
    <s v="banco"/>
    <x v="2"/>
    <n v="1"/>
    <x v="2"/>
    <n v="1"/>
    <s v="sim"/>
    <x v="0"/>
    <n v="1"/>
  </r>
  <r>
    <n v="969"/>
    <x v="0"/>
    <s v="sem conta corrente"/>
    <s v="sem conta no banco"/>
    <x v="3"/>
    <x v="1"/>
    <x v="0"/>
    <n v="7166"/>
    <s v="sem poupança"/>
    <s v="sem poupança"/>
    <s v="&lt; 7 anos"/>
    <s v="Estável (4-7 anos)"/>
    <x v="1"/>
    <x v="0"/>
    <s v="casado/viuvo"/>
    <x v="0"/>
    <n v="4"/>
    <s v="poupança ou seguro de vida"/>
    <n v="29"/>
    <x v="3"/>
    <s v="nenhum"/>
    <x v="2"/>
    <n v="1"/>
    <x v="0"/>
    <n v="1"/>
    <s v="sim"/>
    <x v="0"/>
    <n v="1"/>
  </r>
  <r>
    <n v="970"/>
    <x v="0"/>
    <s v="&lt; 0 $"/>
    <s v="negativo/devedor"/>
    <x v="14"/>
    <x v="0"/>
    <x v="3"/>
    <n v="3939"/>
    <s v="&lt; 100 $"/>
    <s v="Baixo (&lt; 100 $)"/>
    <s v="&lt; 4 anos"/>
    <s v="Intermediário (1-4 anos)"/>
    <x v="3"/>
    <x v="0"/>
    <s v="solteiro"/>
    <x v="0"/>
    <n v="2"/>
    <s v="imovel"/>
    <n v="40"/>
    <x v="2"/>
    <s v="nenhum"/>
    <x v="0"/>
    <n v="2"/>
    <x v="1"/>
    <n v="2"/>
    <s v="não"/>
    <x v="0"/>
    <n v="1"/>
  </r>
  <r>
    <n v="971"/>
    <x v="0"/>
    <s v="&gt;= 0 &lt; 200 $"/>
    <s v="saldo baixo"/>
    <x v="7"/>
    <x v="1"/>
    <x v="7"/>
    <n v="1514"/>
    <s v="&gt;= 100 &lt; 500 $"/>
    <s v="Médio (100-500$)"/>
    <s v="&lt; 4 anos"/>
    <s v="Intermediário (1-4 anos)"/>
    <x v="0"/>
    <x v="0"/>
    <s v="solteiro"/>
    <x v="1"/>
    <n v="2"/>
    <s v="imovel"/>
    <n v="22"/>
    <x v="1"/>
    <s v="nenhum"/>
    <x v="0"/>
    <n v="1"/>
    <x v="0"/>
    <n v="1"/>
    <s v="não"/>
    <x v="0"/>
    <n v="1"/>
  </r>
  <r>
    <n v="972"/>
    <x v="0"/>
    <s v="sem conta corrente"/>
    <s v="sem conta no banco"/>
    <x v="4"/>
    <x v="1"/>
    <x v="3"/>
    <n v="7393"/>
    <s v="&lt; 100 $"/>
    <s v="Baixo (&lt; 100 $)"/>
    <s v="&lt; 4 anos"/>
    <s v="Intermediário (1-4 anos)"/>
    <x v="3"/>
    <x v="0"/>
    <s v="solteiro"/>
    <x v="0"/>
    <n v="4"/>
    <s v="poupança ou seguro de vida"/>
    <n v="43"/>
    <x v="2"/>
    <s v="nenhum"/>
    <x v="0"/>
    <n v="1"/>
    <x v="1"/>
    <n v="2"/>
    <s v="não"/>
    <x v="0"/>
    <n v="1"/>
  </r>
  <r>
    <n v="973"/>
    <x v="1"/>
    <s v="&lt; 0 $"/>
    <s v="negativo/devedor"/>
    <x v="4"/>
    <x v="4"/>
    <x v="3"/>
    <n v="1193"/>
    <s v="&lt; 100 $"/>
    <s v="Baixo (&lt; 100 $)"/>
    <s v="desempregado"/>
    <s v="desempregado"/>
    <x v="3"/>
    <x v="1"/>
    <s v="divorciada/casada"/>
    <x v="2"/>
    <n v="4"/>
    <s v="sem bens"/>
    <n v="29"/>
    <x v="3"/>
    <s v="nenhum"/>
    <x v="2"/>
    <n v="2"/>
    <x v="3"/>
    <n v="1"/>
    <s v="não"/>
    <x v="0"/>
    <n v="2"/>
  </r>
  <r>
    <n v="974"/>
    <x v="1"/>
    <s v="&lt; 0 $"/>
    <s v="negativo/devedor"/>
    <x v="11"/>
    <x v="1"/>
    <x v="5"/>
    <n v="7297"/>
    <s v="&lt; 100 $"/>
    <s v="Baixo (&lt; 100 $)"/>
    <s v="&gt;= 7 anos"/>
    <s v="Muito Estável (&gt; 7 anos)"/>
    <x v="0"/>
    <x v="0"/>
    <s v="solteiro"/>
    <x v="2"/>
    <n v="4"/>
    <s v="sem bens"/>
    <n v="36"/>
    <x v="3"/>
    <s v="nenhum"/>
    <x v="2"/>
    <n v="1"/>
    <x v="0"/>
    <n v="1"/>
    <s v="não"/>
    <x v="0"/>
    <n v="2"/>
  </r>
  <r>
    <n v="975"/>
    <x v="0"/>
    <s v="sem conta corrente"/>
    <s v="sem conta no banco"/>
    <x v="6"/>
    <x v="0"/>
    <x v="0"/>
    <n v="2831"/>
    <s v="&lt; 100 $"/>
    <s v="Baixo (&lt; 100 $)"/>
    <s v="&lt; 4 anos"/>
    <s v="Intermediário (1-4 anos)"/>
    <x v="0"/>
    <x v="1"/>
    <s v="divorciada/casada"/>
    <x v="0"/>
    <n v="2"/>
    <s v="carro ou outros-quitado"/>
    <n v="33"/>
    <x v="3"/>
    <s v="nenhum"/>
    <x v="0"/>
    <n v="1"/>
    <x v="0"/>
    <n v="1"/>
    <s v="sim"/>
    <x v="0"/>
    <n v="1"/>
  </r>
  <r>
    <n v="976"/>
    <x v="0"/>
    <s v="&gt;= 200 $"/>
    <s v="saldo saudável"/>
    <x v="4"/>
    <x v="1"/>
    <x v="0"/>
    <n v="1258"/>
    <s v="&gt;= 500 &lt; 1000 $"/>
    <s v="Alto (500-1000 $)"/>
    <s v="&lt; 4 anos"/>
    <s v="Intermediário (1-4 anos)"/>
    <x v="2"/>
    <x v="1"/>
    <s v="divorciada/casada"/>
    <x v="0"/>
    <n v="3"/>
    <s v="carro ou outros-quitado"/>
    <n v="57"/>
    <x v="2"/>
    <s v="nenhum"/>
    <x v="0"/>
    <n v="1"/>
    <x v="1"/>
    <n v="1"/>
    <s v="não"/>
    <x v="0"/>
    <n v="1"/>
  </r>
  <r>
    <n v="977"/>
    <x v="0"/>
    <s v="&gt;= 0 &lt; 200 $"/>
    <s v="saldo baixo"/>
    <x v="0"/>
    <x v="1"/>
    <x v="0"/>
    <n v="753"/>
    <s v="&lt; 100 $"/>
    <s v="Baixo (&lt; 100 $)"/>
    <s v="&lt; 4 anos"/>
    <s v="Intermediário (1-4 anos)"/>
    <x v="1"/>
    <x v="1"/>
    <s v="divorciada/casada"/>
    <x v="1"/>
    <n v="3"/>
    <s v="imovel"/>
    <n v="64"/>
    <x v="0"/>
    <s v="nenhum"/>
    <x v="0"/>
    <n v="1"/>
    <x v="0"/>
    <n v="1"/>
    <s v="não"/>
    <x v="0"/>
    <n v="1"/>
  </r>
  <r>
    <n v="978"/>
    <x v="0"/>
    <s v="&gt;= 0 &lt; 200 $"/>
    <s v="saldo baixo"/>
    <x v="12"/>
    <x v="2"/>
    <x v="5"/>
    <n v="2427"/>
    <s v="sem poupança"/>
    <s v="sem poupança"/>
    <s v="&gt;= 7 anos"/>
    <s v="Muito Estável (&gt; 7 anos)"/>
    <x v="0"/>
    <x v="0"/>
    <s v="solteiro"/>
    <x v="0"/>
    <n v="2"/>
    <s v="poupança ou seguro de vida"/>
    <n v="42"/>
    <x v="2"/>
    <s v="nenhum"/>
    <x v="0"/>
    <n v="2"/>
    <x v="0"/>
    <n v="1"/>
    <s v="não"/>
    <x v="0"/>
    <n v="1"/>
  </r>
  <r>
    <n v="979"/>
    <x v="1"/>
    <s v="sem conta corrente"/>
    <s v="sem conta no banco"/>
    <x v="4"/>
    <x v="2"/>
    <x v="3"/>
    <n v="2538"/>
    <s v="&lt; 100 $"/>
    <s v="Baixo (&lt; 100 $)"/>
    <s v="&gt;= 7 anos"/>
    <s v="Muito Estável (&gt; 7 anos)"/>
    <x v="0"/>
    <x v="0"/>
    <s v="solteiro"/>
    <x v="0"/>
    <n v="4"/>
    <s v="carro ou outros-quitado"/>
    <n v="47"/>
    <x v="2"/>
    <s v="nenhum"/>
    <x v="0"/>
    <n v="2"/>
    <x v="1"/>
    <n v="2"/>
    <s v="não"/>
    <x v="0"/>
    <n v="2"/>
  </r>
  <r>
    <n v="980"/>
    <x v="1"/>
    <s v="&gt;= 0 &lt; 200 $"/>
    <s v="saldo baixo"/>
    <x v="7"/>
    <x v="4"/>
    <x v="3"/>
    <n v="1264"/>
    <s v="&gt;= 100 &lt; 500 $"/>
    <s v="Médio (100-500$)"/>
    <s v="&lt; 4 anos"/>
    <s v="Intermediário (1-4 anos)"/>
    <x v="1"/>
    <x v="0"/>
    <s v="casado/viuvo"/>
    <x v="0"/>
    <n v="2"/>
    <s v="poupança ou seguro de vida"/>
    <n v="25"/>
    <x v="3"/>
    <s v="nenhum"/>
    <x v="2"/>
    <n v="1"/>
    <x v="0"/>
    <n v="1"/>
    <s v="não"/>
    <x v="0"/>
    <n v="2"/>
  </r>
  <r>
    <n v="981"/>
    <x v="1"/>
    <s v="&gt;= 0 &lt; 200 $"/>
    <s v="saldo baixo"/>
    <x v="6"/>
    <x v="0"/>
    <x v="2"/>
    <n v="8386"/>
    <s v="&lt; 100 $"/>
    <s v="Baixo (&lt; 100 $)"/>
    <s v="&lt; 7 anos"/>
    <s v="Estável (4-7 anos)"/>
    <x v="1"/>
    <x v="0"/>
    <s v="solteiro"/>
    <x v="0"/>
    <n v="2"/>
    <s v="poupança ou seguro de vida"/>
    <n v="49"/>
    <x v="2"/>
    <s v="nenhum"/>
    <x v="0"/>
    <n v="1"/>
    <x v="0"/>
    <n v="1"/>
    <s v="não"/>
    <x v="0"/>
    <n v="2"/>
  </r>
  <r>
    <n v="982"/>
    <x v="1"/>
    <s v="sem conta corrente"/>
    <s v="sem conta no banco"/>
    <x v="1"/>
    <x v="1"/>
    <x v="5"/>
    <n v="4844"/>
    <s v="&lt; 100 $"/>
    <s v="Baixo (&lt; 100 $)"/>
    <s v="desempregado"/>
    <s v="desempregado"/>
    <x v="2"/>
    <x v="0"/>
    <s v="solteiro"/>
    <x v="0"/>
    <n v="2"/>
    <s v="carro ou outros-quitado"/>
    <n v="33"/>
    <x v="3"/>
    <s v="banco"/>
    <x v="2"/>
    <n v="1"/>
    <x v="2"/>
    <n v="1"/>
    <s v="sim"/>
    <x v="0"/>
    <n v="2"/>
  </r>
  <r>
    <n v="983"/>
    <x v="0"/>
    <s v="&gt;= 200 $"/>
    <s v="saldo saudável"/>
    <x v="21"/>
    <x v="1"/>
    <x v="3"/>
    <n v="2923"/>
    <s v="&gt;= 100 &lt; 500 $"/>
    <s v="Médio (100-500$)"/>
    <s v="&lt; 4 anos"/>
    <s v="Intermediário (1-4 anos)"/>
    <x v="3"/>
    <x v="1"/>
    <s v="divorciada/casada"/>
    <x v="0"/>
    <n v="1"/>
    <s v="carro ou outros-quitado"/>
    <n v="28"/>
    <x v="3"/>
    <s v="banco"/>
    <x v="0"/>
    <n v="1"/>
    <x v="2"/>
    <n v="1"/>
    <s v="sim"/>
    <x v="0"/>
    <n v="1"/>
  </r>
  <r>
    <n v="984"/>
    <x v="1"/>
    <s v="&lt; 0 $"/>
    <s v="negativo/devedor"/>
    <x v="5"/>
    <x v="1"/>
    <x v="4"/>
    <n v="8229"/>
    <s v="&lt; 100 $"/>
    <s v="Baixo (&lt; 100 $)"/>
    <s v="&lt; 4 anos"/>
    <s v="Intermediário (1-4 anos)"/>
    <x v="1"/>
    <x v="0"/>
    <s v="solteiro"/>
    <x v="0"/>
    <n v="2"/>
    <s v="poupança ou seguro de vida"/>
    <n v="26"/>
    <x v="3"/>
    <s v="nenhum"/>
    <x v="0"/>
    <n v="1"/>
    <x v="0"/>
    <n v="2"/>
    <s v="não"/>
    <x v="0"/>
    <n v="2"/>
  </r>
  <r>
    <n v="985"/>
    <x v="0"/>
    <s v="sem conta corrente"/>
    <s v="sem conta no banco"/>
    <x v="4"/>
    <x v="0"/>
    <x v="2"/>
    <n v="2028"/>
    <s v="&lt; 100 $"/>
    <s v="Baixo (&lt; 100 $)"/>
    <s v="&lt; 7 anos"/>
    <s v="Estável (4-7 anos)"/>
    <x v="1"/>
    <x v="0"/>
    <s v="solteiro"/>
    <x v="0"/>
    <n v="2"/>
    <s v="poupança ou seguro de vida"/>
    <n v="30"/>
    <x v="3"/>
    <s v="nenhum"/>
    <x v="0"/>
    <n v="2"/>
    <x v="1"/>
    <n v="1"/>
    <s v="não"/>
    <x v="0"/>
    <n v="1"/>
  </r>
  <r>
    <n v="986"/>
    <x v="0"/>
    <s v="&lt; 0 $"/>
    <s v="negativo/devedor"/>
    <x v="7"/>
    <x v="0"/>
    <x v="2"/>
    <n v="1433"/>
    <s v="&lt; 100 $"/>
    <s v="Baixo (&lt; 100 $)"/>
    <s v="&lt; 4 anos"/>
    <s v="Intermediário (1-4 anos)"/>
    <x v="0"/>
    <x v="1"/>
    <s v="divorciada/casada"/>
    <x v="0"/>
    <n v="3"/>
    <s v="poupança ou seguro de vida"/>
    <n v="25"/>
    <x v="3"/>
    <s v="nenhum"/>
    <x v="2"/>
    <n v="2"/>
    <x v="0"/>
    <n v="1"/>
    <s v="não"/>
    <x v="0"/>
    <n v="1"/>
  </r>
  <r>
    <n v="987"/>
    <x v="0"/>
    <s v="&gt;= 200 $"/>
    <s v="saldo saudável"/>
    <x v="3"/>
    <x v="3"/>
    <x v="5"/>
    <n v="6289"/>
    <s v="&lt; 100 $"/>
    <s v="Baixo (&lt; 100 $)"/>
    <s v="&lt; 1 ano"/>
    <s v="Iniciante (&lt; 1 ano)"/>
    <x v="1"/>
    <x v="0"/>
    <s v="divorciado"/>
    <x v="0"/>
    <n v="1"/>
    <s v="poupança ou seguro de vida"/>
    <n v="33"/>
    <x v="3"/>
    <s v="nenhum"/>
    <x v="0"/>
    <n v="2"/>
    <x v="0"/>
    <n v="1"/>
    <s v="não"/>
    <x v="0"/>
    <n v="1"/>
  </r>
  <r>
    <n v="988"/>
    <x v="0"/>
    <s v="sem conta corrente"/>
    <s v="sem conta no banco"/>
    <x v="25"/>
    <x v="1"/>
    <x v="0"/>
    <n v="1409"/>
    <s v="&gt;= 100 &lt; 500 $"/>
    <s v="Médio (100-500$)"/>
    <s v="desempregado"/>
    <s v="desempregado"/>
    <x v="1"/>
    <x v="1"/>
    <s v="divorciada/casada"/>
    <x v="0"/>
    <n v="4"/>
    <s v="imovel"/>
    <n v="64"/>
    <x v="0"/>
    <s v="nenhum"/>
    <x v="0"/>
    <n v="1"/>
    <x v="0"/>
    <n v="1"/>
    <s v="não"/>
    <x v="0"/>
    <n v="1"/>
  </r>
  <r>
    <n v="989"/>
    <x v="0"/>
    <s v="&lt; 0 $"/>
    <s v="negativo/devedor"/>
    <x v="4"/>
    <x v="1"/>
    <x v="4"/>
    <n v="6579"/>
    <s v="&lt; 100 $"/>
    <s v="Baixo (&lt; 100 $)"/>
    <s v="desempregado"/>
    <s v="desempregado"/>
    <x v="0"/>
    <x v="0"/>
    <s v="solteiro"/>
    <x v="0"/>
    <n v="2"/>
    <s v="sem bens"/>
    <n v="29"/>
    <x v="3"/>
    <s v="nenhum"/>
    <x v="1"/>
    <n v="1"/>
    <x v="2"/>
    <n v="1"/>
    <s v="sim"/>
    <x v="0"/>
    <n v="1"/>
  </r>
  <r>
    <n v="990"/>
    <x v="0"/>
    <s v="&gt;= 0 &lt; 200 $"/>
    <s v="saldo baixo"/>
    <x v="4"/>
    <x v="0"/>
    <x v="0"/>
    <n v="1743"/>
    <s v="&lt; 100 $"/>
    <s v="Baixo (&lt; 100 $)"/>
    <s v="&gt;= 7 anos"/>
    <s v="Muito Estável (&gt; 7 anos)"/>
    <x v="0"/>
    <x v="0"/>
    <s v="solteiro"/>
    <x v="0"/>
    <n v="2"/>
    <s v="poupança ou seguro de vida"/>
    <n v="48"/>
    <x v="2"/>
    <s v="nenhum"/>
    <x v="0"/>
    <n v="2"/>
    <x v="1"/>
    <n v="1"/>
    <s v="não"/>
    <x v="0"/>
    <n v="1"/>
  </r>
  <r>
    <n v="991"/>
    <x v="0"/>
    <s v="sem conta corrente"/>
    <s v="sem conta no banco"/>
    <x v="2"/>
    <x v="0"/>
    <x v="1"/>
    <n v="3565"/>
    <s v="sem poupança"/>
    <s v="sem poupança"/>
    <s v="&lt; 1 ano"/>
    <s v="Iniciante (&lt; 1 ano)"/>
    <x v="1"/>
    <x v="0"/>
    <s v="solteiro"/>
    <x v="0"/>
    <n v="1"/>
    <s v="poupança ou seguro de vida"/>
    <n v="37"/>
    <x v="3"/>
    <s v="nenhum"/>
    <x v="0"/>
    <n v="2"/>
    <x v="1"/>
    <n v="2"/>
    <s v="não"/>
    <x v="0"/>
    <n v="1"/>
  </r>
  <r>
    <n v="992"/>
    <x v="0"/>
    <s v="sem conta corrente"/>
    <s v="sem conta no banco"/>
    <x v="7"/>
    <x v="4"/>
    <x v="0"/>
    <n v="1569"/>
    <s v="&gt;= 100 &lt; 500 $"/>
    <s v="Médio (100-500$)"/>
    <s v="&gt;= 7 anos"/>
    <s v="Muito Estável (&gt; 7 anos)"/>
    <x v="0"/>
    <x v="0"/>
    <s v="solteiro"/>
    <x v="0"/>
    <n v="4"/>
    <s v="carro ou outros-quitado"/>
    <n v="34"/>
    <x v="3"/>
    <s v="banco"/>
    <x v="0"/>
    <n v="1"/>
    <x v="1"/>
    <n v="2"/>
    <s v="não"/>
    <x v="0"/>
    <n v="1"/>
  </r>
  <r>
    <n v="993"/>
    <x v="0"/>
    <s v="&lt; 0 $"/>
    <s v="negativo/devedor"/>
    <x v="12"/>
    <x v="1"/>
    <x v="0"/>
    <n v="1936"/>
    <s v="sem poupança"/>
    <s v="sem poupança"/>
    <s v="&lt; 7 anos"/>
    <s v="Estável (4-7 anos)"/>
    <x v="1"/>
    <x v="0"/>
    <s v="casado/viuvo"/>
    <x v="0"/>
    <n v="4"/>
    <s v="carro ou outros-quitado"/>
    <n v="23"/>
    <x v="1"/>
    <s v="nenhum"/>
    <x v="2"/>
    <n v="2"/>
    <x v="1"/>
    <n v="1"/>
    <s v="não"/>
    <x v="0"/>
    <n v="1"/>
  </r>
  <r>
    <n v="994"/>
    <x v="0"/>
    <s v="&lt; 0 $"/>
    <s v="negativo/devedor"/>
    <x v="5"/>
    <x v="1"/>
    <x v="2"/>
    <n v="3959"/>
    <s v="&lt; 100 $"/>
    <s v="Baixo (&lt; 100 $)"/>
    <s v="desempregado"/>
    <s v="desempregado"/>
    <x v="0"/>
    <x v="0"/>
    <s v="solteiro"/>
    <x v="0"/>
    <n v="3"/>
    <s v="poupança ou seguro de vida"/>
    <n v="30"/>
    <x v="3"/>
    <s v="nenhum"/>
    <x v="0"/>
    <n v="1"/>
    <x v="2"/>
    <n v="1"/>
    <s v="sim"/>
    <x v="0"/>
    <n v="1"/>
  </r>
  <r>
    <n v="995"/>
    <x v="0"/>
    <s v="sem conta corrente"/>
    <s v="sem conta no banco"/>
    <x v="2"/>
    <x v="1"/>
    <x v="3"/>
    <n v="2390"/>
    <s v="sem poupança"/>
    <s v="sem poupança"/>
    <s v="&gt;= 7 anos"/>
    <s v="Muito Estável (&gt; 7 anos)"/>
    <x v="0"/>
    <x v="0"/>
    <s v="solteiro"/>
    <x v="0"/>
    <n v="3"/>
    <s v="carro ou outros-quitado"/>
    <n v="50"/>
    <x v="2"/>
    <s v="nenhum"/>
    <x v="0"/>
    <n v="1"/>
    <x v="0"/>
    <n v="1"/>
    <s v="sim"/>
    <x v="0"/>
    <n v="1"/>
  </r>
  <r>
    <n v="996"/>
    <x v="0"/>
    <s v="sem conta corrente"/>
    <s v="sem conta no banco"/>
    <x v="2"/>
    <x v="1"/>
    <x v="2"/>
    <n v="1736"/>
    <s v="&lt; 100 $"/>
    <s v="Baixo (&lt; 100 $)"/>
    <s v="&lt; 7 anos"/>
    <s v="Estável (4-7 anos)"/>
    <x v="2"/>
    <x v="1"/>
    <s v="divorciada/casada"/>
    <x v="0"/>
    <n v="4"/>
    <s v="imovel"/>
    <n v="31"/>
    <x v="3"/>
    <s v="nenhum"/>
    <x v="0"/>
    <n v="1"/>
    <x v="1"/>
    <n v="1"/>
    <s v="não"/>
    <x v="0"/>
    <n v="1"/>
  </r>
  <r>
    <n v="997"/>
    <x v="0"/>
    <s v="&lt; 0 $"/>
    <s v="negativo/devedor"/>
    <x v="6"/>
    <x v="1"/>
    <x v="4"/>
    <n v="3857"/>
    <s v="&lt; 100 $"/>
    <s v="Baixo (&lt; 100 $)"/>
    <s v="&lt; 4 anos"/>
    <s v="Intermediário (1-4 anos)"/>
    <x v="0"/>
    <x v="0"/>
    <s v="divorciado"/>
    <x v="0"/>
    <n v="4"/>
    <s v="poupança ou seguro de vida"/>
    <n v="40"/>
    <x v="2"/>
    <s v="nenhum"/>
    <x v="0"/>
    <n v="1"/>
    <x v="2"/>
    <n v="1"/>
    <s v="sim"/>
    <x v="0"/>
    <n v="1"/>
  </r>
  <r>
    <n v="998"/>
    <x v="0"/>
    <s v="sem conta corrente"/>
    <s v="sem conta no banco"/>
    <x v="2"/>
    <x v="1"/>
    <x v="0"/>
    <n v="804"/>
    <s v="&lt; 100 $"/>
    <s v="Baixo (&lt; 100 $)"/>
    <s v="&gt;= 7 anos"/>
    <s v="Muito Estável (&gt; 7 anos)"/>
    <x v="0"/>
    <x v="0"/>
    <s v="solteiro"/>
    <x v="0"/>
    <n v="4"/>
    <s v="carro ou outros-quitado"/>
    <n v="38"/>
    <x v="3"/>
    <s v="nenhum"/>
    <x v="0"/>
    <n v="1"/>
    <x v="0"/>
    <n v="1"/>
    <s v="não"/>
    <x v="0"/>
    <n v="1"/>
  </r>
  <r>
    <n v="999"/>
    <x v="1"/>
    <s v="&lt; 0 $"/>
    <s v="negativo/devedor"/>
    <x v="13"/>
    <x v="1"/>
    <x v="0"/>
    <n v="1845"/>
    <s v="&lt; 100 $"/>
    <s v="Baixo (&lt; 100 $)"/>
    <s v="&lt; 4 anos"/>
    <s v="Intermediário (1-4 anos)"/>
    <x v="0"/>
    <x v="0"/>
    <s v="solteiro"/>
    <x v="0"/>
    <n v="4"/>
    <s v="sem bens"/>
    <n v="23"/>
    <x v="1"/>
    <s v="nenhum"/>
    <x v="1"/>
    <n v="1"/>
    <x v="0"/>
    <n v="1"/>
    <s v="sim"/>
    <x v="0"/>
    <n v="2"/>
  </r>
  <r>
    <n v="1000"/>
    <x v="0"/>
    <s v="&gt;= 0 &lt; 200 $"/>
    <s v="saldo baixo"/>
    <x v="13"/>
    <x v="0"/>
    <x v="4"/>
    <n v="4576"/>
    <s v="&gt;= 100 &lt; 500 $"/>
    <s v="Médio (100-500$)"/>
    <s v="desempregado"/>
    <s v="desempregado"/>
    <x v="2"/>
    <x v="0"/>
    <s v="solteiro"/>
    <x v="0"/>
    <n v="4"/>
    <s v="carro ou outros-quitado"/>
    <n v="27"/>
    <x v="3"/>
    <s v="nenhum"/>
    <x v="0"/>
    <n v="1"/>
    <x v="0"/>
    <n v="1"/>
    <s v="não"/>
    <x v="0"/>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1"/>
    <x v="0"/>
    <s v="&lt; 0 $"/>
    <s v="negativo/devedor"/>
    <n v="6"/>
    <s v="conta critica / dividas com terceiros"/>
    <s v="radio ou televisao"/>
    <n v="1169"/>
    <s v="sem poupança"/>
    <s v="sem poupança"/>
    <s v="&gt;= 7 anos"/>
    <s v="Muito Estável (&gt; 7 anos)"/>
    <n v="4"/>
    <s v="masculino"/>
    <s v="solteiro"/>
    <s v="nenhum"/>
    <n v="4"/>
    <s v="imovel"/>
    <n v="67"/>
    <s v="Idoso (60+)"/>
    <s v="nenhum"/>
    <s v="própria"/>
    <n v="2"/>
    <s v="Func. Público/Qualificado"/>
    <n v="1"/>
    <s v="sim"/>
    <s v="sim"/>
    <n v="1"/>
  </r>
  <r>
    <n v="2"/>
    <x v="1"/>
    <s v="&gt;= 0 &lt; 200 $"/>
    <s v="saldo baixo"/>
    <n v="48"/>
    <s v="pgto em dia neste banco (em aberto)"/>
    <s v="radio ou televisao"/>
    <n v="5951"/>
    <s v="&lt; 100 $"/>
    <s v="Baixo (&lt; 100 $)"/>
    <s v="&lt; 4 anos"/>
    <s v="Intermediário (1-4 anos)"/>
    <n v="2"/>
    <s v="feminino"/>
    <s v="divorciada/casada"/>
    <s v="nenhum"/>
    <n v="2"/>
    <s v="imovel"/>
    <n v="22"/>
    <s v="Jovem (18-25)"/>
    <s v="nenhum"/>
    <s v="própria"/>
    <n v="1"/>
    <s v="Func. Público/Qualificado"/>
    <n v="1"/>
    <s v="não"/>
    <s v="sim"/>
    <n v="2"/>
  </r>
  <r>
    <n v="3"/>
    <x v="0"/>
    <s v="sem conta corrente"/>
    <s v="sem conta no banco"/>
    <n v="12"/>
    <s v="conta critica / dividas com terceiros"/>
    <s v="educacao"/>
    <n v="2096"/>
    <s v="&lt; 100 $"/>
    <s v="Baixo (&lt; 100 $)"/>
    <s v="&lt; 7 anos"/>
    <s v="Estável (4-7 anos)"/>
    <n v="2"/>
    <s v="masculino"/>
    <s v="solteiro"/>
    <s v="nenhum"/>
    <n v="3"/>
    <s v="imovel"/>
    <n v="49"/>
    <s v="Sénior (41-60)"/>
    <s v="nenhum"/>
    <s v="própria"/>
    <n v="1"/>
    <s v="Empregado Comum"/>
    <n v="2"/>
    <s v="não"/>
    <s v="sim"/>
    <n v="1"/>
  </r>
  <r>
    <n v="4"/>
    <x v="0"/>
    <s v="&lt; 0 $"/>
    <s v="negativo/devedor"/>
    <n v="42"/>
    <s v="pgto em dia neste banco (em aberto)"/>
    <s v="moveis e equipamentos"/>
    <n v="7882"/>
    <s v="&lt; 100 $"/>
    <s v="Baixo (&lt; 100 $)"/>
    <s v="&lt; 7 anos"/>
    <s v="Estável (4-7 anos)"/>
    <n v="2"/>
    <s v="masculino"/>
    <s v="solteiro"/>
    <s v="garantidor"/>
    <n v="4"/>
    <s v="poupança ou seguro de vida"/>
    <n v="45"/>
    <s v="Sénior (41-60)"/>
    <s v="nenhum"/>
    <s v="gratuita"/>
    <n v="1"/>
    <s v="Func. Público/Qualificado"/>
    <n v="2"/>
    <s v="não"/>
    <s v="sim"/>
    <n v="1"/>
  </r>
  <r>
    <n v="5"/>
    <x v="1"/>
    <s v="&lt; 0 $"/>
    <s v="negativo/devedor"/>
    <n v="24"/>
    <s v="pgto em atraso no passado"/>
    <s v="carro novo"/>
    <n v="4870"/>
    <s v="&lt; 100 $"/>
    <s v="Baixo (&lt; 100 $)"/>
    <s v="&lt; 4 anos"/>
    <s v="Intermediário (1-4 anos)"/>
    <n v="3"/>
    <s v="masculino"/>
    <s v="solteiro"/>
    <s v="nenhum"/>
    <n v="4"/>
    <s v="sem bens"/>
    <n v="53"/>
    <s v="Sénior (41-60)"/>
    <s v="nenhum"/>
    <s v="gratuita"/>
    <n v="2"/>
    <s v="Func. Público/Qualificado"/>
    <n v="2"/>
    <s v="não"/>
    <s v="sim"/>
    <n v="2"/>
  </r>
  <r>
    <n v="6"/>
    <x v="0"/>
    <s v="sem conta corrente"/>
    <s v="sem conta no banco"/>
    <n v="36"/>
    <s v="pgto em dia neste banco (em aberto)"/>
    <s v="educacao"/>
    <n v="9055"/>
    <s v="sem poupança"/>
    <s v="sem poupança"/>
    <s v="&lt; 4 anos"/>
    <s v="Intermediário (1-4 anos)"/>
    <n v="2"/>
    <s v="masculino"/>
    <s v="solteiro"/>
    <s v="nenhum"/>
    <n v="4"/>
    <s v="sem bens"/>
    <n v="35"/>
    <s v="Adulto (26-40)"/>
    <s v="nenhum"/>
    <s v="gratuita"/>
    <n v="1"/>
    <s v="Empregado Comum"/>
    <n v="2"/>
    <s v="sim"/>
    <s v="sim"/>
    <n v="1"/>
  </r>
  <r>
    <n v="7"/>
    <x v="0"/>
    <s v="sem conta corrente"/>
    <s v="sem conta no banco"/>
    <n v="24"/>
    <s v="pgto em dia neste banco (em aberto)"/>
    <s v="moveis e equipamentos"/>
    <n v="2835"/>
    <s v="&gt;= 500 &lt; 1000 $"/>
    <s v="Alto (500-1000 $)"/>
    <s v="&gt;= 7 anos"/>
    <s v="Muito Estável (&gt; 7 anos)"/>
    <n v="3"/>
    <s v="masculino"/>
    <s v="solteiro"/>
    <s v="nenhum"/>
    <n v="4"/>
    <s v="poupança ou seguro de vida"/>
    <n v="53"/>
    <s v="Sénior (41-60)"/>
    <s v="nenhum"/>
    <s v="própria"/>
    <n v="1"/>
    <s v="Func. Público/Qualificado"/>
    <n v="1"/>
    <s v="não"/>
    <s v="sim"/>
    <n v="1"/>
  </r>
  <r>
    <n v="8"/>
    <x v="0"/>
    <s v="&gt;= 0 &lt; 200 $"/>
    <s v="saldo baixo"/>
    <n v="36"/>
    <s v="pgto em dia neste banco (em aberto)"/>
    <s v="carro usado"/>
    <n v="6948"/>
    <s v="&lt; 100 $"/>
    <s v="Baixo (&lt; 100 $)"/>
    <s v="&lt; 4 anos"/>
    <s v="Intermediário (1-4 anos)"/>
    <n v="2"/>
    <s v="masculino"/>
    <s v="solteiro"/>
    <s v="nenhum"/>
    <n v="2"/>
    <s v="carro ou outros-quitado"/>
    <n v="35"/>
    <s v="Adulto (26-40)"/>
    <s v="nenhum"/>
    <s v="aluguel"/>
    <n v="1"/>
    <s v="Executivo/Empresário"/>
    <n v="1"/>
    <s v="sim"/>
    <s v="sim"/>
    <n v="1"/>
  </r>
  <r>
    <n v="9"/>
    <x v="0"/>
    <s v="sem conta corrente"/>
    <s v="sem conta no banco"/>
    <n v="12"/>
    <s v="pgto em dia neste banco (em aberto)"/>
    <s v="radio ou televisao"/>
    <n v="3059"/>
    <s v="&gt;= 1000 $"/>
    <s v="Muito alto (&gt;1000$)"/>
    <s v="&lt; 7 anos"/>
    <s v="Estável (4-7 anos)"/>
    <n v="2"/>
    <s v="masculino"/>
    <s v="divorciado"/>
    <s v="nenhum"/>
    <n v="4"/>
    <s v="imovel"/>
    <n v="61"/>
    <s v="Idoso (60+)"/>
    <s v="nenhum"/>
    <s v="própria"/>
    <n v="1"/>
    <s v="Empregado Comum"/>
    <n v="1"/>
    <s v="não"/>
    <s v="sim"/>
    <n v="1"/>
  </r>
  <r>
    <n v="10"/>
    <x v="1"/>
    <s v="&gt;= 0 &lt; 200 $"/>
    <s v="saldo baixo"/>
    <n v="30"/>
    <s v="conta critica / dividas com terceiros"/>
    <s v="carro novo"/>
    <n v="5234"/>
    <s v="&lt; 100 $"/>
    <s v="Baixo (&lt; 100 $)"/>
    <s v="desempregado"/>
    <s v="desempregado"/>
    <n v="4"/>
    <s v="masculino"/>
    <s v="casado/viuvo"/>
    <s v="nenhum"/>
    <n v="2"/>
    <s v="carro ou outros-quitado"/>
    <n v="28"/>
    <s v="Adulto (26-40)"/>
    <s v="nenhum"/>
    <s v="própria"/>
    <n v="2"/>
    <s v="Executivo/Empresário"/>
    <n v="1"/>
    <s v="não"/>
    <s v="sim"/>
    <n v="2"/>
  </r>
  <r>
    <n v="11"/>
    <x v="1"/>
    <s v="&gt;= 0 &lt; 200 $"/>
    <s v="saldo baixo"/>
    <n v="12"/>
    <s v="pgto em dia neste banco (em aberto)"/>
    <s v="carro novo"/>
    <n v="1295"/>
    <s v="&lt; 100 $"/>
    <s v="Baixo (&lt; 100 $)"/>
    <s v="&lt; 1 ano"/>
    <s v="Iniciante (&lt; 1 ano)"/>
    <n v="3"/>
    <s v="feminino"/>
    <s v="divorciada/casada"/>
    <s v="nenhum"/>
    <n v="1"/>
    <s v="carro ou outros-quitado"/>
    <n v="25"/>
    <s v="Adulto (26-40)"/>
    <s v="nenhum"/>
    <s v="aluguel"/>
    <n v="1"/>
    <s v="Func. Público/Qualificado"/>
    <n v="1"/>
    <s v="não"/>
    <s v="sim"/>
    <n v="2"/>
  </r>
  <r>
    <n v="12"/>
    <x v="1"/>
    <s v="&lt; 0 $"/>
    <s v="negativo/devedor"/>
    <n v="48"/>
    <s v="pgto em dia neste banco (em aberto)"/>
    <s v="negocios"/>
    <n v="4308"/>
    <s v="&lt; 100 $"/>
    <s v="Baixo (&lt; 100 $)"/>
    <s v="&lt; 1 ano"/>
    <s v="Iniciante (&lt; 1 ano)"/>
    <n v="3"/>
    <s v="feminino"/>
    <s v="divorciada/casada"/>
    <s v="nenhum"/>
    <n v="4"/>
    <s v="poupança ou seguro de vida"/>
    <n v="24"/>
    <s v="Jovem (18-25)"/>
    <s v="nenhum"/>
    <s v="aluguel"/>
    <n v="1"/>
    <s v="Func. Público/Qualificado"/>
    <n v="1"/>
    <s v="não"/>
    <s v="sim"/>
    <n v="2"/>
  </r>
  <r>
    <n v="13"/>
    <x v="0"/>
    <s v="&gt;= 0 &lt; 200 $"/>
    <s v="saldo baixo"/>
    <n v="12"/>
    <s v="pgto em dia neste banco (em aberto)"/>
    <s v="radio ou televisao"/>
    <n v="1567"/>
    <s v="&lt; 100 $"/>
    <s v="Baixo (&lt; 100 $)"/>
    <s v="&lt; 4 anos"/>
    <s v="Intermediário (1-4 anos)"/>
    <n v="1"/>
    <s v="feminino"/>
    <s v="divorciada/casada"/>
    <s v="nenhum"/>
    <n v="1"/>
    <s v="carro ou outros-quitado"/>
    <n v="22"/>
    <s v="Jovem (18-25)"/>
    <s v="nenhum"/>
    <s v="própria"/>
    <n v="1"/>
    <s v="Func. Público/Qualificado"/>
    <n v="1"/>
    <s v="sim"/>
    <s v="sim"/>
    <n v="1"/>
  </r>
  <r>
    <n v="14"/>
    <x v="1"/>
    <s v="&lt; 0 $"/>
    <s v="negativo/devedor"/>
    <n v="24"/>
    <s v="conta critica / dividas com terceiros"/>
    <s v="carro novo"/>
    <n v="1199"/>
    <s v="&lt; 100 $"/>
    <s v="Baixo (&lt; 100 $)"/>
    <s v="&gt;= 7 anos"/>
    <s v="Muito Estável (&gt; 7 anos)"/>
    <n v="4"/>
    <s v="masculino"/>
    <s v="solteiro"/>
    <s v="nenhum"/>
    <n v="4"/>
    <s v="carro ou outros-quitado"/>
    <n v="60"/>
    <s v="Idoso (60+)"/>
    <s v="nenhum"/>
    <s v="própria"/>
    <n v="2"/>
    <s v="Empregado Comum"/>
    <n v="1"/>
    <s v="não"/>
    <s v="sim"/>
    <n v="2"/>
  </r>
  <r>
    <n v="15"/>
    <x v="0"/>
    <s v="&lt; 0 $"/>
    <s v="negativo/devedor"/>
    <n v="15"/>
    <s v="pgto em dia neste banco (em aberto)"/>
    <s v="carro novo"/>
    <n v="1403"/>
    <s v="&lt; 100 $"/>
    <s v="Baixo (&lt; 100 $)"/>
    <s v="&lt; 4 anos"/>
    <s v="Intermediário (1-4 anos)"/>
    <n v="2"/>
    <s v="feminino"/>
    <s v="divorciada/casada"/>
    <s v="nenhum"/>
    <n v="4"/>
    <s v="carro ou outros-quitado"/>
    <n v="28"/>
    <s v="Adulto (26-40)"/>
    <s v="nenhum"/>
    <s v="aluguel"/>
    <n v="1"/>
    <s v="Func. Público/Qualificado"/>
    <n v="1"/>
    <s v="não"/>
    <s v="sim"/>
    <n v="1"/>
  </r>
  <r>
    <n v="16"/>
    <x v="1"/>
    <s v="&lt; 0 $"/>
    <s v="negativo/devedor"/>
    <n v="24"/>
    <s v="pgto em dia neste banco (em aberto)"/>
    <s v="radio ou televisao"/>
    <n v="1282"/>
    <s v="&gt;= 100 &lt; 500 $"/>
    <s v="Médio (100-500$)"/>
    <s v="&lt; 4 anos"/>
    <s v="Intermediário (1-4 anos)"/>
    <n v="4"/>
    <s v="feminino"/>
    <s v="divorciada/casada"/>
    <s v="nenhum"/>
    <n v="2"/>
    <s v="carro ou outros-quitado"/>
    <n v="32"/>
    <s v="Adulto (26-40)"/>
    <s v="nenhum"/>
    <s v="própria"/>
    <n v="1"/>
    <s v="Empregado Comum"/>
    <n v="1"/>
    <s v="não"/>
    <s v="sim"/>
    <n v="2"/>
  </r>
  <r>
    <n v="17"/>
    <x v="0"/>
    <s v="sem conta corrente"/>
    <s v="sem conta no banco"/>
    <n v="24"/>
    <s v="conta critica / dividas com terceiros"/>
    <s v="radio ou televisao"/>
    <n v="2424"/>
    <s v="sem poupança"/>
    <s v="sem poupança"/>
    <s v="&gt;= 7 anos"/>
    <s v="Muito Estável (&gt; 7 anos)"/>
    <n v="4"/>
    <s v="masculino"/>
    <s v="solteiro"/>
    <s v="nenhum"/>
    <n v="4"/>
    <s v="poupança ou seguro de vida"/>
    <n v="53"/>
    <s v="Sénior (41-60)"/>
    <s v="nenhum"/>
    <s v="própria"/>
    <n v="2"/>
    <s v="Func. Público/Qualificado"/>
    <n v="1"/>
    <s v="não"/>
    <s v="sim"/>
    <n v="1"/>
  </r>
  <r>
    <n v="18"/>
    <x v="0"/>
    <s v="&lt; 0 $"/>
    <s v="negativo/devedor"/>
    <n v="30"/>
    <s v="nenhum/pgto em dia"/>
    <s v="negocios"/>
    <n v="8072"/>
    <s v="sem poupança"/>
    <s v="sem poupança"/>
    <s v="&lt; 1 ano"/>
    <s v="Iniciante (&lt; 1 ano)"/>
    <n v="2"/>
    <s v="masculino"/>
    <s v="solteiro"/>
    <s v="nenhum"/>
    <n v="3"/>
    <s v="carro ou outros-quitado"/>
    <n v="25"/>
    <s v="Adulto (26-40)"/>
    <s v="banco"/>
    <s v="própria"/>
    <n v="3"/>
    <s v="Func. Público/Qualificado"/>
    <n v="1"/>
    <s v="não"/>
    <s v="sim"/>
    <n v="1"/>
  </r>
  <r>
    <n v="19"/>
    <x v="1"/>
    <s v="&gt;= 0 &lt; 200 $"/>
    <s v="saldo baixo"/>
    <n v="24"/>
    <s v="pgto em dia neste banco (em aberto)"/>
    <s v="carro usado"/>
    <n v="12579"/>
    <s v="&lt; 100 $"/>
    <s v="Baixo (&lt; 100 $)"/>
    <s v="&gt;= 7 anos"/>
    <s v="Muito Estável (&gt; 7 anos)"/>
    <n v="4"/>
    <s v="feminino"/>
    <s v="divorciada/casada"/>
    <s v="nenhum"/>
    <n v="2"/>
    <s v="sem bens"/>
    <n v="44"/>
    <s v="Sénior (41-60)"/>
    <s v="nenhum"/>
    <s v="gratuita"/>
    <n v="1"/>
    <s v="Executivo/Empresário"/>
    <n v="1"/>
    <s v="sim"/>
    <s v="sim"/>
    <n v="2"/>
  </r>
  <r>
    <n v="20"/>
    <x v="0"/>
    <s v="sem conta corrente"/>
    <s v="sem conta no banco"/>
    <n v="24"/>
    <s v="pgto em dia neste banco (em aberto)"/>
    <s v="radio ou televisao"/>
    <n v="3430"/>
    <s v="&gt;= 500 &lt; 1000 $"/>
    <s v="Alto (500-1000 $)"/>
    <s v="&gt;= 7 anos"/>
    <s v="Muito Estável (&gt; 7 anos)"/>
    <n v="3"/>
    <s v="masculino"/>
    <s v="solteiro"/>
    <s v="nenhum"/>
    <n v="2"/>
    <s v="carro ou outros-quitado"/>
    <n v="31"/>
    <s v="Adulto (26-40)"/>
    <s v="nenhum"/>
    <s v="própria"/>
    <n v="1"/>
    <s v="Func. Público/Qualificado"/>
    <n v="2"/>
    <s v="sim"/>
    <s v="sim"/>
    <n v="1"/>
  </r>
  <r>
    <n v="21"/>
    <x v="0"/>
    <s v="sem conta corrente"/>
    <s v="sem conta no banco"/>
    <n v="9"/>
    <s v="conta critica / dividas com terceiros"/>
    <s v="carro novo"/>
    <n v="2134"/>
    <s v="&lt; 100 $"/>
    <s v="Baixo (&lt; 100 $)"/>
    <s v="&lt; 4 anos"/>
    <s v="Intermediário (1-4 anos)"/>
    <n v="4"/>
    <s v="masculino"/>
    <s v="solteiro"/>
    <s v="nenhum"/>
    <n v="4"/>
    <s v="carro ou outros-quitado"/>
    <n v="48"/>
    <s v="Sénior (41-60)"/>
    <s v="nenhum"/>
    <s v="própria"/>
    <n v="3"/>
    <s v="Func. Público/Qualificado"/>
    <n v="1"/>
    <s v="sim"/>
    <s v="sim"/>
    <n v="1"/>
  </r>
  <r>
    <n v="22"/>
    <x v="0"/>
    <s v="&lt; 0 $"/>
    <s v="negativo/devedor"/>
    <n v="6"/>
    <s v="pgto em dia neste banco (em aberto)"/>
    <s v="radio ou televisao"/>
    <n v="2647"/>
    <s v="&gt;= 500 &lt; 1000 $"/>
    <s v="Alto (500-1000 $)"/>
    <s v="&lt; 4 anos"/>
    <s v="Intermediário (1-4 anos)"/>
    <n v="2"/>
    <s v="masculino"/>
    <s v="solteiro"/>
    <s v="nenhum"/>
    <n v="3"/>
    <s v="imovel"/>
    <n v="44"/>
    <s v="Sénior (41-60)"/>
    <s v="nenhum"/>
    <s v="aluguel"/>
    <n v="1"/>
    <s v="Func. Público/Qualificado"/>
    <n v="2"/>
    <s v="não"/>
    <s v="sim"/>
    <n v="1"/>
  </r>
  <r>
    <n v="23"/>
    <x v="0"/>
    <s v="&lt; 0 $"/>
    <s v="negativo/devedor"/>
    <n v="10"/>
    <s v="conta critica / dividas com terceiros"/>
    <s v="carro novo"/>
    <n v="2241"/>
    <s v="&lt; 100 $"/>
    <s v="Baixo (&lt; 100 $)"/>
    <s v="&lt; 1 ano"/>
    <s v="Iniciante (&lt; 1 ano)"/>
    <n v="1"/>
    <s v="masculino"/>
    <s v="solteiro"/>
    <s v="nenhum"/>
    <n v="3"/>
    <s v="imovel"/>
    <n v="48"/>
    <s v="Sénior (41-60)"/>
    <s v="nenhum"/>
    <s v="aluguel"/>
    <n v="2"/>
    <s v="Empregado Comum"/>
    <n v="2"/>
    <s v="não"/>
    <s v="não"/>
    <n v="1"/>
  </r>
  <r>
    <n v="24"/>
    <x v="0"/>
    <s v="&gt;= 0 &lt; 200 $"/>
    <s v="saldo baixo"/>
    <n v="12"/>
    <s v="conta critica / dividas com terceiros"/>
    <s v="carro usado"/>
    <n v="1804"/>
    <s v="&gt;= 100 &lt; 500 $"/>
    <s v="Médio (100-500$)"/>
    <s v="&lt; 1 ano"/>
    <s v="Iniciante (&lt; 1 ano)"/>
    <n v="3"/>
    <s v="masculino"/>
    <s v="solteiro"/>
    <s v="nenhum"/>
    <n v="4"/>
    <s v="poupança ou seguro de vida"/>
    <n v="44"/>
    <s v="Sénior (41-60)"/>
    <s v="nenhum"/>
    <s v="própria"/>
    <n v="1"/>
    <s v="Func. Público/Qualificado"/>
    <n v="1"/>
    <s v="não"/>
    <s v="sim"/>
    <n v="1"/>
  </r>
  <r>
    <n v="25"/>
    <x v="0"/>
    <s v="sem conta corrente"/>
    <s v="sem conta no banco"/>
    <n v="10"/>
    <s v="conta critica / dividas com terceiros"/>
    <s v="moveis e equipamentos"/>
    <n v="2069"/>
    <s v="sem poupança"/>
    <s v="sem poupança"/>
    <s v="&lt; 4 anos"/>
    <s v="Intermediário (1-4 anos)"/>
    <n v="2"/>
    <s v="masculino"/>
    <s v="casado/viuvo"/>
    <s v="nenhum"/>
    <n v="1"/>
    <s v="carro ou outros-quitado"/>
    <n v="26"/>
    <s v="Adulto (26-40)"/>
    <s v="nenhum"/>
    <s v="própria"/>
    <n v="2"/>
    <s v="Func. Público/Qualificado"/>
    <n v="1"/>
    <s v="não"/>
    <s v="não"/>
    <n v="1"/>
  </r>
  <r>
    <n v="26"/>
    <x v="0"/>
    <s v="&lt; 0 $"/>
    <s v="negativo/devedor"/>
    <n v="6"/>
    <s v="pgto em dia neste banco (em aberto)"/>
    <s v="moveis e equipamentos"/>
    <n v="1374"/>
    <s v="&lt; 100 $"/>
    <s v="Baixo (&lt; 100 $)"/>
    <s v="&lt; 4 anos"/>
    <s v="Intermediário (1-4 anos)"/>
    <n v="1"/>
    <s v="masculino"/>
    <s v="solteiro"/>
    <s v="nenhum"/>
    <n v="2"/>
    <s v="imovel"/>
    <n v="36"/>
    <s v="Adulto (26-40)"/>
    <s v="banco"/>
    <s v="própria"/>
    <n v="1"/>
    <s v="Empregado Comum"/>
    <n v="1"/>
    <s v="sim"/>
    <s v="sim"/>
    <n v="1"/>
  </r>
  <r>
    <n v="27"/>
    <x v="0"/>
    <s v="sem conta corrente"/>
    <s v="sem conta no banco"/>
    <n v="6"/>
    <s v="nenhum/pgto em dia"/>
    <s v="radio ou televisao"/>
    <n v="426"/>
    <s v="&lt; 100 $"/>
    <s v="Baixo (&lt; 100 $)"/>
    <s v="&gt;= 7 anos"/>
    <s v="Muito Estável (&gt; 7 anos)"/>
    <n v="4"/>
    <s v="masculino"/>
    <s v="casado/viuvo"/>
    <s v="nenhum"/>
    <n v="4"/>
    <s v="carro ou outros-quitado"/>
    <n v="39"/>
    <s v="Adulto (26-40)"/>
    <s v="nenhum"/>
    <s v="própria"/>
    <n v="1"/>
    <s v="Empregado Comum"/>
    <n v="1"/>
    <s v="não"/>
    <s v="sim"/>
    <n v="1"/>
  </r>
  <r>
    <n v="28"/>
    <x v="0"/>
    <s v="&gt;= 200 $"/>
    <s v="saldo saudável"/>
    <n v="12"/>
    <s v="pgto em dia neste banco (quitado)"/>
    <s v="radio ou televisao"/>
    <n v="409"/>
    <s v="&gt;= 1000 $"/>
    <s v="Muito alto (&gt;1000$)"/>
    <s v="&lt; 4 anos"/>
    <s v="Intermediário (1-4 anos)"/>
    <n v="3"/>
    <s v="feminino"/>
    <s v="divorciada/casada"/>
    <s v="nenhum"/>
    <n v="3"/>
    <s v="imovel"/>
    <n v="42"/>
    <s v="Sénior (41-60)"/>
    <s v="nenhum"/>
    <s v="aluguel"/>
    <n v="2"/>
    <s v="Func. Público/Qualificado"/>
    <n v="1"/>
    <s v="não"/>
    <s v="sim"/>
    <n v="1"/>
  </r>
  <r>
    <n v="29"/>
    <x v="0"/>
    <s v="&gt;= 0 &lt; 200 $"/>
    <s v="saldo baixo"/>
    <n v="7"/>
    <s v="pgto em dia neste banco (em aberto)"/>
    <s v="radio ou televisao"/>
    <n v="2415"/>
    <s v="&lt; 100 $"/>
    <s v="Baixo (&lt; 100 $)"/>
    <s v="&lt; 4 anos"/>
    <s v="Intermediário (1-4 anos)"/>
    <n v="3"/>
    <s v="masculino"/>
    <s v="solteiro"/>
    <s v="garantidor"/>
    <n v="2"/>
    <s v="imovel"/>
    <n v="34"/>
    <s v="Adulto (26-40)"/>
    <s v="nenhum"/>
    <s v="própria"/>
    <n v="1"/>
    <s v="Func. Público/Qualificado"/>
    <n v="1"/>
    <s v="não"/>
    <s v="sim"/>
    <n v="1"/>
  </r>
  <r>
    <n v="30"/>
    <x v="1"/>
    <s v="&lt; 0 $"/>
    <s v="negativo/devedor"/>
    <n v="60"/>
    <s v="pgto em atraso no passado"/>
    <s v="negocios"/>
    <n v="6836"/>
    <s v="&lt; 100 $"/>
    <s v="Baixo (&lt; 100 $)"/>
    <s v="&gt;= 7 anos"/>
    <s v="Muito Estável (&gt; 7 anos)"/>
    <n v="3"/>
    <s v="masculino"/>
    <s v="solteiro"/>
    <s v="nenhum"/>
    <n v="4"/>
    <s v="sem bens"/>
    <n v="63"/>
    <s v="Idoso (60+)"/>
    <s v="nenhum"/>
    <s v="própria"/>
    <n v="2"/>
    <s v="Func. Público/Qualificado"/>
    <n v="1"/>
    <s v="sim"/>
    <s v="sim"/>
    <n v="2"/>
  </r>
  <r>
    <n v="31"/>
    <x v="0"/>
    <s v="&gt;= 0 &lt; 200 $"/>
    <s v="saldo baixo"/>
    <n v="18"/>
    <s v="pgto em dia neste banco (em aberto)"/>
    <s v="negocios"/>
    <n v="1913"/>
    <s v="&gt;= 1000 $"/>
    <s v="Muito alto (&gt;1000$)"/>
    <s v="&lt; 1 ano"/>
    <s v="Iniciante (&lt; 1 ano)"/>
    <n v="3"/>
    <s v="masculino"/>
    <s v="casado/viuvo"/>
    <s v="nenhum"/>
    <n v="3"/>
    <s v="imovel"/>
    <n v="36"/>
    <s v="Adulto (26-40)"/>
    <s v="banco"/>
    <s v="própria"/>
    <n v="1"/>
    <s v="Func. Público/Qualificado"/>
    <n v="1"/>
    <s v="sim"/>
    <s v="sim"/>
    <n v="1"/>
  </r>
  <r>
    <n v="32"/>
    <x v="0"/>
    <s v="&lt; 0 $"/>
    <s v="negativo/devedor"/>
    <n v="24"/>
    <s v="pgto em dia neste banco (em aberto)"/>
    <s v="moveis e equipamentos"/>
    <n v="4020"/>
    <s v="&lt; 100 $"/>
    <s v="Baixo (&lt; 100 $)"/>
    <s v="&lt; 4 anos"/>
    <s v="Intermediário (1-4 anos)"/>
    <n v="2"/>
    <s v="masculino"/>
    <s v="solteiro"/>
    <s v="nenhum"/>
    <n v="2"/>
    <s v="carro ou outros-quitado"/>
    <n v="27"/>
    <s v="Adulto (26-40)"/>
    <s v="loja"/>
    <s v="própria"/>
    <n v="1"/>
    <s v="Func. Público/Qualificado"/>
    <n v="1"/>
    <s v="não"/>
    <s v="sim"/>
    <n v="1"/>
  </r>
  <r>
    <n v="33"/>
    <x v="0"/>
    <s v="&gt;= 0 &lt; 200 $"/>
    <s v="saldo baixo"/>
    <n v="18"/>
    <s v="pgto em dia neste banco (em aberto)"/>
    <s v="carro novo"/>
    <n v="5866"/>
    <s v="&gt;= 100 &lt; 500 $"/>
    <s v="Médio (100-500$)"/>
    <s v="&lt; 4 anos"/>
    <s v="Intermediário (1-4 anos)"/>
    <n v="2"/>
    <s v="masculino"/>
    <s v="solteiro"/>
    <s v="nenhum"/>
    <n v="2"/>
    <s v="carro ou outros-quitado"/>
    <n v="30"/>
    <s v="Adulto (26-40)"/>
    <s v="nenhum"/>
    <s v="própria"/>
    <n v="2"/>
    <s v="Func. Público/Qualificado"/>
    <n v="1"/>
    <s v="sim"/>
    <s v="sim"/>
    <n v="1"/>
  </r>
  <r>
    <n v="34"/>
    <x v="0"/>
    <s v="sem conta corrente"/>
    <s v="sem conta no banco"/>
    <n v="12"/>
    <s v="conta critica / dividas com terceiros"/>
    <s v="negocios"/>
    <n v="1264"/>
    <s v="sem poupança"/>
    <s v="sem poupança"/>
    <s v="&gt;= 7 anos"/>
    <s v="Muito Estável (&gt; 7 anos)"/>
    <n v="4"/>
    <s v="masculino"/>
    <s v="solteiro"/>
    <s v="nenhum"/>
    <n v="4"/>
    <s v="sem bens"/>
    <n v="57"/>
    <s v="Sénior (41-60)"/>
    <s v="nenhum"/>
    <s v="aluguel"/>
    <n v="1"/>
    <s v="Empregado Comum"/>
    <n v="1"/>
    <s v="não"/>
    <s v="sim"/>
    <n v="1"/>
  </r>
  <r>
    <n v="35"/>
    <x v="0"/>
    <s v="&gt;= 200 $"/>
    <s v="saldo saudável"/>
    <n v="12"/>
    <s v="pgto em dia neste banco (em aberto)"/>
    <s v="moveis e equipamentos"/>
    <n v="1474"/>
    <s v="&lt; 100 $"/>
    <s v="Baixo (&lt; 100 $)"/>
    <s v="&lt; 1 ano"/>
    <s v="Iniciante (&lt; 1 ano)"/>
    <n v="4"/>
    <s v="feminino"/>
    <s v="divorciada/casada"/>
    <s v="nenhum"/>
    <n v="1"/>
    <s v="poupança ou seguro de vida"/>
    <n v="33"/>
    <s v="Adulto (26-40)"/>
    <s v="banco"/>
    <s v="própria"/>
    <n v="1"/>
    <s v="Executivo/Empresário"/>
    <n v="1"/>
    <s v="sim"/>
    <s v="sim"/>
    <n v="1"/>
  </r>
  <r>
    <n v="36"/>
    <x v="1"/>
    <s v="&gt;= 0 &lt; 200 $"/>
    <s v="saldo baixo"/>
    <n v="45"/>
    <s v="conta critica / dividas com terceiros"/>
    <s v="radio ou televisao"/>
    <n v="4746"/>
    <s v="&lt; 100 $"/>
    <s v="Baixo (&lt; 100 $)"/>
    <s v="&lt; 1 ano"/>
    <s v="Iniciante (&lt; 1 ano)"/>
    <n v="4"/>
    <s v="masculino"/>
    <s v="solteiro"/>
    <s v="nenhum"/>
    <n v="2"/>
    <s v="poupança ou seguro de vida"/>
    <n v="25"/>
    <s v="Adulto (26-40)"/>
    <s v="nenhum"/>
    <s v="própria"/>
    <n v="2"/>
    <s v="Empregado Comum"/>
    <n v="1"/>
    <s v="não"/>
    <s v="sim"/>
    <n v="2"/>
  </r>
  <r>
    <n v="37"/>
    <x v="0"/>
    <s v="sem conta corrente"/>
    <s v="sem conta no banco"/>
    <n v="48"/>
    <s v="conta critica / dividas com terceiros"/>
    <s v="educacao"/>
    <n v="6110"/>
    <s v="&lt; 100 $"/>
    <s v="Baixo (&lt; 100 $)"/>
    <s v="&lt; 4 anos"/>
    <s v="Intermediário (1-4 anos)"/>
    <n v="1"/>
    <s v="masculino"/>
    <s v="solteiro"/>
    <s v="nenhum"/>
    <n v="3"/>
    <s v="sem bens"/>
    <n v="31"/>
    <s v="Adulto (26-40)"/>
    <s v="banco"/>
    <s v="gratuita"/>
    <n v="1"/>
    <s v="Func. Público/Qualificado"/>
    <n v="1"/>
    <s v="sim"/>
    <s v="sim"/>
    <n v="1"/>
  </r>
  <r>
    <n v="38"/>
    <x v="1"/>
    <s v="&gt;= 200 $"/>
    <s v="saldo saudável"/>
    <n v="18"/>
    <s v="pgto em dia neste banco (em aberto)"/>
    <s v="radio ou televisao"/>
    <n v="2100"/>
    <s v="&lt; 100 $"/>
    <s v="Baixo (&lt; 100 $)"/>
    <s v="&lt; 4 anos"/>
    <s v="Intermediário (1-4 anos)"/>
    <n v="4"/>
    <s v="masculino"/>
    <s v="solteiro"/>
    <s v="codevedor"/>
    <n v="2"/>
    <s v="imovel"/>
    <n v="37"/>
    <s v="Adulto (26-40)"/>
    <s v="loja"/>
    <s v="própria"/>
    <n v="1"/>
    <s v="Func. Público/Qualificado"/>
    <n v="1"/>
    <s v="não"/>
    <s v="sim"/>
    <n v="2"/>
  </r>
  <r>
    <n v="39"/>
    <x v="0"/>
    <s v="&gt;= 200 $"/>
    <s v="saldo saudável"/>
    <n v="10"/>
    <s v="pgto em dia neste banco (em aberto)"/>
    <s v="eletrodomesticos"/>
    <n v="1225"/>
    <s v="&lt; 100 $"/>
    <s v="Baixo (&lt; 100 $)"/>
    <s v="&lt; 4 anos"/>
    <s v="Intermediário (1-4 anos)"/>
    <n v="2"/>
    <s v="masculino"/>
    <s v="solteiro"/>
    <s v="nenhum"/>
    <n v="2"/>
    <s v="carro ou outros-quitado"/>
    <n v="37"/>
    <s v="Adulto (26-40)"/>
    <s v="nenhum"/>
    <s v="própria"/>
    <n v="1"/>
    <s v="Func. Público/Qualificado"/>
    <n v="1"/>
    <s v="sim"/>
    <s v="sim"/>
    <n v="1"/>
  </r>
  <r>
    <n v="40"/>
    <x v="0"/>
    <s v="&gt;= 0 &lt; 200 $"/>
    <s v="saldo baixo"/>
    <n v="9"/>
    <s v="pgto em dia neste banco (em aberto)"/>
    <s v="radio ou televisao"/>
    <n v="458"/>
    <s v="&lt; 100 $"/>
    <s v="Baixo (&lt; 100 $)"/>
    <s v="&lt; 4 anos"/>
    <s v="Intermediário (1-4 anos)"/>
    <n v="4"/>
    <s v="masculino"/>
    <s v="solteiro"/>
    <s v="nenhum"/>
    <n v="3"/>
    <s v="imovel"/>
    <n v="24"/>
    <s v="Jovem (18-25)"/>
    <s v="nenhum"/>
    <s v="própria"/>
    <n v="1"/>
    <s v="Func. Público/Qualificado"/>
    <n v="1"/>
    <s v="não"/>
    <s v="sim"/>
    <n v="1"/>
  </r>
  <r>
    <n v="41"/>
    <x v="0"/>
    <s v="sem conta corrente"/>
    <s v="sem conta no banco"/>
    <n v="30"/>
    <s v="pgto em dia neste banco (em aberto)"/>
    <s v="radio ou televisao"/>
    <n v="2333"/>
    <s v="&gt;= 500 &lt; 1000 $"/>
    <s v="Alto (500-1000 $)"/>
    <s v="&gt;= 7 anos"/>
    <s v="Muito Estável (&gt; 7 anos)"/>
    <n v="4"/>
    <s v="masculino"/>
    <s v="solteiro"/>
    <s v="nenhum"/>
    <n v="2"/>
    <s v="carro ou outros-quitado"/>
    <n v="30"/>
    <s v="Adulto (26-40)"/>
    <s v="banco"/>
    <s v="própria"/>
    <n v="1"/>
    <s v="Executivo/Empresário"/>
    <n v="1"/>
    <s v="não"/>
    <s v="sim"/>
    <n v="1"/>
  </r>
  <r>
    <n v="42"/>
    <x v="0"/>
    <s v="&gt;= 0 &lt; 200 $"/>
    <s v="saldo baixo"/>
    <n v="12"/>
    <s v="pgto em dia neste banco (em aberto)"/>
    <s v="radio ou televisao"/>
    <n v="1158"/>
    <s v="&gt;= 500 &lt; 1000 $"/>
    <s v="Alto (500-1000 $)"/>
    <s v="&lt; 4 anos"/>
    <s v="Intermediário (1-4 anos)"/>
    <n v="3"/>
    <s v="masculino"/>
    <s v="divorciado"/>
    <s v="nenhum"/>
    <n v="1"/>
    <s v="carro ou outros-quitado"/>
    <n v="26"/>
    <s v="Adulto (26-40)"/>
    <s v="nenhum"/>
    <s v="própria"/>
    <n v="1"/>
    <s v="Func. Público/Qualificado"/>
    <n v="1"/>
    <s v="sim"/>
    <s v="sim"/>
    <n v="1"/>
  </r>
  <r>
    <n v="43"/>
    <x v="0"/>
    <s v="&gt;= 0 &lt; 200 $"/>
    <s v="saldo baixo"/>
    <n v="18"/>
    <s v="pgto em atraso no passado"/>
    <s v="reparos"/>
    <n v="6204"/>
    <s v="&lt; 100 $"/>
    <s v="Baixo (&lt; 100 $)"/>
    <s v="&lt; 4 anos"/>
    <s v="Intermediário (1-4 anos)"/>
    <n v="2"/>
    <s v="masculino"/>
    <s v="solteiro"/>
    <s v="nenhum"/>
    <n v="4"/>
    <s v="imovel"/>
    <n v="44"/>
    <s v="Sénior (41-60)"/>
    <s v="nenhum"/>
    <s v="própria"/>
    <n v="1"/>
    <s v="Empregado Comum"/>
    <n v="2"/>
    <s v="sim"/>
    <s v="sim"/>
    <n v="1"/>
  </r>
  <r>
    <n v="44"/>
    <x v="0"/>
    <s v="&lt; 0 $"/>
    <s v="negativo/devedor"/>
    <n v="30"/>
    <s v="conta critica / dividas com terceiros"/>
    <s v="carro usado"/>
    <n v="6187"/>
    <s v="&gt;= 100 &lt; 500 $"/>
    <s v="Médio (100-500$)"/>
    <s v="&lt; 7 anos"/>
    <s v="Estável (4-7 anos)"/>
    <n v="1"/>
    <s v="masculino"/>
    <s v="casado/viuvo"/>
    <s v="nenhum"/>
    <n v="4"/>
    <s v="carro ou outros-quitado"/>
    <n v="24"/>
    <s v="Jovem (18-25)"/>
    <s v="nenhum"/>
    <s v="aluguel"/>
    <n v="2"/>
    <s v="Func. Público/Qualificado"/>
    <n v="1"/>
    <s v="não"/>
    <s v="sim"/>
    <n v="1"/>
  </r>
  <r>
    <n v="45"/>
    <x v="1"/>
    <s v="&lt; 0 $"/>
    <s v="negativo/devedor"/>
    <n v="48"/>
    <s v="conta critica / dividas com terceiros"/>
    <s v="carro usado"/>
    <n v="6143"/>
    <s v="&lt; 100 $"/>
    <s v="Baixo (&lt; 100 $)"/>
    <s v="&gt;= 7 anos"/>
    <s v="Muito Estável (&gt; 7 anos)"/>
    <n v="4"/>
    <s v="feminino"/>
    <s v="divorciada/casada"/>
    <s v="nenhum"/>
    <n v="4"/>
    <s v="sem bens"/>
    <n v="58"/>
    <s v="Sénior (41-60)"/>
    <s v="loja"/>
    <s v="gratuita"/>
    <n v="2"/>
    <s v="Empregado Comum"/>
    <n v="1"/>
    <s v="não"/>
    <s v="sim"/>
    <n v="2"/>
  </r>
  <r>
    <n v="46"/>
    <x v="0"/>
    <s v="sem conta corrente"/>
    <s v="sem conta no banco"/>
    <n v="11"/>
    <s v="conta critica / dividas com terceiros"/>
    <s v="carro novo"/>
    <n v="1393"/>
    <s v="&lt; 100 $"/>
    <s v="Baixo (&lt; 100 $)"/>
    <s v="&lt; 1 ano"/>
    <s v="Iniciante (&lt; 1 ano)"/>
    <n v="4"/>
    <s v="feminino"/>
    <s v="divorciada/casada"/>
    <s v="nenhum"/>
    <n v="4"/>
    <s v="carro ou outros-quitado"/>
    <n v="35"/>
    <s v="Adulto (26-40)"/>
    <s v="nenhum"/>
    <s v="própria"/>
    <n v="2"/>
    <s v="Executivo/Empresário"/>
    <n v="1"/>
    <s v="não"/>
    <s v="sim"/>
    <n v="1"/>
  </r>
  <r>
    <n v="47"/>
    <x v="0"/>
    <s v="sem conta corrente"/>
    <s v="sem conta no banco"/>
    <n v="36"/>
    <s v="pgto em dia neste banco (em aberto)"/>
    <s v="radio ou televisao"/>
    <n v="2299"/>
    <s v="&gt;= 500 &lt; 1000 $"/>
    <s v="Alto (500-1000 $)"/>
    <s v="&gt;= 7 anos"/>
    <s v="Muito Estável (&gt; 7 anos)"/>
    <n v="4"/>
    <s v="masculino"/>
    <s v="solteiro"/>
    <s v="nenhum"/>
    <n v="4"/>
    <s v="carro ou outros-quitado"/>
    <n v="39"/>
    <s v="Adulto (26-40)"/>
    <s v="nenhum"/>
    <s v="própria"/>
    <n v="1"/>
    <s v="Func. Público/Qualificado"/>
    <n v="1"/>
    <s v="não"/>
    <s v="sim"/>
    <n v="1"/>
  </r>
  <r>
    <n v="48"/>
    <x v="0"/>
    <s v="&lt; 0 $"/>
    <s v="negativo/devedor"/>
    <n v="6"/>
    <s v="pgto em dia neste banco (em aberto)"/>
    <s v="carro usado"/>
    <n v="1352"/>
    <s v="&gt;= 500 &lt; 1000 $"/>
    <s v="Alto (500-1000 $)"/>
    <s v="desempregado"/>
    <s v="desempregado"/>
    <n v="1"/>
    <s v="feminino"/>
    <s v="divorciada/casada"/>
    <s v="nenhum"/>
    <n v="2"/>
    <s v="poupança ou seguro de vida"/>
    <n v="23"/>
    <s v="Jovem (18-25)"/>
    <s v="nenhum"/>
    <s v="aluguel"/>
    <n v="1"/>
    <s v="Não qualificado/Desempregado"/>
    <n v="1"/>
    <s v="sim"/>
    <s v="sim"/>
    <n v="1"/>
  </r>
  <r>
    <n v="49"/>
    <x v="0"/>
    <s v="sem conta corrente"/>
    <s v="sem conta no banco"/>
    <n v="11"/>
    <s v="conta critica / dividas com terceiros"/>
    <s v="carro novo"/>
    <n v="7228"/>
    <s v="&lt; 100 $"/>
    <s v="Baixo (&lt; 100 $)"/>
    <s v="&lt; 4 anos"/>
    <s v="Intermediário (1-4 anos)"/>
    <n v="1"/>
    <s v="masculino"/>
    <s v="solteiro"/>
    <s v="nenhum"/>
    <n v="4"/>
    <s v="poupança ou seguro de vida"/>
    <n v="39"/>
    <s v="Adulto (26-40)"/>
    <s v="nenhum"/>
    <s v="própria"/>
    <n v="2"/>
    <s v="Empregado Comum"/>
    <n v="1"/>
    <s v="não"/>
    <s v="sim"/>
    <n v="1"/>
  </r>
  <r>
    <n v="50"/>
    <x v="0"/>
    <s v="sem conta corrente"/>
    <s v="sem conta no banco"/>
    <n v="12"/>
    <s v="pgto em dia neste banco (em aberto)"/>
    <s v="radio ou televisao"/>
    <n v="2073"/>
    <s v="&gt;= 100 &lt; 500 $"/>
    <s v="Médio (100-500$)"/>
    <s v="&lt; 4 anos"/>
    <s v="Intermediário (1-4 anos)"/>
    <n v="4"/>
    <s v="feminino"/>
    <s v="divorciada/casada"/>
    <s v="codevedor"/>
    <n v="2"/>
    <s v="imovel"/>
    <n v="28"/>
    <s v="Adulto (26-40)"/>
    <s v="nenhum"/>
    <s v="própria"/>
    <n v="1"/>
    <s v="Func. Público/Qualificado"/>
    <n v="1"/>
    <s v="não"/>
    <s v="sim"/>
    <n v="1"/>
  </r>
  <r>
    <n v="51"/>
    <x v="0"/>
    <s v="&gt;= 0 &lt; 200 $"/>
    <s v="saldo baixo"/>
    <n v="24"/>
    <s v="pgto em atraso no passado"/>
    <s v="moveis e equipamentos"/>
    <n v="2333"/>
    <s v="sem poupança"/>
    <s v="sem poupança"/>
    <s v="&lt; 1 ano"/>
    <s v="Iniciante (&lt; 1 ano)"/>
    <n v="4"/>
    <s v="masculino"/>
    <s v="solteiro"/>
    <s v="nenhum"/>
    <n v="2"/>
    <s v="poupança ou seguro de vida"/>
    <n v="29"/>
    <s v="Adulto (26-40)"/>
    <s v="banco"/>
    <s v="própria"/>
    <n v="1"/>
    <s v="Empregado Comum"/>
    <n v="1"/>
    <s v="não"/>
    <s v="sim"/>
    <n v="1"/>
  </r>
  <r>
    <n v="52"/>
    <x v="0"/>
    <s v="&gt;= 0 &lt; 200 $"/>
    <s v="saldo baixo"/>
    <n v="27"/>
    <s v="pgto em atraso no passado"/>
    <s v="carro usado"/>
    <n v="5965"/>
    <s v="&lt; 100 $"/>
    <s v="Baixo (&lt; 100 $)"/>
    <s v="&gt;= 7 anos"/>
    <s v="Muito Estável (&gt; 7 anos)"/>
    <n v="1"/>
    <s v="masculino"/>
    <s v="solteiro"/>
    <s v="nenhum"/>
    <n v="2"/>
    <s v="carro ou outros-quitado"/>
    <n v="30"/>
    <s v="Adulto (26-40)"/>
    <s v="nenhum"/>
    <s v="própria"/>
    <n v="2"/>
    <s v="Executivo/Empresário"/>
    <n v="1"/>
    <s v="sim"/>
    <s v="sim"/>
    <n v="1"/>
  </r>
  <r>
    <n v="53"/>
    <x v="0"/>
    <s v="sem conta corrente"/>
    <s v="sem conta no banco"/>
    <n v="12"/>
    <s v="pgto em dia neste banco (em aberto)"/>
    <s v="radio ou televisao"/>
    <n v="1262"/>
    <s v="&lt; 100 $"/>
    <s v="Baixo (&lt; 100 $)"/>
    <s v="&lt; 4 anos"/>
    <s v="Intermediário (1-4 anos)"/>
    <n v="3"/>
    <s v="masculino"/>
    <s v="solteiro"/>
    <s v="nenhum"/>
    <n v="2"/>
    <s v="carro ou outros-quitado"/>
    <n v="25"/>
    <s v="Adulto (26-40)"/>
    <s v="nenhum"/>
    <s v="própria"/>
    <n v="1"/>
    <s v="Func. Público/Qualificado"/>
    <n v="1"/>
    <s v="não"/>
    <s v="sim"/>
    <n v="1"/>
  </r>
  <r>
    <n v="54"/>
    <x v="0"/>
    <s v="sem conta corrente"/>
    <s v="sem conta no banco"/>
    <n v="18"/>
    <s v="pgto em dia neste banco (em aberto)"/>
    <s v="carro usado"/>
    <n v="3378"/>
    <s v="sem poupança"/>
    <s v="sem poupança"/>
    <s v="&lt; 4 anos"/>
    <s v="Intermediário (1-4 anos)"/>
    <n v="2"/>
    <s v="masculino"/>
    <s v="solteiro"/>
    <s v="nenhum"/>
    <n v="1"/>
    <s v="poupança ou seguro de vida"/>
    <n v="31"/>
    <s v="Adulto (26-40)"/>
    <s v="nenhum"/>
    <s v="própria"/>
    <n v="1"/>
    <s v="Func. Público/Qualificado"/>
    <n v="1"/>
    <s v="sim"/>
    <s v="sim"/>
    <n v="1"/>
  </r>
  <r>
    <n v="55"/>
    <x v="1"/>
    <s v="&gt;= 0 &lt; 200 $"/>
    <s v="saldo baixo"/>
    <n v="36"/>
    <s v="pgto em atraso no passado"/>
    <s v="carro novo"/>
    <n v="2225"/>
    <s v="&lt; 100 $"/>
    <s v="Baixo (&lt; 100 $)"/>
    <s v="&gt;= 7 anos"/>
    <s v="Muito Estável (&gt; 7 anos)"/>
    <n v="4"/>
    <s v="masculino"/>
    <s v="solteiro"/>
    <s v="nenhum"/>
    <n v="4"/>
    <s v="sem bens"/>
    <n v="57"/>
    <s v="Sénior (41-60)"/>
    <s v="banco"/>
    <s v="gratuita"/>
    <n v="2"/>
    <s v="Func. Público/Qualificado"/>
    <n v="1"/>
    <s v="sim"/>
    <s v="sim"/>
    <n v="2"/>
  </r>
  <r>
    <n v="56"/>
    <x v="0"/>
    <s v="sem conta corrente"/>
    <s v="sem conta no banco"/>
    <n v="6"/>
    <s v="pgto em dia neste banco (quitado)"/>
    <s v="carro novo"/>
    <n v="783"/>
    <s v="sem poupança"/>
    <s v="sem poupança"/>
    <s v="&lt; 4 anos"/>
    <s v="Intermediário (1-4 anos)"/>
    <n v="1"/>
    <s v="masculino"/>
    <s v="solteiro"/>
    <s v="garantidor"/>
    <n v="2"/>
    <s v="imovel"/>
    <n v="26"/>
    <s v="Adulto (26-40)"/>
    <s v="loja"/>
    <s v="própria"/>
    <n v="1"/>
    <s v="Empregado Comum"/>
    <n v="2"/>
    <s v="não"/>
    <s v="sim"/>
    <n v="1"/>
  </r>
  <r>
    <n v="57"/>
    <x v="1"/>
    <s v="&gt;= 0 &lt; 200 $"/>
    <s v="saldo baixo"/>
    <n v="12"/>
    <s v="pgto em dia neste banco (em aberto)"/>
    <s v="radio ou televisao"/>
    <n v="6468"/>
    <s v="sem poupança"/>
    <s v="sem poupança"/>
    <s v="desempregado"/>
    <s v="desempregado"/>
    <n v="2"/>
    <s v="masculino"/>
    <s v="solteiro"/>
    <s v="nenhum"/>
    <n v="1"/>
    <s v="sem bens"/>
    <n v="52"/>
    <s v="Sénior (41-60)"/>
    <s v="nenhum"/>
    <s v="própria"/>
    <n v="1"/>
    <s v="Executivo/Empresário"/>
    <n v="1"/>
    <s v="sim"/>
    <s v="sim"/>
    <n v="2"/>
  </r>
  <r>
    <n v="58"/>
    <x v="0"/>
    <s v="sem conta corrente"/>
    <s v="sem conta no banco"/>
    <n v="36"/>
    <s v="conta critica / dividas com terceiros"/>
    <s v="radio ou televisao"/>
    <n v="9566"/>
    <s v="&lt; 100 $"/>
    <s v="Baixo (&lt; 100 $)"/>
    <s v="&lt; 4 anos"/>
    <s v="Intermediário (1-4 anos)"/>
    <n v="2"/>
    <s v="feminino"/>
    <s v="divorciada/casada"/>
    <s v="nenhum"/>
    <n v="2"/>
    <s v="carro ou outros-quitado"/>
    <n v="31"/>
    <s v="Adulto (26-40)"/>
    <s v="loja"/>
    <s v="própria"/>
    <n v="2"/>
    <s v="Func. Público/Qualificado"/>
    <n v="1"/>
    <s v="não"/>
    <s v="sim"/>
    <n v="1"/>
  </r>
  <r>
    <n v="59"/>
    <x v="0"/>
    <s v="&gt;= 200 $"/>
    <s v="saldo saudável"/>
    <n v="18"/>
    <s v="pgto em dia neste banco (em aberto)"/>
    <s v="carro novo"/>
    <n v="1961"/>
    <s v="&lt; 100 $"/>
    <s v="Baixo (&lt; 100 $)"/>
    <s v="&gt;= 7 anos"/>
    <s v="Muito Estável (&gt; 7 anos)"/>
    <n v="3"/>
    <s v="feminino"/>
    <s v="divorciada/casada"/>
    <s v="nenhum"/>
    <n v="2"/>
    <s v="carro ou outros-quitado"/>
    <n v="23"/>
    <s v="Jovem (18-25)"/>
    <s v="nenhum"/>
    <s v="própria"/>
    <n v="1"/>
    <s v="Executivo/Empresário"/>
    <n v="1"/>
    <s v="não"/>
    <s v="sim"/>
    <n v="1"/>
  </r>
  <r>
    <n v="60"/>
    <x v="1"/>
    <s v="&lt; 0 $"/>
    <s v="negativo/devedor"/>
    <n v="36"/>
    <s v="conta critica / dividas com terceiros"/>
    <s v="moveis e equipamentos"/>
    <n v="6229"/>
    <s v="&lt; 100 $"/>
    <s v="Baixo (&lt; 100 $)"/>
    <s v="&lt; 1 ano"/>
    <s v="Iniciante (&lt; 1 ano)"/>
    <n v="4"/>
    <s v="feminino"/>
    <s v="divorciada/casada"/>
    <s v="codevedor"/>
    <n v="4"/>
    <s v="sem bens"/>
    <n v="23"/>
    <s v="Jovem (18-25)"/>
    <s v="nenhum"/>
    <s v="aluguel"/>
    <n v="2"/>
    <s v="Empregado Comum"/>
    <n v="1"/>
    <s v="sim"/>
    <s v="sim"/>
    <n v="2"/>
  </r>
  <r>
    <n v="61"/>
    <x v="0"/>
    <s v="&gt;= 0 &lt; 200 $"/>
    <s v="saldo baixo"/>
    <n v="9"/>
    <s v="pgto em dia neste banco (em aberto)"/>
    <s v="negocios"/>
    <n v="1391"/>
    <s v="&lt; 100 $"/>
    <s v="Baixo (&lt; 100 $)"/>
    <s v="&lt; 4 anos"/>
    <s v="Intermediário (1-4 anos)"/>
    <n v="2"/>
    <s v="masculino"/>
    <s v="casado/viuvo"/>
    <s v="nenhum"/>
    <n v="1"/>
    <s v="imovel"/>
    <n v="27"/>
    <s v="Adulto (26-40)"/>
    <s v="banco"/>
    <s v="própria"/>
    <n v="1"/>
    <s v="Func. Público/Qualificado"/>
    <n v="1"/>
    <s v="sim"/>
    <s v="sim"/>
    <n v="1"/>
  </r>
  <r>
    <n v="62"/>
    <x v="0"/>
    <s v="&gt;= 0 &lt; 200 $"/>
    <s v="saldo baixo"/>
    <n v="15"/>
    <s v="conta critica / dividas com terceiros"/>
    <s v="radio ou televisao"/>
    <n v="1537"/>
    <s v="sem poupança"/>
    <s v="sem poupança"/>
    <s v="&gt;= 7 anos"/>
    <s v="Muito Estável (&gt; 7 anos)"/>
    <n v="4"/>
    <s v="masculino"/>
    <s v="solteiro"/>
    <s v="garantidor"/>
    <n v="4"/>
    <s v="imovel"/>
    <n v="50"/>
    <s v="Sénior (41-60)"/>
    <s v="nenhum"/>
    <s v="própria"/>
    <n v="2"/>
    <s v="Func. Público/Qualificado"/>
    <n v="1"/>
    <s v="sim"/>
    <s v="sim"/>
    <n v="1"/>
  </r>
  <r>
    <n v="63"/>
    <x v="1"/>
    <s v="&gt;= 0 &lt; 200 $"/>
    <s v="saldo baixo"/>
    <n v="36"/>
    <s v="nenhum/pgto em dia"/>
    <s v="negocios"/>
    <n v="1953"/>
    <s v="&lt; 100 $"/>
    <s v="Baixo (&lt; 100 $)"/>
    <s v="&gt;= 7 anos"/>
    <s v="Muito Estável (&gt; 7 anos)"/>
    <n v="4"/>
    <s v="masculino"/>
    <s v="solteiro"/>
    <s v="nenhum"/>
    <n v="4"/>
    <s v="sem bens"/>
    <n v="61"/>
    <s v="Idoso (60+)"/>
    <s v="nenhum"/>
    <s v="gratuita"/>
    <n v="1"/>
    <s v="Executivo/Empresário"/>
    <n v="1"/>
    <s v="sim"/>
    <s v="sim"/>
    <n v="2"/>
  </r>
  <r>
    <n v="64"/>
    <x v="1"/>
    <s v="&gt;= 0 &lt; 200 $"/>
    <s v="saldo baixo"/>
    <n v="48"/>
    <s v="nenhum/pgto em dia"/>
    <s v="negocios"/>
    <n v="14421"/>
    <s v="&lt; 100 $"/>
    <s v="Baixo (&lt; 100 $)"/>
    <s v="&lt; 4 anos"/>
    <s v="Intermediário (1-4 anos)"/>
    <n v="2"/>
    <s v="masculino"/>
    <s v="solteiro"/>
    <s v="nenhum"/>
    <n v="2"/>
    <s v="carro ou outros-quitado"/>
    <n v="25"/>
    <s v="Adulto (26-40)"/>
    <s v="nenhum"/>
    <s v="própria"/>
    <n v="1"/>
    <s v="Func. Público/Qualificado"/>
    <n v="1"/>
    <s v="sim"/>
    <s v="sim"/>
    <n v="2"/>
  </r>
  <r>
    <n v="65"/>
    <x v="0"/>
    <s v="sem conta corrente"/>
    <s v="sem conta no banco"/>
    <n v="24"/>
    <s v="pgto em dia neste banco (em aberto)"/>
    <s v="radio ou televisao"/>
    <n v="3181"/>
    <s v="&lt; 100 $"/>
    <s v="Baixo (&lt; 100 $)"/>
    <s v="&lt; 1 ano"/>
    <s v="Iniciante (&lt; 1 ano)"/>
    <n v="4"/>
    <s v="feminino"/>
    <s v="divorciada/casada"/>
    <s v="nenhum"/>
    <n v="4"/>
    <s v="poupança ou seguro de vida"/>
    <n v="26"/>
    <s v="Adulto (26-40)"/>
    <s v="nenhum"/>
    <s v="própria"/>
    <n v="1"/>
    <s v="Func. Público/Qualificado"/>
    <n v="1"/>
    <s v="sim"/>
    <s v="sim"/>
    <n v="1"/>
  </r>
  <r>
    <n v="66"/>
    <x v="0"/>
    <s v="sem conta corrente"/>
    <s v="sem conta no banco"/>
    <n v="27"/>
    <s v="pgto em dia neste banco (em aberto)"/>
    <s v="reparos"/>
    <n v="5190"/>
    <s v="sem poupança"/>
    <s v="sem poupança"/>
    <s v="&gt;= 7 anos"/>
    <s v="Muito Estável (&gt; 7 anos)"/>
    <n v="4"/>
    <s v="masculino"/>
    <s v="solteiro"/>
    <s v="nenhum"/>
    <n v="4"/>
    <s v="poupança ou seguro de vida"/>
    <n v="48"/>
    <s v="Sénior (41-60)"/>
    <s v="nenhum"/>
    <s v="própria"/>
    <n v="4"/>
    <s v="Func. Público/Qualificado"/>
    <n v="2"/>
    <s v="sim"/>
    <s v="sim"/>
    <n v="1"/>
  </r>
  <r>
    <n v="67"/>
    <x v="0"/>
    <s v="sem conta corrente"/>
    <s v="sem conta no banco"/>
    <n v="12"/>
    <s v="pgto em dia neste banco (em aberto)"/>
    <s v="radio ou televisao"/>
    <n v="2171"/>
    <s v="&lt; 100 $"/>
    <s v="Baixo (&lt; 100 $)"/>
    <s v="&lt; 1 ano"/>
    <s v="Iniciante (&lt; 1 ano)"/>
    <n v="2"/>
    <s v="feminino"/>
    <s v="divorciada/casada"/>
    <s v="nenhum"/>
    <n v="2"/>
    <s v="carro ou outros-quitado"/>
    <n v="29"/>
    <s v="Adulto (26-40)"/>
    <s v="banco"/>
    <s v="própria"/>
    <n v="1"/>
    <s v="Func. Público/Qualificado"/>
    <n v="1"/>
    <s v="não"/>
    <s v="sim"/>
    <n v="1"/>
  </r>
  <r>
    <n v="68"/>
    <x v="0"/>
    <s v="&gt;= 0 &lt; 200 $"/>
    <s v="saldo baixo"/>
    <n v="12"/>
    <s v="pgto em dia neste banco (em aberto)"/>
    <s v="carro novo"/>
    <n v="1007"/>
    <s v="&gt;= 1000 $"/>
    <s v="Muito alto (&gt;1000$)"/>
    <s v="&lt; 4 anos"/>
    <s v="Intermediário (1-4 anos)"/>
    <n v="4"/>
    <s v="masculino"/>
    <s v="casado/viuvo"/>
    <s v="nenhum"/>
    <n v="1"/>
    <s v="imovel"/>
    <n v="22"/>
    <s v="Jovem (18-25)"/>
    <s v="nenhum"/>
    <s v="própria"/>
    <n v="1"/>
    <s v="Func. Público/Qualificado"/>
    <n v="1"/>
    <s v="não"/>
    <s v="sim"/>
    <n v="1"/>
  </r>
  <r>
    <n v="69"/>
    <x v="1"/>
    <s v="sem conta corrente"/>
    <s v="sem conta no banco"/>
    <n v="36"/>
    <s v="pgto em dia neste banco (em aberto)"/>
    <s v="educacao"/>
    <n v="1819"/>
    <s v="&lt; 100 $"/>
    <s v="Baixo (&lt; 100 $)"/>
    <s v="&lt; 4 anos"/>
    <s v="Intermediário (1-4 anos)"/>
    <n v="4"/>
    <s v="masculino"/>
    <s v="solteiro"/>
    <s v="nenhum"/>
    <n v="4"/>
    <s v="sem bens"/>
    <n v="37"/>
    <s v="Adulto (26-40)"/>
    <s v="loja"/>
    <s v="gratuita"/>
    <n v="1"/>
    <s v="Func. Público/Qualificado"/>
    <n v="1"/>
    <s v="sim"/>
    <s v="sim"/>
    <n v="2"/>
  </r>
  <r>
    <n v="70"/>
    <x v="0"/>
    <s v="sem conta corrente"/>
    <s v="sem conta no banco"/>
    <n v="36"/>
    <s v="pgto em dia neste banco (em aberto)"/>
    <s v="radio ou televisao"/>
    <n v="2394"/>
    <s v="sem poupança"/>
    <s v="sem poupança"/>
    <s v="&lt; 4 anos"/>
    <s v="Intermediário (1-4 anos)"/>
    <n v="4"/>
    <s v="feminino"/>
    <s v="divorciada/casada"/>
    <s v="nenhum"/>
    <n v="4"/>
    <s v="carro ou outros-quitado"/>
    <n v="25"/>
    <s v="Adulto (26-40)"/>
    <s v="nenhum"/>
    <s v="própria"/>
    <n v="1"/>
    <s v="Func. Público/Qualificado"/>
    <n v="1"/>
    <s v="não"/>
    <s v="sim"/>
    <n v="1"/>
  </r>
  <r>
    <n v="71"/>
    <x v="0"/>
    <s v="sem conta corrente"/>
    <s v="sem conta no banco"/>
    <n v="36"/>
    <s v="pgto em dia neste banco (em aberto)"/>
    <s v="carro usado"/>
    <n v="8133"/>
    <s v="&lt; 100 $"/>
    <s v="Baixo (&lt; 100 $)"/>
    <s v="&lt; 4 anos"/>
    <s v="Intermediário (1-4 anos)"/>
    <n v="1"/>
    <s v="feminino"/>
    <s v="divorciada/casada"/>
    <s v="nenhum"/>
    <n v="2"/>
    <s v="poupança ou seguro de vida"/>
    <n v="30"/>
    <s v="Adulto (26-40)"/>
    <s v="banco"/>
    <s v="própria"/>
    <n v="1"/>
    <s v="Func. Público/Qualificado"/>
    <n v="1"/>
    <s v="não"/>
    <s v="sim"/>
    <n v="1"/>
  </r>
  <r>
    <n v="72"/>
    <x v="0"/>
    <s v="sem conta corrente"/>
    <s v="sem conta no banco"/>
    <n v="7"/>
    <s v="conta critica / dividas com terceiros"/>
    <s v="radio ou televisao"/>
    <n v="730"/>
    <s v="sem poupança"/>
    <s v="sem poupança"/>
    <s v="&gt;= 7 anos"/>
    <s v="Muito Estável (&gt; 7 anos)"/>
    <n v="4"/>
    <s v="masculino"/>
    <s v="solteiro"/>
    <s v="nenhum"/>
    <n v="2"/>
    <s v="poupança ou seguro de vida"/>
    <n v="46"/>
    <s v="Sénior (41-60)"/>
    <s v="nenhum"/>
    <s v="aluguel"/>
    <n v="2"/>
    <s v="Empregado Comum"/>
    <n v="1"/>
    <s v="sim"/>
    <s v="sim"/>
    <n v="1"/>
  </r>
  <r>
    <n v="73"/>
    <x v="0"/>
    <s v="&lt; 0 $"/>
    <s v="negativo/devedor"/>
    <n v="8"/>
    <s v="conta critica / dividas com terceiros"/>
    <s v="outros"/>
    <n v="1164"/>
    <s v="&lt; 100 $"/>
    <s v="Baixo (&lt; 100 $)"/>
    <s v="&gt;= 7 anos"/>
    <s v="Muito Estável (&gt; 7 anos)"/>
    <n v="3"/>
    <s v="masculino"/>
    <s v="solteiro"/>
    <s v="nenhum"/>
    <n v="4"/>
    <s v="sem bens"/>
    <n v="51"/>
    <s v="Sénior (41-60)"/>
    <s v="banco"/>
    <s v="gratuita"/>
    <n v="2"/>
    <s v="Executivo/Empresário"/>
    <n v="2"/>
    <s v="sim"/>
    <s v="sim"/>
    <n v="1"/>
  </r>
  <r>
    <n v="74"/>
    <x v="0"/>
    <s v="&gt;= 0 &lt; 200 $"/>
    <s v="saldo baixo"/>
    <n v="42"/>
    <s v="conta critica / dividas com terceiros"/>
    <s v="negocios"/>
    <n v="5954"/>
    <s v="&lt; 100 $"/>
    <s v="Baixo (&lt; 100 $)"/>
    <s v="&lt; 7 anos"/>
    <s v="Estável (4-7 anos)"/>
    <n v="2"/>
    <s v="feminino"/>
    <s v="divorciada/casada"/>
    <s v="nenhum"/>
    <n v="1"/>
    <s v="imovel"/>
    <n v="41"/>
    <s v="Sénior (41-60)"/>
    <s v="banco"/>
    <s v="própria"/>
    <n v="2"/>
    <s v="Empregado Comum"/>
    <n v="1"/>
    <s v="não"/>
    <s v="sim"/>
    <n v="1"/>
  </r>
  <r>
    <n v="75"/>
    <x v="1"/>
    <s v="&lt; 0 $"/>
    <s v="negativo/devedor"/>
    <n v="36"/>
    <s v="pgto em dia neste banco (em aberto)"/>
    <s v="educacao"/>
    <n v="1977"/>
    <s v="sem poupança"/>
    <s v="sem poupança"/>
    <s v="&gt;= 7 anos"/>
    <s v="Muito Estável (&gt; 7 anos)"/>
    <n v="4"/>
    <s v="masculino"/>
    <s v="solteiro"/>
    <s v="nenhum"/>
    <n v="4"/>
    <s v="sem bens"/>
    <n v="40"/>
    <s v="Sénior (41-60)"/>
    <s v="nenhum"/>
    <s v="própria"/>
    <n v="1"/>
    <s v="Executivo/Empresário"/>
    <n v="1"/>
    <s v="sim"/>
    <s v="sim"/>
    <n v="2"/>
  </r>
  <r>
    <n v="76"/>
    <x v="0"/>
    <s v="&lt; 0 $"/>
    <s v="negativo/devedor"/>
    <n v="12"/>
    <s v="conta critica / dividas com terceiros"/>
    <s v="carro usado"/>
    <n v="1526"/>
    <s v="&lt; 100 $"/>
    <s v="Baixo (&lt; 100 $)"/>
    <s v="&gt;= 7 anos"/>
    <s v="Muito Estável (&gt; 7 anos)"/>
    <n v="4"/>
    <s v="masculino"/>
    <s v="solteiro"/>
    <s v="nenhum"/>
    <n v="4"/>
    <s v="sem bens"/>
    <n v="66"/>
    <s v="Idoso (60+)"/>
    <s v="nenhum"/>
    <s v="gratuita"/>
    <n v="2"/>
    <s v="Executivo/Empresário"/>
    <n v="1"/>
    <s v="não"/>
    <s v="sim"/>
    <n v="1"/>
  </r>
  <r>
    <n v="77"/>
    <x v="1"/>
    <s v="&lt; 0 $"/>
    <s v="negativo/devedor"/>
    <n v="42"/>
    <s v="pgto em dia neste banco (em aberto)"/>
    <s v="radio ou televisao"/>
    <n v="3965"/>
    <s v="&lt; 100 $"/>
    <s v="Baixo (&lt; 100 $)"/>
    <s v="&lt; 1 ano"/>
    <s v="Iniciante (&lt; 1 ano)"/>
    <n v="4"/>
    <s v="masculino"/>
    <s v="solteiro"/>
    <s v="nenhum"/>
    <n v="3"/>
    <s v="carro ou outros-quitado"/>
    <n v="34"/>
    <s v="Adulto (26-40)"/>
    <s v="nenhum"/>
    <s v="própria"/>
    <n v="1"/>
    <s v="Func. Público/Qualificado"/>
    <n v="1"/>
    <s v="não"/>
    <s v="sim"/>
    <n v="2"/>
  </r>
  <r>
    <n v="78"/>
    <x v="0"/>
    <s v="&gt;= 0 &lt; 200 $"/>
    <s v="saldo baixo"/>
    <n v="11"/>
    <s v="pgto em atraso no passado"/>
    <s v="radio ou televisao"/>
    <n v="4771"/>
    <s v="&lt; 100 $"/>
    <s v="Baixo (&lt; 100 $)"/>
    <s v="&lt; 7 anos"/>
    <s v="Estável (4-7 anos)"/>
    <n v="2"/>
    <s v="masculino"/>
    <s v="solteiro"/>
    <s v="nenhum"/>
    <n v="4"/>
    <s v="poupança ou seguro de vida"/>
    <n v="51"/>
    <s v="Sénior (41-60)"/>
    <s v="nenhum"/>
    <s v="própria"/>
    <n v="1"/>
    <s v="Func. Público/Qualificado"/>
    <n v="1"/>
    <s v="não"/>
    <s v="sim"/>
    <n v="1"/>
  </r>
  <r>
    <n v="79"/>
    <x v="0"/>
    <s v="sem conta corrente"/>
    <s v="sem conta no banco"/>
    <n v="54"/>
    <s v="nenhum/pgto em dia"/>
    <s v="carro usado"/>
    <n v="9436"/>
    <s v="sem poupança"/>
    <s v="sem poupança"/>
    <s v="&lt; 4 anos"/>
    <s v="Intermediário (1-4 anos)"/>
    <n v="2"/>
    <s v="masculino"/>
    <s v="solteiro"/>
    <s v="nenhum"/>
    <n v="2"/>
    <s v="poupança ou seguro de vida"/>
    <n v="39"/>
    <s v="Adulto (26-40)"/>
    <s v="nenhum"/>
    <s v="própria"/>
    <n v="1"/>
    <s v="Empregado Comum"/>
    <n v="2"/>
    <s v="não"/>
    <s v="sim"/>
    <n v="1"/>
  </r>
  <r>
    <n v="80"/>
    <x v="0"/>
    <s v="&gt;= 0 &lt; 200 $"/>
    <s v="saldo baixo"/>
    <n v="30"/>
    <s v="pgto em dia neste banco (em aberto)"/>
    <s v="moveis e equipamentos"/>
    <n v="3832"/>
    <s v="&lt; 100 $"/>
    <s v="Baixo (&lt; 100 $)"/>
    <s v="&lt; 1 ano"/>
    <s v="Iniciante (&lt; 1 ano)"/>
    <n v="2"/>
    <s v="masculino"/>
    <s v="casado/viuvo"/>
    <s v="nenhum"/>
    <n v="1"/>
    <s v="poupança ou seguro de vida"/>
    <n v="22"/>
    <s v="Jovem (18-25)"/>
    <s v="nenhum"/>
    <s v="própria"/>
    <n v="1"/>
    <s v="Func. Público/Qualificado"/>
    <n v="1"/>
    <s v="não"/>
    <s v="sim"/>
    <n v="1"/>
  </r>
  <r>
    <n v="81"/>
    <x v="1"/>
    <s v="sem conta corrente"/>
    <s v="sem conta no banco"/>
    <n v="24"/>
    <s v="pgto em dia neste banco (em aberto)"/>
    <s v="radio ou televisao"/>
    <n v="5943"/>
    <s v="sem poupança"/>
    <s v="sem poupança"/>
    <s v="&lt; 1 ano"/>
    <s v="Iniciante (&lt; 1 ano)"/>
    <n v="1"/>
    <s v="feminino"/>
    <s v="divorciada/casada"/>
    <s v="nenhum"/>
    <n v="1"/>
    <s v="carro ou outros-quitado"/>
    <n v="44"/>
    <s v="Sénior (41-60)"/>
    <s v="nenhum"/>
    <s v="própria"/>
    <n v="2"/>
    <s v="Func. Público/Qualificado"/>
    <n v="1"/>
    <s v="sim"/>
    <s v="sim"/>
    <n v="2"/>
  </r>
  <r>
    <n v="82"/>
    <x v="0"/>
    <s v="sem conta corrente"/>
    <s v="sem conta no banco"/>
    <n v="15"/>
    <s v="pgto em dia neste banco (em aberto)"/>
    <s v="radio ou televisao"/>
    <n v="1213"/>
    <s v="&gt;= 500 &lt; 1000 $"/>
    <s v="Alto (500-1000 $)"/>
    <s v="&gt;= 7 anos"/>
    <s v="Muito Estável (&gt; 7 anos)"/>
    <n v="4"/>
    <s v="masculino"/>
    <s v="solteiro"/>
    <s v="nenhum"/>
    <n v="3"/>
    <s v="poupança ou seguro de vida"/>
    <n v="47"/>
    <s v="Sénior (41-60)"/>
    <s v="loja"/>
    <s v="própria"/>
    <n v="1"/>
    <s v="Func. Público/Qualificado"/>
    <n v="1"/>
    <s v="sim"/>
    <s v="sim"/>
    <n v="1"/>
  </r>
  <r>
    <n v="83"/>
    <x v="0"/>
    <s v="sem conta corrente"/>
    <s v="sem conta no banco"/>
    <n v="18"/>
    <s v="pgto em dia neste banco (em aberto)"/>
    <s v="negocios"/>
    <n v="1568"/>
    <s v="&gt;= 100 &lt; 500 $"/>
    <s v="Médio (100-500$)"/>
    <s v="&lt; 4 anos"/>
    <s v="Intermediário (1-4 anos)"/>
    <n v="3"/>
    <s v="feminino"/>
    <s v="divorciada/casada"/>
    <s v="nenhum"/>
    <n v="4"/>
    <s v="poupança ou seguro de vida"/>
    <n v="24"/>
    <s v="Jovem (18-25)"/>
    <s v="nenhum"/>
    <s v="aluguel"/>
    <n v="1"/>
    <s v="Empregado Comum"/>
    <n v="1"/>
    <s v="não"/>
    <s v="sim"/>
    <n v="1"/>
  </r>
  <r>
    <n v="84"/>
    <x v="0"/>
    <s v="&lt; 0 $"/>
    <s v="negativo/devedor"/>
    <n v="24"/>
    <s v="pgto em dia neste banco (em aberto)"/>
    <s v="outros"/>
    <n v="1755"/>
    <s v="&lt; 100 $"/>
    <s v="Baixo (&lt; 100 $)"/>
    <s v="&gt;= 7 anos"/>
    <s v="Muito Estável (&gt; 7 anos)"/>
    <n v="4"/>
    <s v="feminino"/>
    <s v="divorciada/casada"/>
    <s v="garantidor"/>
    <n v="4"/>
    <s v="imovel"/>
    <n v="58"/>
    <s v="Sénior (41-60)"/>
    <s v="nenhum"/>
    <s v="própria"/>
    <n v="1"/>
    <s v="Empregado Comum"/>
    <n v="1"/>
    <s v="sim"/>
    <s v="sim"/>
    <n v="1"/>
  </r>
  <r>
    <n v="85"/>
    <x v="0"/>
    <s v="&lt; 0 $"/>
    <s v="negativo/devedor"/>
    <n v="10"/>
    <s v="pgto em dia neste banco (em aberto)"/>
    <s v="radio ou televisao"/>
    <n v="2315"/>
    <s v="&lt; 100 $"/>
    <s v="Baixo (&lt; 100 $)"/>
    <s v="&gt;= 7 anos"/>
    <s v="Muito Estável (&gt; 7 anos)"/>
    <n v="3"/>
    <s v="masculino"/>
    <s v="solteiro"/>
    <s v="nenhum"/>
    <n v="4"/>
    <s v="imovel"/>
    <n v="52"/>
    <s v="Sénior (41-60)"/>
    <s v="nenhum"/>
    <s v="própria"/>
    <n v="1"/>
    <s v="Empregado Comum"/>
    <n v="1"/>
    <s v="não"/>
    <s v="sim"/>
    <n v="1"/>
  </r>
  <r>
    <n v="86"/>
    <x v="0"/>
    <s v="sem conta corrente"/>
    <s v="sem conta no banco"/>
    <n v="12"/>
    <s v="conta critica / dividas com terceiros"/>
    <s v="negocios"/>
    <n v="1412"/>
    <s v="&lt; 100 $"/>
    <s v="Baixo (&lt; 100 $)"/>
    <s v="&lt; 4 anos"/>
    <s v="Intermediário (1-4 anos)"/>
    <n v="4"/>
    <s v="feminino"/>
    <s v="divorciada/casada"/>
    <s v="garantidor"/>
    <n v="2"/>
    <s v="imovel"/>
    <n v="29"/>
    <s v="Adulto (26-40)"/>
    <s v="nenhum"/>
    <s v="própria"/>
    <n v="2"/>
    <s v="Executivo/Empresário"/>
    <n v="1"/>
    <s v="sim"/>
    <s v="sim"/>
    <n v="1"/>
  </r>
  <r>
    <n v="87"/>
    <x v="0"/>
    <s v="&gt;= 0 &lt; 200 $"/>
    <s v="saldo baixo"/>
    <n v="18"/>
    <s v="conta critica / dividas com terceiros"/>
    <s v="moveis e equipamentos"/>
    <n v="1295"/>
    <s v="&lt; 100 $"/>
    <s v="Baixo (&lt; 100 $)"/>
    <s v="&lt; 1 ano"/>
    <s v="Iniciante (&lt; 1 ano)"/>
    <n v="4"/>
    <s v="feminino"/>
    <s v="divorciada/casada"/>
    <s v="nenhum"/>
    <n v="1"/>
    <s v="poupança ou seguro de vida"/>
    <n v="27"/>
    <s v="Adulto (26-40)"/>
    <s v="nenhum"/>
    <s v="própria"/>
    <n v="2"/>
    <s v="Func. Público/Qualificado"/>
    <n v="1"/>
    <s v="não"/>
    <s v="sim"/>
    <n v="1"/>
  </r>
  <r>
    <n v="88"/>
    <x v="1"/>
    <s v="&gt;= 0 &lt; 200 $"/>
    <s v="saldo baixo"/>
    <n v="36"/>
    <s v="pgto em dia neste banco (em aberto)"/>
    <s v="educacao"/>
    <n v="12612"/>
    <s v="&gt;= 100 &lt; 500 $"/>
    <s v="Médio (100-500$)"/>
    <s v="&lt; 4 anos"/>
    <s v="Intermediário (1-4 anos)"/>
    <n v="1"/>
    <s v="masculino"/>
    <s v="solteiro"/>
    <s v="nenhum"/>
    <n v="4"/>
    <s v="sem bens"/>
    <n v="47"/>
    <s v="Sénior (41-60)"/>
    <s v="nenhum"/>
    <s v="gratuita"/>
    <n v="1"/>
    <s v="Func. Público/Qualificado"/>
    <n v="2"/>
    <s v="sim"/>
    <s v="sim"/>
    <n v="2"/>
  </r>
  <r>
    <n v="89"/>
    <x v="0"/>
    <s v="&lt; 0 $"/>
    <s v="negativo/devedor"/>
    <n v="18"/>
    <s v="pgto em dia neste banco (em aberto)"/>
    <s v="carro novo"/>
    <n v="2249"/>
    <s v="&gt;= 100 &lt; 500 $"/>
    <s v="Médio (100-500$)"/>
    <s v="&lt; 7 anos"/>
    <s v="Estável (4-7 anos)"/>
    <n v="4"/>
    <s v="masculino"/>
    <s v="solteiro"/>
    <s v="nenhum"/>
    <n v="3"/>
    <s v="carro ou outros-quitado"/>
    <n v="30"/>
    <s v="Adulto (26-40)"/>
    <s v="nenhum"/>
    <s v="própria"/>
    <n v="1"/>
    <s v="Executivo/Empresário"/>
    <n v="2"/>
    <s v="sim"/>
    <s v="sim"/>
    <n v="1"/>
  </r>
  <r>
    <n v="90"/>
    <x v="1"/>
    <s v="&lt; 0 $"/>
    <s v="negativo/devedor"/>
    <n v="12"/>
    <s v="nenhum/pgto em dia"/>
    <s v="reparos"/>
    <n v="1108"/>
    <s v="&lt; 100 $"/>
    <s v="Baixo (&lt; 100 $)"/>
    <s v="&lt; 7 anos"/>
    <s v="Estável (4-7 anos)"/>
    <n v="4"/>
    <s v="masculino"/>
    <s v="solteiro"/>
    <s v="nenhum"/>
    <n v="3"/>
    <s v="imovel"/>
    <n v="28"/>
    <s v="Adulto (26-40)"/>
    <s v="nenhum"/>
    <s v="própria"/>
    <n v="2"/>
    <s v="Func. Público/Qualificado"/>
    <n v="1"/>
    <s v="não"/>
    <s v="sim"/>
    <n v="2"/>
  </r>
  <r>
    <n v="91"/>
    <x v="0"/>
    <s v="sem conta corrente"/>
    <s v="sem conta no banco"/>
    <n v="12"/>
    <s v="conta critica / dividas com terceiros"/>
    <s v="radio ou televisao"/>
    <n v="618"/>
    <s v="&lt; 100 $"/>
    <s v="Baixo (&lt; 100 $)"/>
    <s v="&gt;= 7 anos"/>
    <s v="Muito Estável (&gt; 7 anos)"/>
    <n v="4"/>
    <s v="masculino"/>
    <s v="solteiro"/>
    <s v="nenhum"/>
    <n v="4"/>
    <s v="imovel"/>
    <n v="56"/>
    <s v="Sénior (41-60)"/>
    <s v="nenhum"/>
    <s v="própria"/>
    <n v="1"/>
    <s v="Func. Público/Qualificado"/>
    <n v="1"/>
    <s v="não"/>
    <s v="sim"/>
    <n v="1"/>
  </r>
  <r>
    <n v="92"/>
    <x v="0"/>
    <s v="&lt; 0 $"/>
    <s v="negativo/devedor"/>
    <n v="12"/>
    <s v="conta critica / dividas com terceiros"/>
    <s v="carro usado"/>
    <n v="1409"/>
    <s v="&lt; 100 $"/>
    <s v="Baixo (&lt; 100 $)"/>
    <s v="&gt;= 7 anos"/>
    <s v="Muito Estável (&gt; 7 anos)"/>
    <n v="4"/>
    <s v="masculino"/>
    <s v="solteiro"/>
    <s v="nenhum"/>
    <n v="3"/>
    <s v="imovel"/>
    <n v="54"/>
    <s v="Sénior (41-60)"/>
    <s v="nenhum"/>
    <s v="própria"/>
    <n v="1"/>
    <s v="Func. Público/Qualificado"/>
    <n v="1"/>
    <s v="não"/>
    <s v="sim"/>
    <n v="1"/>
  </r>
  <r>
    <n v="93"/>
    <x v="1"/>
    <s v="sem conta corrente"/>
    <s v="sem conta no banco"/>
    <n v="12"/>
    <s v="conta critica / dividas com terceiros"/>
    <s v="radio ou televisao"/>
    <n v="797"/>
    <s v="sem poupança"/>
    <s v="sem poupança"/>
    <s v="&gt;= 7 anos"/>
    <s v="Muito Estável (&gt; 7 anos)"/>
    <n v="4"/>
    <s v="feminino"/>
    <s v="divorciada/casada"/>
    <s v="nenhum"/>
    <n v="3"/>
    <s v="poupança ou seguro de vida"/>
    <n v="33"/>
    <s v="Adulto (26-40)"/>
    <s v="banco"/>
    <s v="própria"/>
    <n v="1"/>
    <s v="Empregado Comum"/>
    <n v="2"/>
    <s v="não"/>
    <s v="sim"/>
    <n v="2"/>
  </r>
  <r>
    <n v="94"/>
    <x v="0"/>
    <s v="&gt;= 200 $"/>
    <s v="saldo saudável"/>
    <n v="24"/>
    <s v="conta critica / dividas com terceiros"/>
    <s v="moveis e equipamentos"/>
    <n v="3617"/>
    <s v="sem poupança"/>
    <s v="sem poupança"/>
    <s v="&gt;= 7 anos"/>
    <s v="Muito Estável (&gt; 7 anos)"/>
    <n v="4"/>
    <s v="masculino"/>
    <s v="solteiro"/>
    <s v="codevedor"/>
    <n v="4"/>
    <s v="sem bens"/>
    <n v="20"/>
    <s v="Jovem (18-25)"/>
    <s v="nenhum"/>
    <s v="aluguel"/>
    <n v="2"/>
    <s v="Func. Público/Qualificado"/>
    <n v="1"/>
    <s v="não"/>
    <s v="sim"/>
    <n v="1"/>
  </r>
  <r>
    <n v="95"/>
    <x v="0"/>
    <s v="&gt;= 0 &lt; 200 $"/>
    <s v="saldo baixo"/>
    <n v="12"/>
    <s v="pgto em dia neste banco (em aberto)"/>
    <s v="carro novo"/>
    <n v="1318"/>
    <s v="&gt;= 1000 $"/>
    <s v="Muito alto (&gt;1000$)"/>
    <s v="&gt;= 7 anos"/>
    <s v="Muito Estável (&gt; 7 anos)"/>
    <n v="4"/>
    <s v="masculino"/>
    <s v="solteiro"/>
    <s v="nenhum"/>
    <n v="4"/>
    <s v="imovel"/>
    <n v="54"/>
    <s v="Sénior (41-60)"/>
    <s v="nenhum"/>
    <s v="própria"/>
    <n v="1"/>
    <s v="Func. Público/Qualificado"/>
    <n v="1"/>
    <s v="sim"/>
    <s v="sim"/>
    <n v="1"/>
  </r>
  <r>
    <n v="96"/>
    <x v="1"/>
    <s v="&gt;= 0 &lt; 200 $"/>
    <s v="saldo baixo"/>
    <n v="54"/>
    <s v="nenhum/pgto em dia"/>
    <s v="negocios"/>
    <n v="15945"/>
    <s v="&lt; 100 $"/>
    <s v="Baixo (&lt; 100 $)"/>
    <s v="&lt; 1 ano"/>
    <s v="Iniciante (&lt; 1 ano)"/>
    <n v="3"/>
    <s v="masculino"/>
    <s v="solteiro"/>
    <s v="nenhum"/>
    <n v="4"/>
    <s v="sem bens"/>
    <n v="58"/>
    <s v="Sénior (41-60)"/>
    <s v="nenhum"/>
    <s v="aluguel"/>
    <n v="1"/>
    <s v="Func. Público/Qualificado"/>
    <n v="1"/>
    <s v="sim"/>
    <s v="sim"/>
    <n v="2"/>
  </r>
  <r>
    <n v="97"/>
    <x v="0"/>
    <s v="sem conta corrente"/>
    <s v="sem conta no banco"/>
    <n v="12"/>
    <s v="conta critica / dividas com terceiros"/>
    <s v="educacao"/>
    <n v="2012"/>
    <s v="sem poupança"/>
    <s v="sem poupança"/>
    <s v="&lt; 7 anos"/>
    <s v="Estável (4-7 anos)"/>
    <n v="4"/>
    <s v="feminino"/>
    <s v="divorciada/casada"/>
    <s v="nenhum"/>
    <n v="2"/>
    <s v="carro ou outros-quitado"/>
    <n v="61"/>
    <s v="Idoso (60+)"/>
    <s v="nenhum"/>
    <s v="própria"/>
    <n v="1"/>
    <s v="Func. Público/Qualificado"/>
    <n v="1"/>
    <s v="não"/>
    <s v="sim"/>
    <n v="1"/>
  </r>
  <r>
    <n v="98"/>
    <x v="0"/>
    <s v="&gt;= 0 &lt; 200 $"/>
    <s v="saldo baixo"/>
    <n v="18"/>
    <s v="pgto em dia neste banco (em aberto)"/>
    <s v="negocios"/>
    <n v="2622"/>
    <s v="&gt;= 100 &lt; 500 $"/>
    <s v="Médio (100-500$)"/>
    <s v="&lt; 4 anos"/>
    <s v="Intermediário (1-4 anos)"/>
    <n v="4"/>
    <s v="masculino"/>
    <s v="solteiro"/>
    <s v="nenhum"/>
    <n v="4"/>
    <s v="carro ou outros-quitado"/>
    <n v="34"/>
    <s v="Adulto (26-40)"/>
    <s v="nenhum"/>
    <s v="própria"/>
    <n v="1"/>
    <s v="Func. Público/Qualificado"/>
    <n v="1"/>
    <s v="não"/>
    <s v="sim"/>
    <n v="1"/>
  </r>
  <r>
    <n v="99"/>
    <x v="0"/>
    <s v="&gt;= 0 &lt; 200 $"/>
    <s v="saldo baixo"/>
    <n v="36"/>
    <s v="conta critica / dividas com terceiros"/>
    <s v="radio ou televisao"/>
    <n v="2337"/>
    <s v="&lt; 100 $"/>
    <s v="Baixo (&lt; 100 $)"/>
    <s v="&gt;= 7 anos"/>
    <s v="Muito Estável (&gt; 7 anos)"/>
    <n v="4"/>
    <s v="masculino"/>
    <s v="solteiro"/>
    <s v="nenhum"/>
    <n v="4"/>
    <s v="imovel"/>
    <n v="36"/>
    <s v="Adulto (26-40)"/>
    <s v="nenhum"/>
    <s v="própria"/>
    <n v="1"/>
    <s v="Func. Público/Qualificado"/>
    <n v="1"/>
    <s v="não"/>
    <s v="sim"/>
    <n v="1"/>
  </r>
  <r>
    <n v="100"/>
    <x v="0"/>
    <s v="&gt;= 0 &lt; 200 $"/>
    <s v="saldo baixo"/>
    <n v="20"/>
    <s v="pgto em atraso no passado"/>
    <s v="carro usado"/>
    <n v="7057"/>
    <s v="sem poupança"/>
    <s v="sem poupança"/>
    <s v="&lt; 7 anos"/>
    <s v="Estável (4-7 anos)"/>
    <n v="3"/>
    <s v="masculino"/>
    <s v="solteiro"/>
    <s v="nenhum"/>
    <n v="4"/>
    <s v="poupança ou seguro de vida"/>
    <n v="36"/>
    <s v="Adulto (26-40)"/>
    <s v="banco"/>
    <s v="aluguel"/>
    <n v="2"/>
    <s v="Executivo/Empresário"/>
    <n v="2"/>
    <s v="sim"/>
    <s v="sim"/>
    <n v="1"/>
  </r>
  <r>
    <n v="101"/>
    <x v="0"/>
    <s v="sem conta corrente"/>
    <s v="sem conta no banco"/>
    <n v="24"/>
    <s v="pgto em dia neste banco (em aberto)"/>
    <s v="carro novo"/>
    <n v="1469"/>
    <s v="&gt;= 100 &lt; 500 $"/>
    <s v="Médio (100-500$)"/>
    <s v="&gt;= 7 anos"/>
    <s v="Muito Estável (&gt; 7 anos)"/>
    <n v="4"/>
    <s v="masculino"/>
    <s v="casado/viuvo"/>
    <s v="nenhum"/>
    <n v="4"/>
    <s v="imovel"/>
    <n v="41"/>
    <s v="Sénior (41-60)"/>
    <s v="nenhum"/>
    <s v="aluguel"/>
    <n v="1"/>
    <s v="Empregado Comum"/>
    <n v="1"/>
    <s v="não"/>
    <s v="sim"/>
    <n v="1"/>
  </r>
  <r>
    <n v="102"/>
    <x v="0"/>
    <s v="&gt;= 0 &lt; 200 $"/>
    <s v="saldo baixo"/>
    <n v="36"/>
    <s v="pgto em dia neste banco (em aberto)"/>
    <s v="radio ou televisao"/>
    <n v="2323"/>
    <s v="&lt; 100 $"/>
    <s v="Baixo (&lt; 100 $)"/>
    <s v="&lt; 7 anos"/>
    <s v="Estável (4-7 anos)"/>
    <n v="4"/>
    <s v="masculino"/>
    <s v="solteiro"/>
    <s v="nenhum"/>
    <n v="4"/>
    <s v="carro ou outros-quitado"/>
    <n v="24"/>
    <s v="Jovem (18-25)"/>
    <s v="nenhum"/>
    <s v="aluguel"/>
    <n v="1"/>
    <s v="Func. Público/Qualificado"/>
    <n v="1"/>
    <s v="não"/>
    <s v="sim"/>
    <n v="1"/>
  </r>
  <r>
    <n v="103"/>
    <x v="0"/>
    <s v="sem conta corrente"/>
    <s v="sem conta no banco"/>
    <n v="6"/>
    <s v="pgto em atraso no passado"/>
    <s v="radio ou televisao"/>
    <n v="932"/>
    <s v="&lt; 100 $"/>
    <s v="Baixo (&lt; 100 $)"/>
    <s v="&lt; 4 anos"/>
    <s v="Intermediário (1-4 anos)"/>
    <n v="3"/>
    <s v="feminino"/>
    <s v="divorciada/casada"/>
    <s v="nenhum"/>
    <n v="2"/>
    <s v="imovel"/>
    <n v="24"/>
    <s v="Jovem (18-25)"/>
    <s v="nenhum"/>
    <s v="própria"/>
    <n v="1"/>
    <s v="Func. Público/Qualificado"/>
    <n v="1"/>
    <s v="não"/>
    <s v="sim"/>
    <n v="1"/>
  </r>
  <r>
    <n v="104"/>
    <x v="0"/>
    <s v="&gt;= 0 &lt; 200 $"/>
    <s v="saldo baixo"/>
    <n v="9"/>
    <s v="conta critica / dividas com terceiros"/>
    <s v="moveis e equipamentos"/>
    <n v="1919"/>
    <s v="&lt; 100 $"/>
    <s v="Baixo (&lt; 100 $)"/>
    <s v="&lt; 7 anos"/>
    <s v="Estável (4-7 anos)"/>
    <n v="4"/>
    <s v="masculino"/>
    <s v="solteiro"/>
    <s v="nenhum"/>
    <n v="3"/>
    <s v="carro ou outros-quitado"/>
    <n v="35"/>
    <s v="Adulto (26-40)"/>
    <s v="nenhum"/>
    <s v="aluguel"/>
    <n v="1"/>
    <s v="Func. Público/Qualificado"/>
    <n v="1"/>
    <s v="sim"/>
    <s v="sim"/>
    <n v="1"/>
  </r>
  <r>
    <n v="105"/>
    <x v="0"/>
    <s v="sem conta corrente"/>
    <s v="sem conta no banco"/>
    <n v="12"/>
    <s v="pgto em dia neste banco (em aberto)"/>
    <s v="carro usado"/>
    <n v="2445"/>
    <s v="sem poupança"/>
    <s v="sem poupança"/>
    <s v="&lt; 1 ano"/>
    <s v="Iniciante (&lt; 1 ano)"/>
    <n v="2"/>
    <s v="masculino"/>
    <s v="casado/viuvo"/>
    <s v="nenhum"/>
    <n v="4"/>
    <s v="carro ou outros-quitado"/>
    <n v="26"/>
    <s v="Adulto (26-40)"/>
    <s v="nenhum"/>
    <s v="aluguel"/>
    <n v="1"/>
    <s v="Func. Público/Qualificado"/>
    <n v="1"/>
    <s v="sim"/>
    <s v="sim"/>
    <n v="1"/>
  </r>
  <r>
    <n v="106"/>
    <x v="1"/>
    <s v="&gt;= 0 &lt; 200 $"/>
    <s v="saldo baixo"/>
    <n v="24"/>
    <s v="conta critica / dividas com terceiros"/>
    <s v="outros"/>
    <n v="11938"/>
    <s v="&lt; 100 $"/>
    <s v="Baixo (&lt; 100 $)"/>
    <s v="&lt; 4 anos"/>
    <s v="Intermediário (1-4 anos)"/>
    <n v="2"/>
    <s v="masculino"/>
    <s v="solteiro"/>
    <s v="codevedor"/>
    <n v="3"/>
    <s v="carro ou outros-quitado"/>
    <n v="39"/>
    <s v="Adulto (26-40)"/>
    <s v="nenhum"/>
    <s v="própria"/>
    <n v="2"/>
    <s v="Executivo/Empresário"/>
    <n v="2"/>
    <s v="sim"/>
    <s v="sim"/>
    <n v="2"/>
  </r>
  <r>
    <n v="107"/>
    <x v="1"/>
    <s v="sem conta corrente"/>
    <s v="sem conta no banco"/>
    <n v="18"/>
    <s v="pgto em dia neste banco (quitado)"/>
    <s v="carro novo"/>
    <n v="6458"/>
    <s v="&lt; 100 $"/>
    <s v="Baixo (&lt; 100 $)"/>
    <s v="&gt;= 7 anos"/>
    <s v="Muito Estável (&gt; 7 anos)"/>
    <n v="2"/>
    <s v="masculino"/>
    <s v="solteiro"/>
    <s v="nenhum"/>
    <n v="4"/>
    <s v="sem bens"/>
    <n v="39"/>
    <s v="Adulto (26-40)"/>
    <s v="banco"/>
    <s v="própria"/>
    <n v="2"/>
    <s v="Executivo/Empresário"/>
    <n v="2"/>
    <s v="sim"/>
    <s v="sim"/>
    <n v="2"/>
  </r>
  <r>
    <n v="108"/>
    <x v="0"/>
    <s v="&gt;= 0 &lt; 200 $"/>
    <s v="saldo baixo"/>
    <n v="12"/>
    <s v="pgto em dia neste banco (em aberto)"/>
    <s v="carro novo"/>
    <n v="6078"/>
    <s v="&lt; 100 $"/>
    <s v="Baixo (&lt; 100 $)"/>
    <s v="&lt; 7 anos"/>
    <s v="Estável (4-7 anos)"/>
    <n v="2"/>
    <s v="masculino"/>
    <s v="solteiro"/>
    <s v="nenhum"/>
    <n v="2"/>
    <s v="carro ou outros-quitado"/>
    <n v="32"/>
    <s v="Adulto (26-40)"/>
    <s v="nenhum"/>
    <s v="própria"/>
    <n v="1"/>
    <s v="Func. Público/Qualificado"/>
    <n v="1"/>
    <s v="não"/>
    <s v="sim"/>
    <n v="1"/>
  </r>
  <r>
    <n v="109"/>
    <x v="0"/>
    <s v="&lt; 0 $"/>
    <s v="negativo/devedor"/>
    <n v="24"/>
    <s v="pgto em dia neste banco (em aberto)"/>
    <s v="moveis e equipamentos"/>
    <n v="7721"/>
    <s v="sem poupança"/>
    <s v="sem poupança"/>
    <s v="&lt; 1 ano"/>
    <s v="Iniciante (&lt; 1 ano)"/>
    <n v="1"/>
    <s v="feminino"/>
    <s v="divorciada/casada"/>
    <s v="nenhum"/>
    <n v="2"/>
    <s v="poupança ou seguro de vida"/>
    <n v="30"/>
    <s v="Adulto (26-40)"/>
    <s v="nenhum"/>
    <s v="própria"/>
    <n v="1"/>
    <s v="Func. Público/Qualificado"/>
    <n v="1"/>
    <s v="sim"/>
    <s v="não"/>
    <n v="1"/>
  </r>
  <r>
    <n v="110"/>
    <x v="0"/>
    <s v="&gt;= 0 &lt; 200 $"/>
    <s v="saldo baixo"/>
    <n v="14"/>
    <s v="pgto em dia neste banco (em aberto)"/>
    <s v="negocios"/>
    <n v="1410"/>
    <s v="&gt;= 500 &lt; 1000 $"/>
    <s v="Alto (500-1000 $)"/>
    <s v="&gt;= 7 anos"/>
    <s v="Muito Estável (&gt; 7 anos)"/>
    <n v="1"/>
    <s v="masculino"/>
    <s v="casado/viuvo"/>
    <s v="nenhum"/>
    <n v="2"/>
    <s v="imovel"/>
    <n v="35"/>
    <s v="Adulto (26-40)"/>
    <s v="nenhum"/>
    <s v="própria"/>
    <n v="1"/>
    <s v="Func. Público/Qualificado"/>
    <n v="1"/>
    <s v="sim"/>
    <s v="sim"/>
    <n v="1"/>
  </r>
  <r>
    <n v="111"/>
    <x v="0"/>
    <s v="&gt;= 0 &lt; 200 $"/>
    <s v="saldo baixo"/>
    <n v="6"/>
    <s v="pgto em atraso no passado"/>
    <s v="negocios"/>
    <n v="1449"/>
    <s v="&gt;= 100 &lt; 500 $"/>
    <s v="Médio (100-500$)"/>
    <s v="&gt;= 7 anos"/>
    <s v="Muito Estável (&gt; 7 anos)"/>
    <n v="1"/>
    <s v="masculino"/>
    <s v="divorciado"/>
    <s v="nenhum"/>
    <n v="2"/>
    <s v="carro ou outros-quitado"/>
    <n v="31"/>
    <s v="Adulto (26-40)"/>
    <s v="banco"/>
    <s v="própria"/>
    <n v="2"/>
    <s v="Func. Público/Qualificado"/>
    <n v="2"/>
    <s v="não"/>
    <s v="sim"/>
    <n v="1"/>
  </r>
  <r>
    <n v="112"/>
    <x v="0"/>
    <s v="&gt;= 200 $"/>
    <s v="saldo saudável"/>
    <n v="15"/>
    <s v="pgto em dia neste banco (em aberto)"/>
    <s v="educacao"/>
    <n v="392"/>
    <s v="&lt; 100 $"/>
    <s v="Baixo (&lt; 100 $)"/>
    <s v="&lt; 1 ano"/>
    <s v="Iniciante (&lt; 1 ano)"/>
    <n v="4"/>
    <s v="feminino"/>
    <s v="divorciada/casada"/>
    <s v="nenhum"/>
    <n v="4"/>
    <s v="poupança ou seguro de vida"/>
    <n v="23"/>
    <s v="Jovem (18-25)"/>
    <s v="nenhum"/>
    <s v="aluguel"/>
    <n v="1"/>
    <s v="Func. Público/Qualificado"/>
    <n v="1"/>
    <s v="sim"/>
    <s v="sim"/>
    <n v="1"/>
  </r>
  <r>
    <n v="113"/>
    <x v="0"/>
    <s v="&gt;= 0 &lt; 200 $"/>
    <s v="saldo baixo"/>
    <n v="18"/>
    <s v="pgto em dia neste banco (em aberto)"/>
    <s v="carro novo"/>
    <n v="6260"/>
    <s v="&lt; 100 $"/>
    <s v="Baixo (&lt; 100 $)"/>
    <s v="&lt; 7 anos"/>
    <s v="Estável (4-7 anos)"/>
    <n v="3"/>
    <s v="masculino"/>
    <s v="solteiro"/>
    <s v="nenhum"/>
    <n v="3"/>
    <s v="imovel"/>
    <n v="28"/>
    <s v="Adulto (26-40)"/>
    <s v="nenhum"/>
    <s v="aluguel"/>
    <n v="1"/>
    <s v="Empregado Comum"/>
    <n v="1"/>
    <s v="não"/>
    <s v="sim"/>
    <n v="1"/>
  </r>
  <r>
    <n v="114"/>
    <x v="1"/>
    <s v="sem conta corrente"/>
    <s v="sem conta no banco"/>
    <n v="36"/>
    <s v="conta critica / dividas com terceiros"/>
    <s v="carro novo"/>
    <n v="7855"/>
    <s v="&lt; 100 $"/>
    <s v="Baixo (&lt; 100 $)"/>
    <s v="&lt; 4 anos"/>
    <s v="Intermediário (1-4 anos)"/>
    <n v="4"/>
    <s v="feminino"/>
    <s v="divorciada/casada"/>
    <s v="nenhum"/>
    <n v="2"/>
    <s v="imovel"/>
    <n v="25"/>
    <s v="Adulto (26-40)"/>
    <s v="loja"/>
    <s v="própria"/>
    <n v="2"/>
    <s v="Func. Público/Qualificado"/>
    <n v="1"/>
    <s v="sim"/>
    <s v="sim"/>
    <n v="2"/>
  </r>
  <r>
    <n v="115"/>
    <x v="0"/>
    <s v="&lt; 0 $"/>
    <s v="negativo/devedor"/>
    <n v="12"/>
    <s v="pgto em dia neste banco (em aberto)"/>
    <s v="radio ou televisao"/>
    <n v="1680"/>
    <s v="&gt;= 500 &lt; 1000 $"/>
    <s v="Alto (500-1000 $)"/>
    <s v="&gt;= 7 anos"/>
    <s v="Muito Estável (&gt; 7 anos)"/>
    <n v="3"/>
    <s v="masculino"/>
    <s v="casado/viuvo"/>
    <s v="nenhum"/>
    <n v="1"/>
    <s v="imovel"/>
    <n v="35"/>
    <s v="Adulto (26-40)"/>
    <s v="nenhum"/>
    <s v="própria"/>
    <n v="1"/>
    <s v="Func. Público/Qualificado"/>
    <n v="1"/>
    <s v="não"/>
    <s v="sim"/>
    <n v="1"/>
  </r>
  <r>
    <n v="116"/>
    <x v="0"/>
    <s v="sem conta corrente"/>
    <s v="sem conta no banco"/>
    <n v="48"/>
    <s v="conta critica / dividas com terceiros"/>
    <s v="radio ou televisao"/>
    <n v="3578"/>
    <s v="sem poupança"/>
    <s v="sem poupança"/>
    <s v="&gt;= 7 anos"/>
    <s v="Muito Estável (&gt; 7 anos)"/>
    <n v="4"/>
    <s v="masculino"/>
    <s v="solteiro"/>
    <s v="nenhum"/>
    <n v="1"/>
    <s v="imovel"/>
    <n v="47"/>
    <s v="Sénior (41-60)"/>
    <s v="nenhum"/>
    <s v="própria"/>
    <n v="1"/>
    <s v="Func. Público/Qualificado"/>
    <n v="1"/>
    <s v="sim"/>
    <s v="sim"/>
    <n v="1"/>
  </r>
  <r>
    <n v="117"/>
    <x v="1"/>
    <s v="&lt; 0 $"/>
    <s v="negativo/devedor"/>
    <n v="42"/>
    <s v="pgto em dia neste banco (em aberto)"/>
    <s v="radio ou televisao"/>
    <n v="7174"/>
    <s v="sem poupança"/>
    <s v="sem poupança"/>
    <s v="&lt; 7 anos"/>
    <s v="Estável (4-7 anos)"/>
    <n v="4"/>
    <s v="feminino"/>
    <s v="divorciada/casada"/>
    <s v="nenhum"/>
    <n v="3"/>
    <s v="carro ou outros-quitado"/>
    <n v="30"/>
    <s v="Adulto (26-40)"/>
    <s v="nenhum"/>
    <s v="própria"/>
    <n v="1"/>
    <s v="Executivo/Empresário"/>
    <n v="1"/>
    <s v="sim"/>
    <s v="sim"/>
    <n v="2"/>
  </r>
  <r>
    <n v="118"/>
    <x v="0"/>
    <s v="&lt; 0 $"/>
    <s v="negativo/devedor"/>
    <n v="10"/>
    <s v="conta critica / dividas com terceiros"/>
    <s v="moveis e equipamentos"/>
    <n v="2132"/>
    <s v="sem poupança"/>
    <s v="sem poupança"/>
    <s v="&lt; 1 ano"/>
    <s v="Iniciante (&lt; 1 ano)"/>
    <n v="2"/>
    <s v="feminino"/>
    <s v="divorciada/casada"/>
    <s v="codevedor"/>
    <n v="3"/>
    <s v="imovel"/>
    <n v="27"/>
    <s v="Adulto (26-40)"/>
    <s v="nenhum"/>
    <s v="aluguel"/>
    <n v="2"/>
    <s v="Func. Público/Qualificado"/>
    <n v="1"/>
    <s v="não"/>
    <s v="não"/>
    <n v="1"/>
  </r>
  <r>
    <n v="119"/>
    <x v="1"/>
    <s v="&lt; 0 $"/>
    <s v="negativo/devedor"/>
    <n v="33"/>
    <s v="conta critica / dividas com terceiros"/>
    <s v="moveis e equipamentos"/>
    <n v="4281"/>
    <s v="&gt;= 500 &lt; 1000 $"/>
    <s v="Alto (500-1000 $)"/>
    <s v="&lt; 4 anos"/>
    <s v="Intermediário (1-4 anos)"/>
    <n v="1"/>
    <s v="feminino"/>
    <s v="divorciada/casada"/>
    <s v="nenhum"/>
    <n v="4"/>
    <s v="carro ou outros-quitado"/>
    <n v="23"/>
    <s v="Jovem (18-25)"/>
    <s v="nenhum"/>
    <s v="própria"/>
    <n v="2"/>
    <s v="Func. Público/Qualificado"/>
    <n v="1"/>
    <s v="não"/>
    <s v="sim"/>
    <n v="2"/>
  </r>
  <r>
    <n v="120"/>
    <x v="0"/>
    <s v="&gt;= 0 &lt; 200 $"/>
    <s v="saldo baixo"/>
    <n v="12"/>
    <s v="conta critica / dividas com terceiros"/>
    <s v="carro novo"/>
    <n v="2366"/>
    <s v="&gt;= 500 &lt; 1000 $"/>
    <s v="Alto (500-1000 $)"/>
    <s v="&lt; 7 anos"/>
    <s v="Estável (4-7 anos)"/>
    <n v="3"/>
    <s v="masculino"/>
    <s v="divorciado"/>
    <s v="nenhum"/>
    <n v="3"/>
    <s v="carro ou outros-quitado"/>
    <n v="36"/>
    <s v="Adulto (26-40)"/>
    <s v="nenhum"/>
    <s v="própria"/>
    <n v="1"/>
    <s v="Executivo/Empresário"/>
    <n v="1"/>
    <s v="sim"/>
    <s v="sim"/>
    <n v="1"/>
  </r>
  <r>
    <n v="121"/>
    <x v="1"/>
    <s v="&lt; 0 $"/>
    <s v="negativo/devedor"/>
    <n v="21"/>
    <s v="pgto em dia neste banco (em aberto)"/>
    <s v="radio ou televisao"/>
    <n v="1835"/>
    <s v="&lt; 100 $"/>
    <s v="Baixo (&lt; 100 $)"/>
    <s v="&lt; 4 anos"/>
    <s v="Intermediário (1-4 anos)"/>
    <n v="3"/>
    <s v="feminino"/>
    <s v="divorciada/casada"/>
    <s v="nenhum"/>
    <n v="2"/>
    <s v="imovel"/>
    <n v="25"/>
    <s v="Adulto (26-40)"/>
    <s v="nenhum"/>
    <s v="própria"/>
    <n v="2"/>
    <s v="Func. Público/Qualificado"/>
    <n v="1"/>
    <s v="sim"/>
    <s v="sim"/>
    <n v="2"/>
  </r>
  <r>
    <n v="122"/>
    <x v="0"/>
    <s v="sem conta corrente"/>
    <s v="sem conta no banco"/>
    <n v="24"/>
    <s v="conta critica / dividas com terceiros"/>
    <s v="carro usado"/>
    <n v="3868"/>
    <s v="&lt; 100 $"/>
    <s v="Baixo (&lt; 100 $)"/>
    <s v="&gt;= 7 anos"/>
    <s v="Muito Estável (&gt; 7 anos)"/>
    <n v="4"/>
    <s v="feminino"/>
    <s v="divorciada/casada"/>
    <s v="nenhum"/>
    <n v="2"/>
    <s v="carro ou outros-quitado"/>
    <n v="41"/>
    <s v="Sénior (41-60)"/>
    <s v="nenhum"/>
    <s v="aluguel"/>
    <n v="2"/>
    <s v="Executivo/Empresário"/>
    <n v="1"/>
    <s v="sim"/>
    <s v="sim"/>
    <n v="1"/>
  </r>
  <r>
    <n v="123"/>
    <x v="0"/>
    <s v="sem conta corrente"/>
    <s v="sem conta no banco"/>
    <n v="12"/>
    <s v="pgto em dia neste banco (em aberto)"/>
    <s v="moveis e equipamentos"/>
    <n v="1768"/>
    <s v="&lt; 100 $"/>
    <s v="Baixo (&lt; 100 $)"/>
    <s v="&lt; 4 anos"/>
    <s v="Intermediário (1-4 anos)"/>
    <n v="3"/>
    <s v="masculino"/>
    <s v="solteiro"/>
    <s v="nenhum"/>
    <n v="2"/>
    <s v="imovel"/>
    <n v="24"/>
    <s v="Jovem (18-25)"/>
    <s v="nenhum"/>
    <s v="aluguel"/>
    <n v="1"/>
    <s v="Empregado Comum"/>
    <n v="1"/>
    <s v="não"/>
    <s v="sim"/>
    <n v="1"/>
  </r>
  <r>
    <n v="124"/>
    <x v="0"/>
    <s v="&gt;= 200 $"/>
    <s v="saldo saudável"/>
    <n v="10"/>
    <s v="conta critica / dividas com terceiros"/>
    <s v="carro novo"/>
    <n v="781"/>
    <s v="&lt; 100 $"/>
    <s v="Baixo (&lt; 100 $)"/>
    <s v="&gt;= 7 anos"/>
    <s v="Muito Estável (&gt; 7 anos)"/>
    <n v="4"/>
    <s v="masculino"/>
    <s v="solteiro"/>
    <s v="nenhum"/>
    <n v="4"/>
    <s v="sem bens"/>
    <n v="63"/>
    <s v="Idoso (60+)"/>
    <s v="nenhum"/>
    <s v="gratuita"/>
    <n v="2"/>
    <s v="Func. Público/Qualificado"/>
    <n v="1"/>
    <s v="sim"/>
    <s v="sim"/>
    <n v="1"/>
  </r>
  <r>
    <n v="125"/>
    <x v="1"/>
    <s v="&gt;= 0 &lt; 200 $"/>
    <s v="saldo baixo"/>
    <n v="18"/>
    <s v="pgto em dia neste banco (em aberto)"/>
    <s v="moveis e equipamentos"/>
    <n v="1924"/>
    <s v="sem poupança"/>
    <s v="sem poupança"/>
    <s v="&lt; 1 ano"/>
    <s v="Iniciante (&lt; 1 ano)"/>
    <n v="4"/>
    <s v="feminino"/>
    <s v="divorciada/casada"/>
    <s v="nenhum"/>
    <n v="3"/>
    <s v="imovel"/>
    <n v="27"/>
    <s v="Adulto (26-40)"/>
    <s v="nenhum"/>
    <s v="aluguel"/>
    <n v="1"/>
    <s v="Func. Público/Qualificado"/>
    <n v="1"/>
    <s v="não"/>
    <s v="sim"/>
    <n v="2"/>
  </r>
  <r>
    <n v="126"/>
    <x v="0"/>
    <s v="&lt; 0 $"/>
    <s v="negativo/devedor"/>
    <n v="12"/>
    <s v="conta critica / dividas com terceiros"/>
    <s v="carro novo"/>
    <n v="2121"/>
    <s v="&lt; 100 $"/>
    <s v="Baixo (&lt; 100 $)"/>
    <s v="&lt; 4 anos"/>
    <s v="Intermediário (1-4 anos)"/>
    <n v="4"/>
    <s v="masculino"/>
    <s v="solteiro"/>
    <s v="nenhum"/>
    <n v="2"/>
    <s v="poupança ou seguro de vida"/>
    <n v="30"/>
    <s v="Adulto (26-40)"/>
    <s v="nenhum"/>
    <s v="própria"/>
    <n v="2"/>
    <s v="Func. Público/Qualificado"/>
    <n v="1"/>
    <s v="não"/>
    <s v="sim"/>
    <n v="1"/>
  </r>
  <r>
    <n v="127"/>
    <x v="0"/>
    <s v="&lt; 0 $"/>
    <s v="negativo/devedor"/>
    <n v="12"/>
    <s v="pgto em dia neste banco (em aberto)"/>
    <s v="radio ou televisao"/>
    <n v="701"/>
    <s v="&lt; 100 $"/>
    <s v="Baixo (&lt; 100 $)"/>
    <s v="&lt; 4 anos"/>
    <s v="Intermediário (1-4 anos)"/>
    <n v="4"/>
    <s v="masculino"/>
    <s v="casado/viuvo"/>
    <s v="nenhum"/>
    <n v="2"/>
    <s v="imovel"/>
    <n v="40"/>
    <s v="Sénior (41-60)"/>
    <s v="nenhum"/>
    <s v="própria"/>
    <n v="1"/>
    <s v="Empregado Comum"/>
    <n v="1"/>
    <s v="não"/>
    <s v="sim"/>
    <n v="1"/>
  </r>
  <r>
    <n v="128"/>
    <x v="1"/>
    <s v="&gt;= 0 &lt; 200 $"/>
    <s v="saldo baixo"/>
    <n v="12"/>
    <s v="pgto em dia neste banco (em aberto)"/>
    <s v="reparos"/>
    <n v="639"/>
    <s v="&lt; 100 $"/>
    <s v="Baixo (&lt; 100 $)"/>
    <s v="&lt; 4 anos"/>
    <s v="Intermediário (1-4 anos)"/>
    <n v="4"/>
    <s v="masculino"/>
    <s v="solteiro"/>
    <s v="nenhum"/>
    <n v="2"/>
    <s v="carro ou outros-quitado"/>
    <n v="30"/>
    <s v="Adulto (26-40)"/>
    <s v="nenhum"/>
    <s v="própria"/>
    <n v="1"/>
    <s v="Func. Público/Qualificado"/>
    <n v="1"/>
    <s v="não"/>
    <s v="sim"/>
    <n v="2"/>
  </r>
  <r>
    <n v="129"/>
    <x v="0"/>
    <s v="&gt;= 0 &lt; 200 $"/>
    <s v="saldo baixo"/>
    <n v="12"/>
    <s v="conta critica / dividas com terceiros"/>
    <s v="carro usado"/>
    <n v="1860"/>
    <s v="&lt; 100 $"/>
    <s v="Baixo (&lt; 100 $)"/>
    <s v="desempregado"/>
    <s v="desempregado"/>
    <n v="4"/>
    <s v="masculino"/>
    <s v="solteiro"/>
    <s v="nenhum"/>
    <n v="2"/>
    <s v="carro ou outros-quitado"/>
    <n v="34"/>
    <s v="Adulto (26-40)"/>
    <s v="nenhum"/>
    <s v="própria"/>
    <n v="2"/>
    <s v="Executivo/Empresário"/>
    <n v="1"/>
    <s v="sim"/>
    <s v="sim"/>
    <n v="1"/>
  </r>
  <r>
    <n v="130"/>
    <x v="1"/>
    <s v="&lt; 0 $"/>
    <s v="negativo/devedor"/>
    <n v="12"/>
    <s v="conta critica / dividas com terceiros"/>
    <s v="carro novo"/>
    <n v="3499"/>
    <s v="&lt; 100 $"/>
    <s v="Baixo (&lt; 100 $)"/>
    <s v="&lt; 4 anos"/>
    <s v="Intermediário (1-4 anos)"/>
    <n v="3"/>
    <s v="feminino"/>
    <s v="divorciada/casada"/>
    <s v="codevedor"/>
    <n v="2"/>
    <s v="imovel"/>
    <n v="29"/>
    <s v="Adulto (26-40)"/>
    <s v="nenhum"/>
    <s v="própria"/>
    <n v="2"/>
    <s v="Func. Público/Qualificado"/>
    <n v="1"/>
    <s v="não"/>
    <s v="sim"/>
    <n v="2"/>
  </r>
  <r>
    <n v="131"/>
    <x v="0"/>
    <s v="&gt;= 0 &lt; 200 $"/>
    <s v="saldo baixo"/>
    <n v="48"/>
    <s v="pgto em dia neste banco (em aberto)"/>
    <s v="carro novo"/>
    <n v="8487"/>
    <s v="sem poupança"/>
    <s v="sem poupança"/>
    <s v="&lt; 7 anos"/>
    <s v="Estável (4-7 anos)"/>
    <n v="1"/>
    <s v="feminino"/>
    <s v="divorciada/casada"/>
    <s v="nenhum"/>
    <n v="2"/>
    <s v="carro ou outros-quitado"/>
    <n v="24"/>
    <s v="Jovem (18-25)"/>
    <s v="nenhum"/>
    <s v="própria"/>
    <n v="1"/>
    <s v="Func. Público/Qualificado"/>
    <n v="1"/>
    <s v="não"/>
    <s v="sim"/>
    <n v="1"/>
  </r>
  <r>
    <n v="132"/>
    <x v="1"/>
    <s v="&lt; 0 $"/>
    <s v="negativo/devedor"/>
    <n v="36"/>
    <s v="pgto em atraso no passado"/>
    <s v="educacao"/>
    <n v="6887"/>
    <s v="&lt; 100 $"/>
    <s v="Baixo (&lt; 100 $)"/>
    <s v="&lt; 4 anos"/>
    <s v="Intermediário (1-4 anos)"/>
    <n v="4"/>
    <s v="masculino"/>
    <s v="solteiro"/>
    <s v="nenhum"/>
    <n v="3"/>
    <s v="poupança ou seguro de vida"/>
    <n v="29"/>
    <s v="Adulto (26-40)"/>
    <s v="loja"/>
    <s v="própria"/>
    <n v="1"/>
    <s v="Func. Público/Qualificado"/>
    <n v="1"/>
    <s v="sim"/>
    <s v="sim"/>
    <n v="2"/>
  </r>
  <r>
    <n v="133"/>
    <x v="0"/>
    <s v="sem conta corrente"/>
    <s v="sem conta no banco"/>
    <n v="15"/>
    <s v="pgto em dia neste banco (em aberto)"/>
    <s v="moveis e equipamentos"/>
    <n v="2708"/>
    <s v="&lt; 100 $"/>
    <s v="Baixo (&lt; 100 $)"/>
    <s v="&lt; 1 ano"/>
    <s v="Iniciante (&lt; 1 ano)"/>
    <n v="2"/>
    <s v="masculino"/>
    <s v="solteiro"/>
    <s v="nenhum"/>
    <n v="3"/>
    <s v="poupança ou seguro de vida"/>
    <n v="27"/>
    <s v="Adulto (26-40)"/>
    <s v="banco"/>
    <s v="própria"/>
    <n v="2"/>
    <s v="Empregado Comum"/>
    <n v="1"/>
    <s v="não"/>
    <s v="sim"/>
    <n v="1"/>
  </r>
  <r>
    <n v="134"/>
    <x v="0"/>
    <s v="sem conta corrente"/>
    <s v="sem conta no banco"/>
    <n v="18"/>
    <s v="pgto em dia neste banco (em aberto)"/>
    <s v="moveis e equipamentos"/>
    <n v="1984"/>
    <s v="&lt; 100 $"/>
    <s v="Baixo (&lt; 100 $)"/>
    <s v="&lt; 4 anos"/>
    <s v="Intermediário (1-4 anos)"/>
    <n v="4"/>
    <s v="masculino"/>
    <s v="solteiro"/>
    <s v="nenhum"/>
    <n v="4"/>
    <s v="sem bens"/>
    <n v="47"/>
    <s v="Sénior (41-60)"/>
    <s v="banco"/>
    <s v="gratuita"/>
    <n v="2"/>
    <s v="Func. Público/Qualificado"/>
    <n v="1"/>
    <s v="não"/>
    <s v="sim"/>
    <n v="1"/>
  </r>
  <r>
    <n v="135"/>
    <x v="0"/>
    <s v="sem conta corrente"/>
    <s v="sem conta no banco"/>
    <n v="60"/>
    <s v="pgto em dia neste banco (em aberto)"/>
    <s v="radio ou televisao"/>
    <n v="10144"/>
    <s v="&gt;= 100 &lt; 500 $"/>
    <s v="Médio (100-500$)"/>
    <s v="&lt; 7 anos"/>
    <s v="Estável (4-7 anos)"/>
    <n v="2"/>
    <s v="feminino"/>
    <s v="divorciada/casada"/>
    <s v="nenhum"/>
    <n v="4"/>
    <s v="imovel"/>
    <n v="21"/>
    <s v="Jovem (18-25)"/>
    <s v="nenhum"/>
    <s v="própria"/>
    <n v="1"/>
    <s v="Func. Público/Qualificado"/>
    <n v="1"/>
    <s v="sim"/>
    <s v="sim"/>
    <n v="1"/>
  </r>
  <r>
    <n v="136"/>
    <x v="0"/>
    <s v="sem conta corrente"/>
    <s v="sem conta no banco"/>
    <n v="12"/>
    <s v="conta critica / dividas com terceiros"/>
    <s v="radio ou televisao"/>
    <n v="1240"/>
    <s v="sem poupança"/>
    <s v="sem poupança"/>
    <s v="&gt;= 7 anos"/>
    <s v="Muito Estável (&gt; 7 anos)"/>
    <n v="4"/>
    <s v="feminino"/>
    <s v="divorciada/casada"/>
    <s v="nenhum"/>
    <n v="2"/>
    <s v="imovel"/>
    <n v="38"/>
    <s v="Adulto (26-40)"/>
    <s v="nenhum"/>
    <s v="própria"/>
    <n v="2"/>
    <s v="Func. Público/Qualificado"/>
    <n v="1"/>
    <s v="sim"/>
    <s v="sim"/>
    <n v="1"/>
  </r>
  <r>
    <n v="137"/>
    <x v="0"/>
    <s v="sem conta corrente"/>
    <s v="sem conta no banco"/>
    <n v="27"/>
    <s v="pgto em atraso no passado"/>
    <s v="carro usado"/>
    <n v="8613"/>
    <s v="&gt;= 1000 $"/>
    <s v="Muito alto (&gt;1000$)"/>
    <s v="&lt; 4 anos"/>
    <s v="Intermediário (1-4 anos)"/>
    <n v="2"/>
    <s v="masculino"/>
    <s v="solteiro"/>
    <s v="nenhum"/>
    <n v="2"/>
    <s v="carro ou outros-quitado"/>
    <n v="27"/>
    <s v="Adulto (26-40)"/>
    <s v="nenhum"/>
    <s v="própria"/>
    <n v="2"/>
    <s v="Func. Público/Qualificado"/>
    <n v="1"/>
    <s v="não"/>
    <s v="sim"/>
    <n v="1"/>
  </r>
  <r>
    <n v="138"/>
    <x v="1"/>
    <s v="&gt;= 0 &lt; 200 $"/>
    <s v="saldo baixo"/>
    <n v="12"/>
    <s v="pgto em dia neste banco (em aberto)"/>
    <s v="radio ou televisao"/>
    <n v="766"/>
    <s v="&gt;= 500 &lt; 1000 $"/>
    <s v="Alto (500-1000 $)"/>
    <s v="&lt; 4 anos"/>
    <s v="Intermediário (1-4 anos)"/>
    <n v="4"/>
    <s v="masculino"/>
    <s v="solteiro"/>
    <s v="nenhum"/>
    <n v="3"/>
    <s v="imovel"/>
    <n v="66"/>
    <s v="Idoso (60+)"/>
    <s v="nenhum"/>
    <s v="própria"/>
    <n v="1"/>
    <s v="Empregado Comum"/>
    <n v="1"/>
    <s v="não"/>
    <s v="sim"/>
    <n v="2"/>
  </r>
  <r>
    <n v="139"/>
    <x v="0"/>
    <s v="&gt;= 0 &lt; 200 $"/>
    <s v="saldo baixo"/>
    <n v="15"/>
    <s v="conta critica / dividas com terceiros"/>
    <s v="radio ou televisao"/>
    <n v="2728"/>
    <s v="sem poupança"/>
    <s v="sem poupança"/>
    <s v="&lt; 7 anos"/>
    <s v="Estável (4-7 anos)"/>
    <n v="4"/>
    <s v="masculino"/>
    <s v="solteiro"/>
    <s v="garantidor"/>
    <n v="2"/>
    <s v="imovel"/>
    <n v="35"/>
    <s v="Adulto (26-40)"/>
    <s v="banco"/>
    <s v="própria"/>
    <n v="3"/>
    <s v="Func. Público/Qualificado"/>
    <n v="1"/>
    <s v="sim"/>
    <s v="sim"/>
    <n v="1"/>
  </r>
  <r>
    <n v="140"/>
    <x v="0"/>
    <s v="&gt;= 200 $"/>
    <s v="saldo saudável"/>
    <n v="12"/>
    <s v="pgto em dia neste banco (em aberto)"/>
    <s v="radio ou televisao"/>
    <n v="1881"/>
    <s v="&lt; 100 $"/>
    <s v="Baixo (&lt; 100 $)"/>
    <s v="&lt; 4 anos"/>
    <s v="Intermediário (1-4 anos)"/>
    <n v="2"/>
    <s v="feminino"/>
    <s v="divorciada/casada"/>
    <s v="nenhum"/>
    <n v="2"/>
    <s v="carro ou outros-quitado"/>
    <n v="44"/>
    <s v="Sénior (41-60)"/>
    <s v="nenhum"/>
    <s v="aluguel"/>
    <n v="1"/>
    <s v="Empregado Comum"/>
    <n v="1"/>
    <s v="sim"/>
    <s v="sim"/>
    <n v="1"/>
  </r>
  <r>
    <n v="141"/>
    <x v="0"/>
    <s v="&gt;= 200 $"/>
    <s v="saldo saudável"/>
    <n v="6"/>
    <s v="pgto em dia neste banco (em aberto)"/>
    <s v="carro novo"/>
    <n v="709"/>
    <s v="&gt;= 1000 $"/>
    <s v="Muito alto (&gt;1000$)"/>
    <s v="&lt; 1 ano"/>
    <s v="Iniciante (&lt; 1 ano)"/>
    <n v="2"/>
    <s v="masculino"/>
    <s v="casado/viuvo"/>
    <s v="nenhum"/>
    <n v="2"/>
    <s v="imovel"/>
    <n v="27"/>
    <s v="Adulto (26-40)"/>
    <s v="nenhum"/>
    <s v="própria"/>
    <n v="1"/>
    <s v="Não qualificado/Desempregado"/>
    <n v="1"/>
    <s v="não"/>
    <s v="não"/>
    <n v="1"/>
  </r>
  <r>
    <n v="142"/>
    <x v="0"/>
    <s v="&gt;= 0 &lt; 200 $"/>
    <s v="saldo baixo"/>
    <n v="36"/>
    <s v="pgto em dia neste banco (em aberto)"/>
    <s v="radio ou televisao"/>
    <n v="4795"/>
    <s v="&lt; 100 $"/>
    <s v="Baixo (&lt; 100 $)"/>
    <s v="&lt; 1 ano"/>
    <s v="Iniciante (&lt; 1 ano)"/>
    <n v="4"/>
    <s v="feminino"/>
    <s v="divorciada/casada"/>
    <s v="nenhum"/>
    <n v="1"/>
    <s v="sem bens"/>
    <n v="30"/>
    <s v="Adulto (26-40)"/>
    <s v="nenhum"/>
    <s v="própria"/>
    <n v="1"/>
    <s v="Executivo/Empresário"/>
    <n v="1"/>
    <s v="sim"/>
    <s v="sim"/>
    <n v="1"/>
  </r>
  <r>
    <n v="143"/>
    <x v="0"/>
    <s v="&lt; 0 $"/>
    <s v="negativo/devedor"/>
    <n v="27"/>
    <s v="pgto em dia neste banco (em aberto)"/>
    <s v="radio ou televisao"/>
    <n v="3416"/>
    <s v="&lt; 100 $"/>
    <s v="Baixo (&lt; 100 $)"/>
    <s v="&lt; 4 anos"/>
    <s v="Intermediário (1-4 anos)"/>
    <n v="3"/>
    <s v="masculino"/>
    <s v="solteiro"/>
    <s v="nenhum"/>
    <n v="2"/>
    <s v="carro ou outros-quitado"/>
    <n v="27"/>
    <s v="Adulto (26-40)"/>
    <s v="nenhum"/>
    <s v="própria"/>
    <n v="1"/>
    <s v="Executivo/Empresário"/>
    <n v="1"/>
    <s v="não"/>
    <s v="sim"/>
    <n v="1"/>
  </r>
  <r>
    <n v="144"/>
    <x v="1"/>
    <s v="&lt; 0 $"/>
    <s v="negativo/devedor"/>
    <n v="18"/>
    <s v="pgto em dia neste banco (em aberto)"/>
    <s v="moveis e equipamentos"/>
    <n v="2462"/>
    <s v="&lt; 100 $"/>
    <s v="Baixo (&lt; 100 $)"/>
    <s v="&lt; 4 anos"/>
    <s v="Intermediário (1-4 anos)"/>
    <n v="2"/>
    <s v="masculino"/>
    <s v="solteiro"/>
    <s v="nenhum"/>
    <n v="2"/>
    <s v="carro ou outros-quitado"/>
    <n v="22"/>
    <s v="Jovem (18-25)"/>
    <s v="nenhum"/>
    <s v="própria"/>
    <n v="1"/>
    <s v="Func. Público/Qualificado"/>
    <n v="1"/>
    <s v="não"/>
    <s v="sim"/>
    <n v="2"/>
  </r>
  <r>
    <n v="145"/>
    <x v="0"/>
    <s v="sem conta corrente"/>
    <s v="sem conta no banco"/>
    <n v="21"/>
    <s v="conta critica / dividas com terceiros"/>
    <s v="moveis e equipamentos"/>
    <n v="2288"/>
    <s v="&lt; 100 $"/>
    <s v="Baixo (&lt; 100 $)"/>
    <s v="&lt; 1 ano"/>
    <s v="Iniciante (&lt; 1 ano)"/>
    <n v="4"/>
    <s v="feminino"/>
    <s v="divorciada/casada"/>
    <s v="nenhum"/>
    <n v="4"/>
    <s v="poupança ou seguro de vida"/>
    <n v="23"/>
    <s v="Jovem (18-25)"/>
    <s v="nenhum"/>
    <s v="própria"/>
    <n v="1"/>
    <s v="Func. Público/Qualificado"/>
    <n v="1"/>
    <s v="sim"/>
    <s v="sim"/>
    <n v="1"/>
  </r>
  <r>
    <n v="146"/>
    <x v="0"/>
    <s v="&gt;= 0 &lt; 200 $"/>
    <s v="saldo baixo"/>
    <n v="48"/>
    <s v="pgto em dia neste banco (quitado)"/>
    <s v="negocios"/>
    <n v="3566"/>
    <s v="&gt;= 100 &lt; 500 $"/>
    <s v="Médio (100-500$)"/>
    <s v="&lt; 7 anos"/>
    <s v="Estável (4-7 anos)"/>
    <n v="4"/>
    <s v="masculino"/>
    <s v="solteiro"/>
    <s v="nenhum"/>
    <n v="2"/>
    <s v="carro ou outros-quitado"/>
    <n v="30"/>
    <s v="Adulto (26-40)"/>
    <s v="nenhum"/>
    <s v="própria"/>
    <n v="1"/>
    <s v="Func. Público/Qualificado"/>
    <n v="1"/>
    <s v="não"/>
    <s v="sim"/>
    <n v="1"/>
  </r>
  <r>
    <n v="147"/>
    <x v="0"/>
    <s v="&lt; 0 $"/>
    <s v="negativo/devedor"/>
    <n v="6"/>
    <s v="conta critica / dividas com terceiros"/>
    <s v="carro novo"/>
    <n v="860"/>
    <s v="&lt; 100 $"/>
    <s v="Baixo (&lt; 100 $)"/>
    <s v="&gt;= 7 anos"/>
    <s v="Muito Estável (&gt; 7 anos)"/>
    <n v="1"/>
    <s v="feminino"/>
    <s v="divorciada/casada"/>
    <s v="nenhum"/>
    <n v="4"/>
    <s v="sem bens"/>
    <n v="39"/>
    <s v="Adulto (26-40)"/>
    <s v="nenhum"/>
    <s v="própria"/>
    <n v="2"/>
    <s v="Func. Público/Qualificado"/>
    <n v="1"/>
    <s v="sim"/>
    <s v="sim"/>
    <n v="1"/>
  </r>
  <r>
    <n v="148"/>
    <x v="0"/>
    <s v="sem conta corrente"/>
    <s v="sem conta no banco"/>
    <n v="12"/>
    <s v="conta critica / dividas com terceiros"/>
    <s v="carro novo"/>
    <n v="682"/>
    <s v="&gt;= 100 &lt; 500 $"/>
    <s v="Médio (100-500$)"/>
    <s v="&lt; 7 anos"/>
    <s v="Estável (4-7 anos)"/>
    <n v="4"/>
    <s v="feminino"/>
    <s v="divorciada/casada"/>
    <s v="nenhum"/>
    <n v="3"/>
    <s v="carro ou outros-quitado"/>
    <n v="51"/>
    <s v="Sénior (41-60)"/>
    <s v="nenhum"/>
    <s v="própria"/>
    <n v="2"/>
    <s v="Func. Público/Qualificado"/>
    <n v="1"/>
    <s v="sim"/>
    <s v="sim"/>
    <n v="1"/>
  </r>
  <r>
    <n v="149"/>
    <x v="0"/>
    <s v="&lt; 0 $"/>
    <s v="negativo/devedor"/>
    <n v="36"/>
    <s v="conta critica / dividas com terceiros"/>
    <s v="moveis e equipamentos"/>
    <n v="5371"/>
    <s v="&lt; 100 $"/>
    <s v="Baixo (&lt; 100 $)"/>
    <s v="&lt; 4 anos"/>
    <s v="Intermediário (1-4 anos)"/>
    <n v="3"/>
    <s v="masculino"/>
    <s v="solteiro"/>
    <s v="garantidor"/>
    <n v="2"/>
    <s v="poupança ou seguro de vida"/>
    <n v="28"/>
    <s v="Adulto (26-40)"/>
    <s v="nenhum"/>
    <s v="própria"/>
    <n v="2"/>
    <s v="Func. Público/Qualificado"/>
    <n v="1"/>
    <s v="não"/>
    <s v="sim"/>
    <n v="1"/>
  </r>
  <r>
    <n v="150"/>
    <x v="0"/>
    <s v="sem conta corrente"/>
    <s v="sem conta no banco"/>
    <n v="18"/>
    <s v="conta critica / dividas com terceiros"/>
    <s v="radio ou televisao"/>
    <n v="1582"/>
    <s v="&gt;= 1000 $"/>
    <s v="Muito alto (&gt;1000$)"/>
    <s v="&gt;= 7 anos"/>
    <s v="Muito Estável (&gt; 7 anos)"/>
    <n v="4"/>
    <s v="masculino"/>
    <s v="solteiro"/>
    <s v="nenhum"/>
    <n v="4"/>
    <s v="carro ou outros-quitado"/>
    <n v="46"/>
    <s v="Sénior (41-60)"/>
    <s v="nenhum"/>
    <s v="própria"/>
    <n v="2"/>
    <s v="Func. Público/Qualificado"/>
    <n v="1"/>
    <s v="não"/>
    <s v="sim"/>
    <n v="1"/>
  </r>
  <r>
    <n v="151"/>
    <x v="0"/>
    <s v="sem conta corrente"/>
    <s v="sem conta no banco"/>
    <n v="6"/>
    <s v="pgto em dia neste banco (em aberto)"/>
    <s v="radio ou televisao"/>
    <n v="1346"/>
    <s v="&gt;= 100 &lt; 500 $"/>
    <s v="Médio (100-500$)"/>
    <s v="&gt;= 7 anos"/>
    <s v="Muito Estável (&gt; 7 anos)"/>
    <n v="2"/>
    <s v="masculino"/>
    <s v="solteiro"/>
    <s v="nenhum"/>
    <n v="4"/>
    <s v="sem bens"/>
    <n v="42"/>
    <s v="Sénior (41-60)"/>
    <s v="banco"/>
    <s v="gratuita"/>
    <n v="1"/>
    <s v="Func. Público/Qualificado"/>
    <n v="2"/>
    <s v="sim"/>
    <s v="sim"/>
    <n v="1"/>
  </r>
  <r>
    <n v="152"/>
    <x v="0"/>
    <s v="sem conta corrente"/>
    <s v="sem conta no banco"/>
    <n v="10"/>
    <s v="pgto em dia neste banco (em aberto)"/>
    <s v="radio ou televisao"/>
    <n v="1924"/>
    <s v="&lt; 100 $"/>
    <s v="Baixo (&lt; 100 $)"/>
    <s v="&lt; 4 anos"/>
    <s v="Intermediário (1-4 anos)"/>
    <n v="1"/>
    <s v="masculino"/>
    <s v="solteiro"/>
    <s v="nenhum"/>
    <n v="4"/>
    <s v="poupança ou seguro de vida"/>
    <n v="38"/>
    <s v="Adulto (26-40)"/>
    <s v="nenhum"/>
    <s v="própria"/>
    <n v="1"/>
    <s v="Func. Público/Qualificado"/>
    <n v="1"/>
    <s v="sim"/>
    <s v="não"/>
    <n v="1"/>
  </r>
  <r>
    <n v="153"/>
    <x v="0"/>
    <s v="&gt;= 200 $"/>
    <s v="saldo saudável"/>
    <n v="36"/>
    <s v="pgto em dia neste banco (em aberto)"/>
    <s v="radio ou televisao"/>
    <n v="5848"/>
    <s v="&lt; 100 $"/>
    <s v="Baixo (&lt; 100 $)"/>
    <s v="&lt; 4 anos"/>
    <s v="Intermediário (1-4 anos)"/>
    <n v="4"/>
    <s v="masculino"/>
    <s v="solteiro"/>
    <s v="nenhum"/>
    <n v="1"/>
    <s v="carro ou outros-quitado"/>
    <n v="24"/>
    <s v="Jovem (18-25)"/>
    <s v="nenhum"/>
    <s v="própria"/>
    <n v="1"/>
    <s v="Func. Público/Qualificado"/>
    <n v="1"/>
    <s v="não"/>
    <s v="sim"/>
    <n v="1"/>
  </r>
  <r>
    <n v="154"/>
    <x v="0"/>
    <s v="&gt;= 0 &lt; 200 $"/>
    <s v="saldo baixo"/>
    <n v="24"/>
    <s v="conta critica / dividas com terceiros"/>
    <s v="carro usado"/>
    <n v="7758"/>
    <s v="&gt;= 1000 $"/>
    <s v="Muito alto (&gt;1000$)"/>
    <s v="&gt;= 7 anos"/>
    <s v="Muito Estável (&gt; 7 anos)"/>
    <n v="2"/>
    <s v="feminino"/>
    <s v="divorciada/casada"/>
    <s v="nenhum"/>
    <n v="4"/>
    <s v="sem bens"/>
    <n v="29"/>
    <s v="Adulto (26-40)"/>
    <s v="nenhum"/>
    <s v="aluguel"/>
    <n v="1"/>
    <s v="Func. Público/Qualificado"/>
    <n v="1"/>
    <s v="não"/>
    <s v="sim"/>
    <n v="1"/>
  </r>
  <r>
    <n v="155"/>
    <x v="0"/>
    <s v="&gt;= 0 &lt; 200 $"/>
    <s v="saldo baixo"/>
    <n v="24"/>
    <s v="pgto em atraso no passado"/>
    <s v="negocios"/>
    <n v="6967"/>
    <s v="&gt;= 100 &lt; 500 $"/>
    <s v="Médio (100-500$)"/>
    <s v="&lt; 7 anos"/>
    <s v="Estável (4-7 anos)"/>
    <n v="4"/>
    <s v="masculino"/>
    <s v="solteiro"/>
    <s v="nenhum"/>
    <n v="4"/>
    <s v="carro ou outros-quitado"/>
    <n v="36"/>
    <s v="Adulto (26-40)"/>
    <s v="nenhum"/>
    <s v="aluguel"/>
    <n v="1"/>
    <s v="Executivo/Empresário"/>
    <n v="1"/>
    <s v="sim"/>
    <s v="sim"/>
    <n v="1"/>
  </r>
  <r>
    <n v="156"/>
    <x v="1"/>
    <s v="&lt; 0 $"/>
    <s v="negativo/devedor"/>
    <n v="12"/>
    <s v="pgto em dia neste banco (em aberto)"/>
    <s v="moveis e equipamentos"/>
    <n v="1282"/>
    <s v="&lt; 100 $"/>
    <s v="Baixo (&lt; 100 $)"/>
    <s v="&lt; 4 anos"/>
    <s v="Intermediário (1-4 anos)"/>
    <n v="2"/>
    <s v="feminino"/>
    <s v="divorciada/casada"/>
    <s v="nenhum"/>
    <n v="4"/>
    <s v="carro ou outros-quitado"/>
    <n v="20"/>
    <s v="Jovem (18-25)"/>
    <s v="nenhum"/>
    <s v="aluguel"/>
    <n v="1"/>
    <s v="Func. Público/Qualificado"/>
    <n v="1"/>
    <s v="não"/>
    <s v="sim"/>
    <n v="2"/>
  </r>
  <r>
    <n v="157"/>
    <x v="0"/>
    <s v="&lt; 0 $"/>
    <s v="negativo/devedor"/>
    <n v="9"/>
    <s v="conta critica / dividas com terceiros"/>
    <s v="reparos"/>
    <n v="1288"/>
    <s v="&gt;= 100 &lt; 500 $"/>
    <s v="Médio (100-500$)"/>
    <s v="&gt;= 7 anos"/>
    <s v="Muito Estável (&gt; 7 anos)"/>
    <n v="3"/>
    <s v="masculino"/>
    <s v="solteiro"/>
    <s v="garantidor"/>
    <n v="4"/>
    <s v="imovel"/>
    <n v="48"/>
    <s v="Sénior (41-60)"/>
    <s v="nenhum"/>
    <s v="própria"/>
    <n v="2"/>
    <s v="Func. Público/Qualificado"/>
    <n v="2"/>
    <s v="não"/>
    <s v="não"/>
    <n v="1"/>
  </r>
  <r>
    <n v="158"/>
    <x v="0"/>
    <s v="&lt; 0 $"/>
    <s v="negativo/devedor"/>
    <n v="12"/>
    <s v="pgto em dia neste banco (quitado)"/>
    <s v="reciclagem profissional"/>
    <n v="339"/>
    <s v="&lt; 100 $"/>
    <s v="Baixo (&lt; 100 $)"/>
    <s v="&gt;= 7 anos"/>
    <s v="Muito Estável (&gt; 7 anos)"/>
    <n v="4"/>
    <s v="masculino"/>
    <s v="casado/viuvo"/>
    <s v="nenhum"/>
    <n v="1"/>
    <s v="carro ou outros-quitado"/>
    <n v="45"/>
    <s v="Sénior (41-60)"/>
    <s v="banco"/>
    <s v="própria"/>
    <n v="1"/>
    <s v="Empregado Comum"/>
    <n v="1"/>
    <s v="não"/>
    <s v="sim"/>
    <n v="1"/>
  </r>
  <r>
    <n v="159"/>
    <x v="0"/>
    <s v="&gt;= 0 &lt; 200 $"/>
    <s v="saldo baixo"/>
    <n v="24"/>
    <s v="pgto em dia neste banco (em aberto)"/>
    <s v="carro novo"/>
    <n v="3512"/>
    <s v="&gt;= 100 &lt; 500 $"/>
    <s v="Médio (100-500$)"/>
    <s v="&lt; 7 anos"/>
    <s v="Estável (4-7 anos)"/>
    <n v="2"/>
    <s v="masculino"/>
    <s v="solteiro"/>
    <s v="nenhum"/>
    <n v="3"/>
    <s v="carro ou outros-quitado"/>
    <n v="38"/>
    <s v="Adulto (26-40)"/>
    <s v="banco"/>
    <s v="própria"/>
    <n v="2"/>
    <s v="Func. Público/Qualificado"/>
    <n v="1"/>
    <s v="sim"/>
    <s v="sim"/>
    <n v="1"/>
  </r>
  <r>
    <n v="160"/>
    <x v="0"/>
    <s v="sem conta corrente"/>
    <s v="sem conta no banco"/>
    <n v="6"/>
    <s v="conta critica / dividas com terceiros"/>
    <s v="radio ou televisao"/>
    <n v="1898"/>
    <s v="sem poupança"/>
    <s v="sem poupança"/>
    <s v="&lt; 4 anos"/>
    <s v="Intermediário (1-4 anos)"/>
    <n v="1"/>
    <s v="masculino"/>
    <s v="solteiro"/>
    <s v="nenhum"/>
    <n v="2"/>
    <s v="imovel"/>
    <n v="34"/>
    <s v="Adulto (26-40)"/>
    <s v="nenhum"/>
    <s v="própria"/>
    <n v="2"/>
    <s v="Empregado Comum"/>
    <n v="2"/>
    <s v="não"/>
    <s v="sim"/>
    <n v="1"/>
  </r>
  <r>
    <n v="161"/>
    <x v="0"/>
    <s v="sem conta corrente"/>
    <s v="sem conta no banco"/>
    <n v="24"/>
    <s v="conta critica / dividas com terceiros"/>
    <s v="radio ou televisao"/>
    <n v="2872"/>
    <s v="&gt;= 100 &lt; 500 $"/>
    <s v="Médio (100-500$)"/>
    <s v="&gt;= 7 anos"/>
    <s v="Muito Estável (&gt; 7 anos)"/>
    <n v="3"/>
    <s v="masculino"/>
    <s v="solteiro"/>
    <s v="nenhum"/>
    <n v="4"/>
    <s v="imovel"/>
    <n v="36"/>
    <s v="Adulto (26-40)"/>
    <s v="nenhum"/>
    <s v="própria"/>
    <n v="1"/>
    <s v="Func. Público/Qualificado"/>
    <n v="2"/>
    <s v="sim"/>
    <s v="sim"/>
    <n v="1"/>
  </r>
  <r>
    <n v="162"/>
    <x v="0"/>
    <s v="sem conta corrente"/>
    <s v="sem conta no banco"/>
    <n v="18"/>
    <s v="conta critica / dividas com terceiros"/>
    <s v="carro novo"/>
    <n v="1055"/>
    <s v="&lt; 100 $"/>
    <s v="Baixo (&lt; 100 $)"/>
    <s v="&lt; 1 ano"/>
    <s v="Iniciante (&lt; 1 ano)"/>
    <n v="4"/>
    <s v="feminino"/>
    <s v="divorciada/casada"/>
    <s v="nenhum"/>
    <n v="1"/>
    <s v="poupança ou seguro de vida"/>
    <n v="30"/>
    <s v="Adulto (26-40)"/>
    <s v="nenhum"/>
    <s v="própria"/>
    <n v="2"/>
    <s v="Func. Público/Qualificado"/>
    <n v="1"/>
    <s v="não"/>
    <s v="sim"/>
    <n v="1"/>
  </r>
  <r>
    <n v="163"/>
    <x v="0"/>
    <s v="sem conta corrente"/>
    <s v="sem conta no banco"/>
    <n v="15"/>
    <s v="pgto em dia neste banco (em aberto)"/>
    <s v="eletrodomesticos"/>
    <n v="1262"/>
    <s v="&gt;= 500 &lt; 1000 $"/>
    <s v="Alto (500-1000 $)"/>
    <s v="&lt; 7 anos"/>
    <s v="Estável (4-7 anos)"/>
    <n v="4"/>
    <s v="masculino"/>
    <s v="solteiro"/>
    <s v="nenhum"/>
    <n v="3"/>
    <s v="poupança ou seguro de vida"/>
    <n v="36"/>
    <s v="Adulto (26-40)"/>
    <s v="nenhum"/>
    <s v="própria"/>
    <n v="2"/>
    <s v="Func. Público/Qualificado"/>
    <n v="1"/>
    <s v="sim"/>
    <s v="sim"/>
    <n v="1"/>
  </r>
  <r>
    <n v="164"/>
    <x v="0"/>
    <s v="&gt;= 0 &lt; 200 $"/>
    <s v="saldo baixo"/>
    <n v="10"/>
    <s v="pgto em dia neste banco (em aberto)"/>
    <s v="carro novo"/>
    <n v="7308"/>
    <s v="&lt; 100 $"/>
    <s v="Baixo (&lt; 100 $)"/>
    <s v="desempregado"/>
    <s v="desempregado"/>
    <n v="2"/>
    <s v="masculino"/>
    <s v="solteiro"/>
    <s v="nenhum"/>
    <n v="4"/>
    <s v="sem bens"/>
    <n v="70"/>
    <s v="Idoso (60+)"/>
    <s v="banco"/>
    <s v="gratuita"/>
    <n v="1"/>
    <s v="Executivo/Empresário"/>
    <n v="1"/>
    <s v="sim"/>
    <s v="sim"/>
    <n v="1"/>
  </r>
  <r>
    <n v="165"/>
    <x v="0"/>
    <s v="sem conta corrente"/>
    <s v="sem conta no banco"/>
    <n v="36"/>
    <s v="pgto em dia neste banco (em aberto)"/>
    <s v="carro novo"/>
    <n v="909"/>
    <s v="&gt;= 500 &lt; 1000 $"/>
    <s v="Alto (500-1000 $)"/>
    <s v="&gt;= 7 anos"/>
    <s v="Muito Estável (&gt; 7 anos)"/>
    <n v="4"/>
    <s v="masculino"/>
    <s v="solteiro"/>
    <s v="nenhum"/>
    <n v="4"/>
    <s v="poupança ou seguro de vida"/>
    <n v="36"/>
    <s v="Adulto (26-40)"/>
    <s v="nenhum"/>
    <s v="própria"/>
    <n v="1"/>
    <s v="Func. Público/Qualificado"/>
    <n v="1"/>
    <s v="não"/>
    <s v="sim"/>
    <n v="1"/>
  </r>
  <r>
    <n v="166"/>
    <x v="0"/>
    <s v="sem conta corrente"/>
    <s v="sem conta no banco"/>
    <n v="6"/>
    <s v="pgto em dia neste banco (em aberto)"/>
    <s v="moveis e equipamentos"/>
    <n v="2978"/>
    <s v="&gt;= 500 &lt; 1000 $"/>
    <s v="Alto (500-1000 $)"/>
    <s v="&lt; 4 anos"/>
    <s v="Intermediário (1-4 anos)"/>
    <n v="1"/>
    <s v="masculino"/>
    <s v="solteiro"/>
    <s v="nenhum"/>
    <n v="2"/>
    <s v="carro ou outros-quitado"/>
    <n v="32"/>
    <s v="Adulto (26-40)"/>
    <s v="nenhum"/>
    <s v="própria"/>
    <n v="1"/>
    <s v="Func. Público/Qualificado"/>
    <n v="1"/>
    <s v="sim"/>
    <s v="sim"/>
    <n v="1"/>
  </r>
  <r>
    <n v="167"/>
    <x v="1"/>
    <s v="&lt; 0 $"/>
    <s v="negativo/devedor"/>
    <n v="18"/>
    <s v="pgto em dia neste banco (em aberto)"/>
    <s v="moveis e equipamentos"/>
    <n v="1131"/>
    <s v="&lt; 100 $"/>
    <s v="Baixo (&lt; 100 $)"/>
    <s v="desempregado"/>
    <s v="desempregado"/>
    <n v="4"/>
    <s v="feminino"/>
    <s v="divorciada/casada"/>
    <s v="nenhum"/>
    <n v="2"/>
    <s v="carro ou outros-quitado"/>
    <n v="33"/>
    <s v="Adulto (26-40)"/>
    <s v="nenhum"/>
    <s v="própria"/>
    <n v="1"/>
    <s v="Func. Público/Qualificado"/>
    <n v="1"/>
    <s v="não"/>
    <s v="sim"/>
    <n v="2"/>
  </r>
  <r>
    <n v="168"/>
    <x v="0"/>
    <s v="&gt;= 0 &lt; 200 $"/>
    <s v="saldo baixo"/>
    <n v="11"/>
    <s v="pgto em dia neste banco (em aberto)"/>
    <s v="moveis e equipamentos"/>
    <n v="1577"/>
    <s v="&gt;= 1000 $"/>
    <s v="Muito alto (&gt;1000$)"/>
    <s v="&lt; 1 ano"/>
    <s v="Iniciante (&lt; 1 ano)"/>
    <n v="4"/>
    <s v="feminino"/>
    <s v="divorciada/casada"/>
    <s v="nenhum"/>
    <n v="1"/>
    <s v="imovel"/>
    <n v="20"/>
    <s v="Jovem (18-25)"/>
    <s v="nenhum"/>
    <s v="própria"/>
    <n v="1"/>
    <s v="Func. Público/Qualificado"/>
    <n v="1"/>
    <s v="não"/>
    <s v="sim"/>
    <n v="1"/>
  </r>
  <r>
    <n v="169"/>
    <x v="0"/>
    <s v="sem conta corrente"/>
    <s v="sem conta no banco"/>
    <n v="24"/>
    <s v="pgto em dia neste banco (em aberto)"/>
    <s v="moveis e equipamentos"/>
    <n v="3972"/>
    <s v="&lt; 100 $"/>
    <s v="Baixo (&lt; 100 $)"/>
    <s v="&lt; 7 anos"/>
    <s v="Estável (4-7 anos)"/>
    <n v="2"/>
    <s v="feminino"/>
    <s v="divorciada/casada"/>
    <s v="nenhum"/>
    <n v="4"/>
    <s v="poupança ou seguro de vida"/>
    <n v="25"/>
    <s v="Adulto (26-40)"/>
    <s v="nenhum"/>
    <s v="aluguel"/>
    <n v="1"/>
    <s v="Func. Público/Qualificado"/>
    <n v="1"/>
    <s v="sim"/>
    <s v="sim"/>
    <n v="1"/>
  </r>
  <r>
    <n v="170"/>
    <x v="1"/>
    <s v="&gt;= 0 &lt; 200 $"/>
    <s v="saldo baixo"/>
    <n v="24"/>
    <s v="conta critica / dividas com terceiros"/>
    <s v="negocios"/>
    <n v="1935"/>
    <s v="&lt; 100 $"/>
    <s v="Baixo (&lt; 100 $)"/>
    <s v="&gt;= 7 anos"/>
    <s v="Muito Estável (&gt; 7 anos)"/>
    <n v="4"/>
    <s v="masculino"/>
    <s v="divorciado"/>
    <s v="nenhum"/>
    <n v="4"/>
    <s v="imovel"/>
    <n v="31"/>
    <s v="Adulto (26-40)"/>
    <s v="nenhum"/>
    <s v="própria"/>
    <n v="2"/>
    <s v="Func. Público/Qualificado"/>
    <n v="1"/>
    <s v="sim"/>
    <s v="sim"/>
    <n v="2"/>
  </r>
  <r>
    <n v="171"/>
    <x v="1"/>
    <s v="&lt; 0 $"/>
    <s v="negativo/devedor"/>
    <n v="15"/>
    <s v="nenhum/pgto em dia"/>
    <s v="carro novo"/>
    <n v="950"/>
    <s v="&lt; 100 $"/>
    <s v="Baixo (&lt; 100 $)"/>
    <s v="&gt;= 7 anos"/>
    <s v="Muito Estável (&gt; 7 anos)"/>
    <n v="4"/>
    <s v="masculino"/>
    <s v="solteiro"/>
    <s v="nenhum"/>
    <n v="3"/>
    <s v="carro ou outros-quitado"/>
    <n v="33"/>
    <s v="Adulto (26-40)"/>
    <s v="nenhum"/>
    <s v="aluguel"/>
    <n v="2"/>
    <s v="Func. Público/Qualificado"/>
    <n v="2"/>
    <s v="não"/>
    <s v="sim"/>
    <n v="2"/>
  </r>
  <r>
    <n v="172"/>
    <x v="0"/>
    <s v="sem conta corrente"/>
    <s v="sem conta no banco"/>
    <n v="12"/>
    <s v="pgto em dia neste banco (em aberto)"/>
    <s v="moveis e equipamentos"/>
    <n v="763"/>
    <s v="&lt; 100 $"/>
    <s v="Baixo (&lt; 100 $)"/>
    <s v="&lt; 4 anos"/>
    <s v="Intermediário (1-4 anos)"/>
    <n v="4"/>
    <s v="feminino"/>
    <s v="divorciada/casada"/>
    <s v="nenhum"/>
    <n v="1"/>
    <s v="imovel"/>
    <n v="26"/>
    <s v="Adulto (26-40)"/>
    <s v="nenhum"/>
    <s v="própria"/>
    <n v="1"/>
    <s v="Func. Público/Qualificado"/>
    <n v="1"/>
    <s v="sim"/>
    <s v="sim"/>
    <n v="1"/>
  </r>
  <r>
    <n v="173"/>
    <x v="1"/>
    <s v="&gt;= 0 &lt; 200 $"/>
    <s v="saldo baixo"/>
    <n v="24"/>
    <s v="pgto em atraso no passado"/>
    <s v="moveis e equipamentos"/>
    <n v="2064"/>
    <s v="&lt; 100 $"/>
    <s v="Baixo (&lt; 100 $)"/>
    <s v="desempregado"/>
    <s v="desempregado"/>
    <n v="3"/>
    <s v="feminino"/>
    <s v="divorciada/casada"/>
    <s v="nenhum"/>
    <n v="2"/>
    <s v="poupança ou seguro de vida"/>
    <n v="34"/>
    <s v="Adulto (26-40)"/>
    <s v="nenhum"/>
    <s v="própria"/>
    <n v="1"/>
    <s v="Executivo/Empresário"/>
    <n v="1"/>
    <s v="sim"/>
    <s v="sim"/>
    <n v="2"/>
  </r>
  <r>
    <n v="174"/>
    <x v="0"/>
    <s v="&gt;= 0 &lt; 200 $"/>
    <s v="saldo baixo"/>
    <n v="8"/>
    <s v="pgto em dia neste banco (em aberto)"/>
    <s v="radio ou televisao"/>
    <n v="1414"/>
    <s v="&lt; 100 $"/>
    <s v="Baixo (&lt; 100 $)"/>
    <s v="&lt; 4 anos"/>
    <s v="Intermediário (1-4 anos)"/>
    <n v="4"/>
    <s v="masculino"/>
    <s v="solteiro"/>
    <s v="garantidor"/>
    <n v="2"/>
    <s v="imovel"/>
    <n v="33"/>
    <s v="Adulto (26-40)"/>
    <s v="nenhum"/>
    <s v="própria"/>
    <n v="1"/>
    <s v="Func. Público/Qualificado"/>
    <n v="1"/>
    <s v="não"/>
    <s v="não"/>
    <n v="1"/>
  </r>
  <r>
    <n v="175"/>
    <x v="1"/>
    <s v="&lt; 0 $"/>
    <s v="negativo/devedor"/>
    <n v="21"/>
    <s v="pgto em atraso no passado"/>
    <s v="educacao"/>
    <n v="3414"/>
    <s v="&lt; 100 $"/>
    <s v="Baixo (&lt; 100 $)"/>
    <s v="&lt; 1 ano"/>
    <s v="Iniciante (&lt; 1 ano)"/>
    <n v="2"/>
    <s v="masculino"/>
    <s v="solteiro"/>
    <s v="nenhum"/>
    <n v="1"/>
    <s v="poupança ou seguro de vida"/>
    <n v="26"/>
    <s v="Adulto (26-40)"/>
    <s v="nenhum"/>
    <s v="própria"/>
    <n v="2"/>
    <s v="Func. Público/Qualificado"/>
    <n v="1"/>
    <s v="não"/>
    <s v="sim"/>
    <n v="2"/>
  </r>
  <r>
    <n v="176"/>
    <x v="1"/>
    <s v="sem conta corrente"/>
    <s v="sem conta no banco"/>
    <n v="30"/>
    <s v="pgto em dia neste banco (quitado)"/>
    <s v="carro usado"/>
    <n v="7485"/>
    <s v="sem poupança"/>
    <s v="sem poupança"/>
    <s v="desempregado"/>
    <s v="desempregado"/>
    <n v="4"/>
    <s v="feminino"/>
    <s v="divorciada/casada"/>
    <s v="nenhum"/>
    <n v="1"/>
    <s v="imovel"/>
    <n v="53"/>
    <s v="Sénior (41-60)"/>
    <s v="banco"/>
    <s v="própria"/>
    <n v="1"/>
    <s v="Executivo/Empresário"/>
    <n v="1"/>
    <s v="sim"/>
    <s v="sim"/>
    <n v="2"/>
  </r>
  <r>
    <n v="177"/>
    <x v="0"/>
    <s v="&lt; 0 $"/>
    <s v="negativo/devedor"/>
    <n v="12"/>
    <s v="pgto em dia neste banco (em aberto)"/>
    <s v="moveis e equipamentos"/>
    <n v="2577"/>
    <s v="&lt; 100 $"/>
    <s v="Baixo (&lt; 100 $)"/>
    <s v="&lt; 4 anos"/>
    <s v="Intermediário (1-4 anos)"/>
    <n v="2"/>
    <s v="masculino"/>
    <s v="divorciado"/>
    <s v="nenhum"/>
    <n v="1"/>
    <s v="carro ou outros-quitado"/>
    <n v="42"/>
    <s v="Sénior (41-60)"/>
    <s v="nenhum"/>
    <s v="própria"/>
    <n v="1"/>
    <s v="Func. Público/Qualificado"/>
    <n v="1"/>
    <s v="não"/>
    <s v="sim"/>
    <n v="1"/>
  </r>
  <r>
    <n v="178"/>
    <x v="0"/>
    <s v="&lt; 0 $"/>
    <s v="negativo/devedor"/>
    <n v="6"/>
    <s v="conta critica / dividas com terceiros"/>
    <s v="radio ou televisao"/>
    <n v="338"/>
    <s v="&gt;= 500 &lt; 1000 $"/>
    <s v="Alto (500-1000 $)"/>
    <s v="&gt;= 7 anos"/>
    <s v="Muito Estável (&gt; 7 anos)"/>
    <n v="4"/>
    <s v="masculino"/>
    <s v="solteiro"/>
    <s v="nenhum"/>
    <n v="4"/>
    <s v="carro ou outros-quitado"/>
    <n v="52"/>
    <s v="Sénior (41-60)"/>
    <s v="nenhum"/>
    <s v="própria"/>
    <n v="2"/>
    <s v="Func. Público/Qualificado"/>
    <n v="1"/>
    <s v="não"/>
    <s v="sim"/>
    <n v="1"/>
  </r>
  <r>
    <n v="179"/>
    <x v="0"/>
    <s v="sem conta corrente"/>
    <s v="sem conta no banco"/>
    <n v="12"/>
    <s v="pgto em dia neste banco (em aberto)"/>
    <s v="radio ou televisao"/>
    <n v="1963"/>
    <s v="&lt; 100 $"/>
    <s v="Baixo (&lt; 100 $)"/>
    <s v="&lt; 7 anos"/>
    <s v="Estável (4-7 anos)"/>
    <n v="4"/>
    <s v="masculino"/>
    <s v="solteiro"/>
    <s v="nenhum"/>
    <n v="2"/>
    <s v="carro ou outros-quitado"/>
    <n v="31"/>
    <s v="Adulto (26-40)"/>
    <s v="nenhum"/>
    <s v="aluguel"/>
    <n v="2"/>
    <s v="Executivo/Empresário"/>
    <n v="2"/>
    <s v="sim"/>
    <s v="sim"/>
    <n v="1"/>
  </r>
  <r>
    <n v="180"/>
    <x v="0"/>
    <s v="&lt; 0 $"/>
    <s v="negativo/devedor"/>
    <n v="21"/>
    <s v="conta critica / dividas com terceiros"/>
    <s v="carro novo"/>
    <n v="571"/>
    <s v="&lt; 100 $"/>
    <s v="Baixo (&lt; 100 $)"/>
    <s v="&gt;= 7 anos"/>
    <s v="Muito Estável (&gt; 7 anos)"/>
    <n v="4"/>
    <s v="masculino"/>
    <s v="solteiro"/>
    <s v="nenhum"/>
    <n v="4"/>
    <s v="imovel"/>
    <n v="65"/>
    <s v="Idoso (60+)"/>
    <s v="nenhum"/>
    <s v="própria"/>
    <n v="2"/>
    <s v="Func. Público/Qualificado"/>
    <n v="1"/>
    <s v="não"/>
    <s v="sim"/>
    <n v="1"/>
  </r>
  <r>
    <n v="181"/>
    <x v="1"/>
    <s v="sem conta corrente"/>
    <s v="sem conta no banco"/>
    <n v="36"/>
    <s v="pgto em atraso no passado"/>
    <s v="negocios"/>
    <n v="9572"/>
    <s v="&lt; 100 $"/>
    <s v="Baixo (&lt; 100 $)"/>
    <s v="&lt; 1 ano"/>
    <s v="Iniciante (&lt; 1 ano)"/>
    <n v="1"/>
    <s v="masculino"/>
    <s v="divorciado"/>
    <s v="nenhum"/>
    <n v="1"/>
    <s v="carro ou outros-quitado"/>
    <n v="28"/>
    <s v="Adulto (26-40)"/>
    <s v="nenhum"/>
    <s v="própria"/>
    <n v="2"/>
    <s v="Func. Público/Qualificado"/>
    <n v="1"/>
    <s v="não"/>
    <s v="sim"/>
    <n v="2"/>
  </r>
  <r>
    <n v="182"/>
    <x v="1"/>
    <s v="&gt;= 0 &lt; 200 $"/>
    <s v="saldo baixo"/>
    <n v="36"/>
    <s v="pgto em atraso no passado"/>
    <s v="negocios"/>
    <n v="4455"/>
    <s v="&lt; 100 $"/>
    <s v="Baixo (&lt; 100 $)"/>
    <s v="&lt; 4 anos"/>
    <s v="Intermediário (1-4 anos)"/>
    <n v="2"/>
    <s v="masculino"/>
    <s v="divorciado"/>
    <s v="nenhum"/>
    <n v="2"/>
    <s v="imovel"/>
    <n v="30"/>
    <s v="Adulto (26-40)"/>
    <s v="loja"/>
    <s v="própria"/>
    <n v="2"/>
    <s v="Executivo/Empresário"/>
    <n v="1"/>
    <s v="sim"/>
    <s v="sim"/>
    <n v="2"/>
  </r>
  <r>
    <n v="183"/>
    <x v="1"/>
    <s v="&lt; 0 $"/>
    <s v="negativo/devedor"/>
    <n v="21"/>
    <s v="pgto em dia neste banco (quitado)"/>
    <s v="carro novo"/>
    <n v="1647"/>
    <s v="sem poupança"/>
    <s v="sem poupança"/>
    <s v="&lt; 4 anos"/>
    <s v="Intermediário (1-4 anos)"/>
    <n v="4"/>
    <s v="masculino"/>
    <s v="solteiro"/>
    <s v="nenhum"/>
    <n v="2"/>
    <s v="poupança ou seguro de vida"/>
    <n v="40"/>
    <s v="Sénior (41-60)"/>
    <s v="nenhum"/>
    <s v="própria"/>
    <n v="2"/>
    <s v="Empregado Comum"/>
    <n v="2"/>
    <s v="não"/>
    <s v="sim"/>
    <n v="2"/>
  </r>
  <r>
    <n v="184"/>
    <x v="0"/>
    <s v="sem conta corrente"/>
    <s v="sem conta no banco"/>
    <n v="24"/>
    <s v="conta critica / dividas com terceiros"/>
    <s v="moveis e equipamentos"/>
    <n v="3777"/>
    <s v="&gt;= 1000 $"/>
    <s v="Muito alto (&gt;1000$)"/>
    <s v="&lt; 4 anos"/>
    <s v="Intermediário (1-4 anos)"/>
    <n v="4"/>
    <s v="masculino"/>
    <s v="solteiro"/>
    <s v="nenhum"/>
    <n v="4"/>
    <s v="imovel"/>
    <n v="50"/>
    <s v="Sénior (41-60)"/>
    <s v="nenhum"/>
    <s v="própria"/>
    <n v="1"/>
    <s v="Func. Público/Qualificado"/>
    <n v="1"/>
    <s v="sim"/>
    <s v="sim"/>
    <n v="1"/>
  </r>
  <r>
    <n v="185"/>
    <x v="1"/>
    <s v="&gt;= 0 &lt; 200 $"/>
    <s v="saldo baixo"/>
    <n v="18"/>
    <s v="conta critica / dividas com terceiros"/>
    <s v="carro novo"/>
    <n v="884"/>
    <s v="&lt; 100 $"/>
    <s v="Baixo (&lt; 100 $)"/>
    <s v="&gt;= 7 anos"/>
    <s v="Muito Estável (&gt; 7 anos)"/>
    <n v="4"/>
    <s v="masculino"/>
    <s v="solteiro"/>
    <s v="nenhum"/>
    <n v="4"/>
    <s v="carro ou outros-quitado"/>
    <n v="36"/>
    <s v="Adulto (26-40)"/>
    <s v="banco"/>
    <s v="própria"/>
    <n v="1"/>
    <s v="Func. Público/Qualificado"/>
    <n v="2"/>
    <s v="sim"/>
    <s v="sim"/>
    <n v="2"/>
  </r>
  <r>
    <n v="186"/>
    <x v="0"/>
    <s v="sem conta corrente"/>
    <s v="sem conta no banco"/>
    <n v="15"/>
    <s v="conta critica / dividas com terceiros"/>
    <s v="radio ou televisao"/>
    <n v="1360"/>
    <s v="&lt; 100 $"/>
    <s v="Baixo (&lt; 100 $)"/>
    <s v="&lt; 4 anos"/>
    <s v="Intermediário (1-4 anos)"/>
    <n v="4"/>
    <s v="masculino"/>
    <s v="solteiro"/>
    <s v="nenhum"/>
    <n v="2"/>
    <s v="poupança ou seguro de vida"/>
    <n v="31"/>
    <s v="Adulto (26-40)"/>
    <s v="nenhum"/>
    <s v="própria"/>
    <n v="2"/>
    <s v="Func. Público/Qualificado"/>
    <n v="1"/>
    <s v="não"/>
    <s v="sim"/>
    <n v="1"/>
  </r>
  <r>
    <n v="187"/>
    <x v="1"/>
    <s v="&gt;= 0 &lt; 200 $"/>
    <s v="saldo baixo"/>
    <n v="9"/>
    <s v="pgto em dia neste banco (quitado)"/>
    <s v="carro usado"/>
    <n v="5129"/>
    <s v="&lt; 100 $"/>
    <s v="Baixo (&lt; 100 $)"/>
    <s v="&gt;= 7 anos"/>
    <s v="Muito Estável (&gt; 7 anos)"/>
    <n v="2"/>
    <s v="feminino"/>
    <s v="divorciada/casada"/>
    <s v="nenhum"/>
    <n v="4"/>
    <s v="sem bens"/>
    <n v="74"/>
    <s v="Idoso (60+)"/>
    <s v="banco"/>
    <s v="gratuita"/>
    <n v="1"/>
    <s v="Executivo/Empresário"/>
    <n v="2"/>
    <s v="sim"/>
    <s v="sim"/>
    <n v="2"/>
  </r>
  <r>
    <n v="188"/>
    <x v="0"/>
    <s v="&gt;= 0 &lt; 200 $"/>
    <s v="saldo baixo"/>
    <n v="16"/>
    <s v="conta critica / dividas com terceiros"/>
    <s v="carro novo"/>
    <n v="1175"/>
    <s v="&lt; 100 $"/>
    <s v="Baixo (&lt; 100 $)"/>
    <s v="desempregado"/>
    <s v="desempregado"/>
    <n v="2"/>
    <s v="masculino"/>
    <s v="solteiro"/>
    <s v="nenhum"/>
    <n v="3"/>
    <s v="carro ou outros-quitado"/>
    <n v="68"/>
    <s v="Idoso (60+)"/>
    <s v="nenhum"/>
    <s v="gratuita"/>
    <n v="3"/>
    <s v="Não qualificado/Desempregado"/>
    <n v="1"/>
    <s v="sim"/>
    <s v="sim"/>
    <n v="1"/>
  </r>
  <r>
    <n v="189"/>
    <x v="1"/>
    <s v="&lt; 0 $"/>
    <s v="negativo/devedor"/>
    <n v="12"/>
    <s v="pgto em dia neste banco (em aberto)"/>
    <s v="radio ou televisao"/>
    <n v="674"/>
    <s v="&gt;= 100 &lt; 500 $"/>
    <s v="Médio (100-500$)"/>
    <s v="&lt; 7 anos"/>
    <s v="Estável (4-7 anos)"/>
    <n v="4"/>
    <s v="masculino"/>
    <s v="casado/viuvo"/>
    <s v="nenhum"/>
    <n v="1"/>
    <s v="poupança ou seguro de vida"/>
    <n v="20"/>
    <s v="Jovem (18-25)"/>
    <s v="nenhum"/>
    <s v="própria"/>
    <n v="1"/>
    <s v="Func. Público/Qualificado"/>
    <n v="1"/>
    <s v="não"/>
    <s v="sim"/>
    <n v="2"/>
  </r>
  <r>
    <n v="190"/>
    <x v="0"/>
    <s v="&gt;= 0 &lt; 200 $"/>
    <s v="saldo baixo"/>
    <n v="18"/>
    <s v="nenhum/pgto em dia"/>
    <s v="moveis e equipamentos"/>
    <n v="3244"/>
    <s v="&lt; 100 $"/>
    <s v="Baixo (&lt; 100 $)"/>
    <s v="&lt; 4 anos"/>
    <s v="Intermediário (1-4 anos)"/>
    <n v="1"/>
    <s v="feminino"/>
    <s v="divorciada/casada"/>
    <s v="nenhum"/>
    <n v="4"/>
    <s v="carro ou outros-quitado"/>
    <n v="33"/>
    <s v="Adulto (26-40)"/>
    <s v="banco"/>
    <s v="própria"/>
    <n v="2"/>
    <s v="Func. Público/Qualificado"/>
    <n v="1"/>
    <s v="sim"/>
    <s v="sim"/>
    <n v="1"/>
  </r>
  <r>
    <n v="191"/>
    <x v="1"/>
    <s v="sem conta corrente"/>
    <s v="sem conta no banco"/>
    <n v="24"/>
    <s v="pgto em dia neste banco (em aberto)"/>
    <s v="negocios"/>
    <n v="4591"/>
    <s v="&gt;= 1000 $"/>
    <s v="Muito alto (&gt;1000$)"/>
    <s v="&lt; 4 anos"/>
    <s v="Intermediário (1-4 anos)"/>
    <n v="2"/>
    <s v="masculino"/>
    <s v="solteiro"/>
    <s v="nenhum"/>
    <n v="3"/>
    <s v="poupança ou seguro de vida"/>
    <n v="54"/>
    <s v="Sénior (41-60)"/>
    <s v="nenhum"/>
    <s v="própria"/>
    <n v="3"/>
    <s v="Executivo/Empresário"/>
    <n v="1"/>
    <s v="sim"/>
    <s v="sim"/>
    <n v="2"/>
  </r>
  <r>
    <n v="192"/>
    <x v="1"/>
    <s v="&gt;= 0 &lt; 200 $"/>
    <s v="saldo baixo"/>
    <n v="48"/>
    <s v="nenhum/pgto em dia"/>
    <s v="negocios"/>
    <n v="3844"/>
    <s v="&gt;= 100 &lt; 500 $"/>
    <s v="Médio (100-500$)"/>
    <s v="&lt; 7 anos"/>
    <s v="Estável (4-7 anos)"/>
    <n v="4"/>
    <s v="masculino"/>
    <s v="solteiro"/>
    <s v="nenhum"/>
    <n v="4"/>
    <s v="sem bens"/>
    <n v="34"/>
    <s v="Adulto (26-40)"/>
    <s v="nenhum"/>
    <s v="gratuita"/>
    <n v="1"/>
    <s v="Empregado Comum"/>
    <n v="2"/>
    <s v="não"/>
    <s v="sim"/>
    <n v="2"/>
  </r>
  <r>
    <n v="193"/>
    <x v="1"/>
    <s v="&gt;= 0 &lt; 200 $"/>
    <s v="saldo baixo"/>
    <n v="27"/>
    <s v="pgto em dia neste banco (em aberto)"/>
    <s v="negocios"/>
    <n v="3915"/>
    <s v="&lt; 100 $"/>
    <s v="Baixo (&lt; 100 $)"/>
    <s v="&lt; 4 anos"/>
    <s v="Intermediário (1-4 anos)"/>
    <n v="4"/>
    <s v="masculino"/>
    <s v="solteiro"/>
    <s v="nenhum"/>
    <n v="2"/>
    <s v="carro ou outros-quitado"/>
    <n v="36"/>
    <s v="Adulto (26-40)"/>
    <s v="nenhum"/>
    <s v="própria"/>
    <n v="1"/>
    <s v="Func. Público/Qualificado"/>
    <n v="2"/>
    <s v="sim"/>
    <s v="sim"/>
    <n v="2"/>
  </r>
  <r>
    <n v="194"/>
    <x v="0"/>
    <s v="sem conta corrente"/>
    <s v="sem conta no banco"/>
    <n v="6"/>
    <s v="pgto em dia neste banco (em aberto)"/>
    <s v="radio ou televisao"/>
    <n v="2108"/>
    <s v="&lt; 100 $"/>
    <s v="Baixo (&lt; 100 $)"/>
    <s v="&lt; 7 anos"/>
    <s v="Estável (4-7 anos)"/>
    <n v="2"/>
    <s v="masculino"/>
    <s v="casado/viuvo"/>
    <s v="nenhum"/>
    <n v="2"/>
    <s v="imovel"/>
    <n v="29"/>
    <s v="Adulto (26-40)"/>
    <s v="nenhum"/>
    <s v="aluguel"/>
    <n v="1"/>
    <s v="Func. Público/Qualificado"/>
    <n v="1"/>
    <s v="não"/>
    <s v="sim"/>
    <n v="1"/>
  </r>
  <r>
    <n v="195"/>
    <x v="1"/>
    <s v="&gt;= 0 &lt; 200 $"/>
    <s v="saldo baixo"/>
    <n v="45"/>
    <s v="pgto em dia neste banco (em aberto)"/>
    <s v="radio ou televisao"/>
    <n v="3031"/>
    <s v="&gt;= 100 &lt; 500 $"/>
    <s v="Médio (100-500$)"/>
    <s v="&lt; 4 anos"/>
    <s v="Intermediário (1-4 anos)"/>
    <n v="4"/>
    <s v="masculino"/>
    <s v="solteiro"/>
    <s v="garantidor"/>
    <n v="4"/>
    <s v="poupança ou seguro de vida"/>
    <n v="21"/>
    <s v="Jovem (18-25)"/>
    <s v="nenhum"/>
    <s v="aluguel"/>
    <n v="1"/>
    <s v="Func. Público/Qualificado"/>
    <n v="1"/>
    <s v="não"/>
    <s v="sim"/>
    <n v="2"/>
  </r>
  <r>
    <n v="196"/>
    <x v="1"/>
    <s v="&gt;= 0 &lt; 200 $"/>
    <s v="saldo baixo"/>
    <n v="9"/>
    <s v="conta critica / dividas com terceiros"/>
    <s v="educacao"/>
    <n v="1501"/>
    <s v="&lt; 100 $"/>
    <s v="Baixo (&lt; 100 $)"/>
    <s v="&gt;= 7 anos"/>
    <s v="Muito Estável (&gt; 7 anos)"/>
    <n v="2"/>
    <s v="feminino"/>
    <s v="divorciada/casada"/>
    <s v="nenhum"/>
    <n v="3"/>
    <s v="carro ou outros-quitado"/>
    <n v="34"/>
    <s v="Adulto (26-40)"/>
    <s v="nenhum"/>
    <s v="própria"/>
    <n v="2"/>
    <s v="Executivo/Empresário"/>
    <n v="1"/>
    <s v="sim"/>
    <s v="sim"/>
    <n v="2"/>
  </r>
  <r>
    <n v="197"/>
    <x v="0"/>
    <s v="sem conta corrente"/>
    <s v="sem conta no banco"/>
    <n v="6"/>
    <s v="conta critica / dividas com terceiros"/>
    <s v="radio ou televisao"/>
    <n v="1382"/>
    <s v="&lt; 100 $"/>
    <s v="Baixo (&lt; 100 $)"/>
    <s v="&lt; 4 anos"/>
    <s v="Intermediário (1-4 anos)"/>
    <n v="1"/>
    <s v="feminino"/>
    <s v="divorciada/casada"/>
    <s v="nenhum"/>
    <n v="1"/>
    <s v="carro ou outros-quitado"/>
    <n v="28"/>
    <s v="Adulto (26-40)"/>
    <s v="nenhum"/>
    <s v="própria"/>
    <n v="2"/>
    <s v="Func. Público/Qualificado"/>
    <n v="1"/>
    <s v="sim"/>
    <s v="sim"/>
    <n v="1"/>
  </r>
  <r>
    <n v="198"/>
    <x v="1"/>
    <s v="&gt;= 0 &lt; 200 $"/>
    <s v="saldo baixo"/>
    <n v="12"/>
    <s v="pgto em dia neste banco (em aberto)"/>
    <s v="moveis e equipamentos"/>
    <n v="951"/>
    <s v="&gt;= 100 &lt; 500 $"/>
    <s v="Médio (100-500$)"/>
    <s v="&lt; 1 ano"/>
    <s v="Iniciante (&lt; 1 ano)"/>
    <n v="4"/>
    <s v="feminino"/>
    <s v="divorciada/casada"/>
    <s v="nenhum"/>
    <n v="4"/>
    <s v="carro ou outros-quitado"/>
    <n v="27"/>
    <s v="Adulto (26-40)"/>
    <s v="banco"/>
    <s v="aluguel"/>
    <n v="4"/>
    <s v="Func. Público/Qualificado"/>
    <n v="1"/>
    <s v="não"/>
    <s v="sim"/>
    <n v="2"/>
  </r>
  <r>
    <n v="199"/>
    <x v="0"/>
    <s v="&gt;= 0 &lt; 200 $"/>
    <s v="saldo baixo"/>
    <n v="24"/>
    <s v="pgto em dia neste banco (em aberto)"/>
    <s v="carro usado"/>
    <n v="2760"/>
    <s v="sem poupança"/>
    <s v="sem poupança"/>
    <s v="&gt;= 7 anos"/>
    <s v="Muito Estável (&gt; 7 anos)"/>
    <n v="4"/>
    <s v="masculino"/>
    <s v="solteiro"/>
    <s v="nenhum"/>
    <n v="4"/>
    <s v="sem bens"/>
    <n v="36"/>
    <s v="Adulto (26-40)"/>
    <s v="banco"/>
    <s v="gratuita"/>
    <n v="1"/>
    <s v="Func. Público/Qualificado"/>
    <n v="1"/>
    <s v="sim"/>
    <s v="sim"/>
    <n v="1"/>
  </r>
  <r>
    <n v="200"/>
    <x v="1"/>
    <s v="&gt;= 0 &lt; 200 $"/>
    <s v="saldo baixo"/>
    <n v="18"/>
    <s v="pgto em atraso no passado"/>
    <s v="moveis e equipamentos"/>
    <n v="4297"/>
    <s v="&lt; 100 $"/>
    <s v="Baixo (&lt; 100 $)"/>
    <s v="&gt;= 7 anos"/>
    <s v="Muito Estável (&gt; 7 anos)"/>
    <n v="4"/>
    <s v="masculino"/>
    <s v="divorciado"/>
    <s v="nenhum"/>
    <n v="3"/>
    <s v="sem bens"/>
    <n v="40"/>
    <s v="Sénior (41-60)"/>
    <s v="nenhum"/>
    <s v="própria"/>
    <n v="1"/>
    <s v="Executivo/Empresário"/>
    <n v="1"/>
    <s v="sim"/>
    <s v="sim"/>
    <n v="2"/>
  </r>
  <r>
    <n v="201"/>
    <x v="0"/>
    <s v="sem conta corrente"/>
    <s v="sem conta no banco"/>
    <n v="9"/>
    <s v="conta critica / dividas com terceiros"/>
    <s v="educacao"/>
    <n v="936"/>
    <s v="&gt;= 500 &lt; 1000 $"/>
    <s v="Alto (500-1000 $)"/>
    <s v="&gt;= 7 anos"/>
    <s v="Muito Estável (&gt; 7 anos)"/>
    <n v="4"/>
    <s v="masculino"/>
    <s v="solteiro"/>
    <s v="nenhum"/>
    <n v="2"/>
    <s v="carro ou outros-quitado"/>
    <n v="52"/>
    <s v="Sénior (41-60)"/>
    <s v="nenhum"/>
    <s v="própria"/>
    <n v="2"/>
    <s v="Func. Público/Qualificado"/>
    <n v="1"/>
    <s v="sim"/>
    <s v="sim"/>
    <n v="1"/>
  </r>
  <r>
    <n v="202"/>
    <x v="0"/>
    <s v="&lt; 0 $"/>
    <s v="negativo/devedor"/>
    <n v="12"/>
    <s v="pgto em dia neste banco (em aberto)"/>
    <s v="carro novo"/>
    <n v="1168"/>
    <s v="&lt; 100 $"/>
    <s v="Baixo (&lt; 100 $)"/>
    <s v="&lt; 4 anos"/>
    <s v="Intermediário (1-4 anos)"/>
    <n v="4"/>
    <s v="masculino"/>
    <s v="casado/viuvo"/>
    <s v="nenhum"/>
    <n v="3"/>
    <s v="imovel"/>
    <n v="27"/>
    <s v="Adulto (26-40)"/>
    <s v="nenhum"/>
    <s v="própria"/>
    <n v="1"/>
    <s v="Empregado Comum"/>
    <n v="1"/>
    <s v="não"/>
    <s v="sim"/>
    <n v="1"/>
  </r>
  <r>
    <n v="203"/>
    <x v="0"/>
    <s v="sem conta corrente"/>
    <s v="sem conta no banco"/>
    <n v="27"/>
    <s v="pgto em atraso no passado"/>
    <s v="negocios"/>
    <n v="5117"/>
    <s v="&lt; 100 $"/>
    <s v="Baixo (&lt; 100 $)"/>
    <s v="&lt; 7 anos"/>
    <s v="Estável (4-7 anos)"/>
    <n v="3"/>
    <s v="masculino"/>
    <s v="solteiro"/>
    <s v="nenhum"/>
    <n v="4"/>
    <s v="carro ou outros-quitado"/>
    <n v="26"/>
    <s v="Adulto (26-40)"/>
    <s v="nenhum"/>
    <s v="própria"/>
    <n v="2"/>
    <s v="Func. Público/Qualificado"/>
    <n v="1"/>
    <s v="não"/>
    <s v="sim"/>
    <n v="1"/>
  </r>
  <r>
    <n v="204"/>
    <x v="1"/>
    <s v="&lt; 0 $"/>
    <s v="negativo/devedor"/>
    <n v="12"/>
    <s v="pgto em dia neste banco (em aberto)"/>
    <s v="reciclagem profissional"/>
    <n v="902"/>
    <s v="&lt; 100 $"/>
    <s v="Baixo (&lt; 100 $)"/>
    <s v="&lt; 7 anos"/>
    <s v="Estável (4-7 anos)"/>
    <n v="4"/>
    <s v="masculino"/>
    <s v="casado/viuvo"/>
    <s v="nenhum"/>
    <n v="4"/>
    <s v="poupança ou seguro de vida"/>
    <n v="21"/>
    <s v="Jovem (18-25)"/>
    <s v="nenhum"/>
    <s v="aluguel"/>
    <n v="1"/>
    <s v="Func. Público/Qualificado"/>
    <n v="1"/>
    <s v="não"/>
    <s v="sim"/>
    <n v="2"/>
  </r>
  <r>
    <n v="205"/>
    <x v="0"/>
    <s v="sem conta corrente"/>
    <s v="sem conta no banco"/>
    <n v="12"/>
    <s v="conta critica / dividas com terceiros"/>
    <s v="carro novo"/>
    <n v="1495"/>
    <s v="&lt; 100 $"/>
    <s v="Baixo (&lt; 100 $)"/>
    <s v="&gt;= 7 anos"/>
    <s v="Muito Estável (&gt; 7 anos)"/>
    <n v="4"/>
    <s v="masculino"/>
    <s v="solteiro"/>
    <s v="nenhum"/>
    <n v="1"/>
    <s v="imovel"/>
    <n v="38"/>
    <s v="Adulto (26-40)"/>
    <s v="nenhum"/>
    <s v="própria"/>
    <n v="2"/>
    <s v="Empregado Comum"/>
    <n v="2"/>
    <s v="não"/>
    <s v="sim"/>
    <n v="1"/>
  </r>
  <r>
    <n v="206"/>
    <x v="0"/>
    <s v="&lt; 0 $"/>
    <s v="negativo/devedor"/>
    <n v="30"/>
    <s v="conta critica / dividas com terceiros"/>
    <s v="carro usado"/>
    <n v="10623"/>
    <s v="&lt; 100 $"/>
    <s v="Baixo (&lt; 100 $)"/>
    <s v="&gt;= 7 anos"/>
    <s v="Muito Estável (&gt; 7 anos)"/>
    <n v="3"/>
    <s v="masculino"/>
    <s v="solteiro"/>
    <s v="nenhum"/>
    <n v="4"/>
    <s v="sem bens"/>
    <n v="38"/>
    <s v="Adulto (26-40)"/>
    <s v="nenhum"/>
    <s v="gratuita"/>
    <n v="3"/>
    <s v="Executivo/Empresário"/>
    <n v="2"/>
    <s v="sim"/>
    <s v="sim"/>
    <n v="1"/>
  </r>
  <r>
    <n v="207"/>
    <x v="0"/>
    <s v="sem conta corrente"/>
    <s v="sem conta no banco"/>
    <n v="12"/>
    <s v="conta critica / dividas com terceiros"/>
    <s v="moveis e equipamentos"/>
    <n v="1935"/>
    <s v="&lt; 100 $"/>
    <s v="Baixo (&lt; 100 $)"/>
    <s v="&gt;= 7 anos"/>
    <s v="Muito Estável (&gt; 7 anos)"/>
    <n v="4"/>
    <s v="masculino"/>
    <s v="solteiro"/>
    <s v="nenhum"/>
    <n v="4"/>
    <s v="imovel"/>
    <n v="43"/>
    <s v="Sénior (41-60)"/>
    <s v="nenhum"/>
    <s v="própria"/>
    <n v="3"/>
    <s v="Func. Público/Qualificado"/>
    <n v="1"/>
    <s v="sim"/>
    <s v="sim"/>
    <n v="1"/>
  </r>
  <r>
    <n v="208"/>
    <x v="0"/>
    <s v="&gt;= 0 &lt; 200 $"/>
    <s v="saldo baixo"/>
    <n v="12"/>
    <s v="conta critica / dividas com terceiros"/>
    <s v="eletrodomesticos"/>
    <n v="1424"/>
    <s v="&lt; 100 $"/>
    <s v="Baixo (&lt; 100 $)"/>
    <s v="&lt; 7 anos"/>
    <s v="Estável (4-7 anos)"/>
    <n v="4"/>
    <s v="masculino"/>
    <s v="solteiro"/>
    <s v="nenhum"/>
    <n v="3"/>
    <s v="poupança ou seguro de vida"/>
    <n v="26"/>
    <s v="Adulto (26-40)"/>
    <s v="nenhum"/>
    <s v="própria"/>
    <n v="1"/>
    <s v="Func. Público/Qualificado"/>
    <n v="1"/>
    <s v="não"/>
    <s v="sim"/>
    <n v="1"/>
  </r>
  <r>
    <n v="209"/>
    <x v="0"/>
    <s v="&lt; 0 $"/>
    <s v="negativo/devedor"/>
    <n v="24"/>
    <s v="pgto em dia neste banco (em aberto)"/>
    <s v="negocios"/>
    <n v="6568"/>
    <s v="&lt; 100 $"/>
    <s v="Baixo (&lt; 100 $)"/>
    <s v="&lt; 4 anos"/>
    <s v="Intermediário (1-4 anos)"/>
    <n v="2"/>
    <s v="masculino"/>
    <s v="casado/viuvo"/>
    <s v="nenhum"/>
    <n v="2"/>
    <s v="carro ou outros-quitado"/>
    <n v="21"/>
    <s v="Jovem (18-25)"/>
    <s v="loja"/>
    <s v="própria"/>
    <n v="1"/>
    <s v="Empregado Comum"/>
    <n v="1"/>
    <s v="não"/>
    <s v="sim"/>
    <n v="1"/>
  </r>
  <r>
    <n v="210"/>
    <x v="0"/>
    <s v="sem conta corrente"/>
    <s v="sem conta no banco"/>
    <n v="12"/>
    <s v="pgto em dia neste banco (em aberto)"/>
    <s v="carro usado"/>
    <n v="1413"/>
    <s v="&gt;= 1000 $"/>
    <s v="Muito alto (&gt;1000$)"/>
    <s v="&lt; 7 anos"/>
    <s v="Estável (4-7 anos)"/>
    <n v="3"/>
    <s v="masculino"/>
    <s v="solteiro"/>
    <s v="nenhum"/>
    <n v="2"/>
    <s v="poupança ou seguro de vida"/>
    <n v="55"/>
    <s v="Sénior (41-60)"/>
    <s v="nenhum"/>
    <s v="própria"/>
    <n v="1"/>
    <s v="Func. Público/Qualificado"/>
    <n v="1"/>
    <s v="não"/>
    <s v="não"/>
    <n v="1"/>
  </r>
  <r>
    <n v="211"/>
    <x v="0"/>
    <s v="sem conta corrente"/>
    <s v="sem conta no banco"/>
    <n v="9"/>
    <s v="conta critica / dividas com terceiros"/>
    <s v="radio ou televisao"/>
    <n v="3074"/>
    <s v="sem poupança"/>
    <s v="sem poupança"/>
    <s v="&lt; 4 anos"/>
    <s v="Intermediário (1-4 anos)"/>
    <n v="1"/>
    <s v="masculino"/>
    <s v="solteiro"/>
    <s v="nenhum"/>
    <n v="2"/>
    <s v="imovel"/>
    <n v="33"/>
    <s v="Adulto (26-40)"/>
    <s v="nenhum"/>
    <s v="própria"/>
    <n v="2"/>
    <s v="Func. Público/Qualificado"/>
    <n v="2"/>
    <s v="não"/>
    <s v="sim"/>
    <n v="1"/>
  </r>
  <r>
    <n v="212"/>
    <x v="0"/>
    <s v="sem conta corrente"/>
    <s v="sem conta no banco"/>
    <n v="36"/>
    <s v="pgto em dia neste banco (em aberto)"/>
    <s v="radio ou televisao"/>
    <n v="3835"/>
    <s v="sem poupança"/>
    <s v="sem poupança"/>
    <s v="&gt;= 7 anos"/>
    <s v="Muito Estável (&gt; 7 anos)"/>
    <n v="2"/>
    <s v="feminino"/>
    <s v="divorciada/casada"/>
    <s v="nenhum"/>
    <n v="4"/>
    <s v="imovel"/>
    <n v="45"/>
    <s v="Sénior (41-60)"/>
    <s v="nenhum"/>
    <s v="própria"/>
    <n v="1"/>
    <s v="Empregado Comum"/>
    <n v="1"/>
    <s v="sim"/>
    <s v="sim"/>
    <n v="1"/>
  </r>
  <r>
    <n v="213"/>
    <x v="1"/>
    <s v="&lt; 0 $"/>
    <s v="negativo/devedor"/>
    <n v="27"/>
    <s v="nenhum/pgto em dia"/>
    <s v="negocios"/>
    <n v="5293"/>
    <s v="&lt; 100 $"/>
    <s v="Baixo (&lt; 100 $)"/>
    <s v="desempregado"/>
    <s v="desempregado"/>
    <n v="2"/>
    <s v="masculino"/>
    <s v="solteiro"/>
    <s v="nenhum"/>
    <n v="4"/>
    <s v="poupança ou seguro de vida"/>
    <n v="50"/>
    <s v="Sénior (41-60)"/>
    <s v="loja"/>
    <s v="própria"/>
    <n v="2"/>
    <s v="Func. Público/Qualificado"/>
    <n v="1"/>
    <s v="sim"/>
    <s v="sim"/>
    <n v="2"/>
  </r>
  <r>
    <n v="214"/>
    <x v="1"/>
    <s v="&gt;= 200 $"/>
    <s v="saldo saudável"/>
    <n v="30"/>
    <s v="pgto em atraso no passado"/>
    <s v="negocios"/>
    <n v="1908"/>
    <s v="&lt; 100 $"/>
    <s v="Baixo (&lt; 100 $)"/>
    <s v="&gt;= 7 anos"/>
    <s v="Muito Estável (&gt; 7 anos)"/>
    <n v="4"/>
    <s v="masculino"/>
    <s v="solteiro"/>
    <s v="nenhum"/>
    <n v="4"/>
    <s v="imovel"/>
    <n v="66"/>
    <s v="Idoso (60+)"/>
    <s v="nenhum"/>
    <s v="própria"/>
    <n v="1"/>
    <s v="Executivo/Empresário"/>
    <n v="1"/>
    <s v="sim"/>
    <s v="sim"/>
    <n v="2"/>
  </r>
  <r>
    <n v="215"/>
    <x v="0"/>
    <s v="sem conta corrente"/>
    <s v="sem conta no banco"/>
    <n v="36"/>
    <s v="conta critica / dividas com terceiros"/>
    <s v="radio ou televisao"/>
    <n v="3342"/>
    <s v="sem poupança"/>
    <s v="sem poupança"/>
    <s v="&gt;= 7 anos"/>
    <s v="Muito Estável (&gt; 7 anos)"/>
    <n v="4"/>
    <s v="masculino"/>
    <s v="solteiro"/>
    <s v="nenhum"/>
    <n v="2"/>
    <s v="carro ou outros-quitado"/>
    <n v="51"/>
    <s v="Sénior (41-60)"/>
    <s v="nenhum"/>
    <s v="própria"/>
    <n v="1"/>
    <s v="Func. Público/Qualificado"/>
    <n v="1"/>
    <s v="sim"/>
    <s v="sim"/>
    <n v="1"/>
  </r>
  <r>
    <n v="216"/>
    <x v="0"/>
    <s v="&gt;= 0 &lt; 200 $"/>
    <s v="saldo baixo"/>
    <n v="6"/>
    <s v="conta critica / dividas com terceiros"/>
    <s v="reciclagem profissional"/>
    <n v="932"/>
    <s v="sem poupança"/>
    <s v="sem poupança"/>
    <s v="&lt; 7 anos"/>
    <s v="Estável (4-7 anos)"/>
    <n v="1"/>
    <s v="feminino"/>
    <s v="divorciada/casada"/>
    <s v="nenhum"/>
    <n v="3"/>
    <s v="poupança ou seguro de vida"/>
    <n v="39"/>
    <s v="Adulto (26-40)"/>
    <s v="nenhum"/>
    <s v="própria"/>
    <n v="2"/>
    <s v="Empregado Comum"/>
    <n v="1"/>
    <s v="não"/>
    <s v="sim"/>
    <n v="1"/>
  </r>
  <r>
    <n v="217"/>
    <x v="0"/>
    <s v="&lt; 0 $"/>
    <s v="negativo/devedor"/>
    <n v="18"/>
    <s v="nenhum/pgto em dia"/>
    <s v="negocios"/>
    <n v="3104"/>
    <s v="&lt; 100 $"/>
    <s v="Baixo (&lt; 100 $)"/>
    <s v="&lt; 7 anos"/>
    <s v="Estável (4-7 anos)"/>
    <n v="3"/>
    <s v="masculino"/>
    <s v="solteiro"/>
    <s v="nenhum"/>
    <n v="1"/>
    <s v="poupança ou seguro de vida"/>
    <n v="31"/>
    <s v="Adulto (26-40)"/>
    <s v="banco"/>
    <s v="própria"/>
    <n v="1"/>
    <s v="Func. Público/Qualificado"/>
    <n v="1"/>
    <s v="sim"/>
    <s v="sim"/>
    <n v="1"/>
  </r>
  <r>
    <n v="218"/>
    <x v="0"/>
    <s v="&gt;= 200 $"/>
    <s v="saldo saudável"/>
    <n v="36"/>
    <s v="pgto em dia neste banco (em aberto)"/>
    <s v="radio ou televisao"/>
    <n v="3913"/>
    <s v="&lt; 100 $"/>
    <s v="Baixo (&lt; 100 $)"/>
    <s v="&lt; 4 anos"/>
    <s v="Intermediário (1-4 anos)"/>
    <n v="2"/>
    <s v="masculino"/>
    <s v="solteiro"/>
    <s v="nenhum"/>
    <n v="2"/>
    <s v="imovel"/>
    <n v="23"/>
    <s v="Jovem (18-25)"/>
    <s v="nenhum"/>
    <s v="própria"/>
    <n v="1"/>
    <s v="Func. Público/Qualificado"/>
    <n v="1"/>
    <s v="sim"/>
    <s v="sim"/>
    <n v="1"/>
  </r>
  <r>
    <n v="219"/>
    <x v="0"/>
    <s v="&lt; 0 $"/>
    <s v="negativo/devedor"/>
    <n v="24"/>
    <s v="pgto em dia neste banco (em aberto)"/>
    <s v="moveis e equipamentos"/>
    <n v="3021"/>
    <s v="&lt; 100 $"/>
    <s v="Baixo (&lt; 100 $)"/>
    <s v="&lt; 4 anos"/>
    <s v="Intermediário (1-4 anos)"/>
    <n v="2"/>
    <s v="masculino"/>
    <s v="divorciado"/>
    <s v="nenhum"/>
    <n v="2"/>
    <s v="imovel"/>
    <n v="24"/>
    <s v="Jovem (18-25)"/>
    <s v="nenhum"/>
    <s v="aluguel"/>
    <n v="1"/>
    <s v="Empregado Comum"/>
    <n v="1"/>
    <s v="não"/>
    <s v="sim"/>
    <n v="1"/>
  </r>
  <r>
    <n v="220"/>
    <x v="0"/>
    <s v="sem conta corrente"/>
    <s v="sem conta no banco"/>
    <n v="10"/>
    <s v="pgto em dia neste banco (em aberto)"/>
    <s v="carro novo"/>
    <n v="1364"/>
    <s v="&lt; 100 $"/>
    <s v="Baixo (&lt; 100 $)"/>
    <s v="&lt; 4 anos"/>
    <s v="Intermediário (1-4 anos)"/>
    <n v="2"/>
    <s v="feminino"/>
    <s v="divorciada/casada"/>
    <s v="nenhum"/>
    <n v="4"/>
    <s v="carro ou outros-quitado"/>
    <n v="64"/>
    <s v="Idoso (60+)"/>
    <s v="nenhum"/>
    <s v="própria"/>
    <n v="1"/>
    <s v="Func. Público/Qualificado"/>
    <n v="1"/>
    <s v="sim"/>
    <s v="sim"/>
    <n v="1"/>
  </r>
  <r>
    <n v="221"/>
    <x v="0"/>
    <s v="&gt;= 0 &lt; 200 $"/>
    <s v="saldo baixo"/>
    <n v="12"/>
    <s v="pgto em dia neste banco (em aberto)"/>
    <s v="radio ou televisao"/>
    <n v="625"/>
    <s v="&lt; 100 $"/>
    <s v="Baixo (&lt; 100 $)"/>
    <s v="&lt; 1 ano"/>
    <s v="Iniciante (&lt; 1 ano)"/>
    <n v="4"/>
    <s v="masculino"/>
    <s v="casado/viuvo"/>
    <s v="garantidor"/>
    <n v="1"/>
    <s v="imovel"/>
    <n v="26"/>
    <s v="Adulto (26-40)"/>
    <s v="banco"/>
    <s v="própria"/>
    <n v="1"/>
    <s v="Empregado Comum"/>
    <n v="1"/>
    <s v="não"/>
    <s v="sim"/>
    <n v="1"/>
  </r>
  <r>
    <n v="222"/>
    <x v="0"/>
    <s v="&lt; 0 $"/>
    <s v="negativo/devedor"/>
    <n v="12"/>
    <s v="pgto em dia neste banco (em aberto)"/>
    <s v="educacao"/>
    <n v="1200"/>
    <s v="sem poupança"/>
    <s v="sem poupança"/>
    <s v="&lt; 4 anos"/>
    <s v="Intermediário (1-4 anos)"/>
    <n v="4"/>
    <s v="feminino"/>
    <s v="divorciada/casada"/>
    <s v="nenhum"/>
    <n v="4"/>
    <s v="poupança ou seguro de vida"/>
    <n v="23"/>
    <s v="Jovem (18-25)"/>
    <s v="banco"/>
    <s v="aluguel"/>
    <n v="1"/>
    <s v="Func. Público/Qualificado"/>
    <n v="1"/>
    <s v="sim"/>
    <s v="sim"/>
    <n v="1"/>
  </r>
  <r>
    <n v="223"/>
    <x v="0"/>
    <s v="sem conta corrente"/>
    <s v="sem conta no banco"/>
    <n v="12"/>
    <s v="pgto em dia neste banco (em aberto)"/>
    <s v="radio ou televisao"/>
    <n v="707"/>
    <s v="&lt; 100 $"/>
    <s v="Baixo (&lt; 100 $)"/>
    <s v="&lt; 4 anos"/>
    <s v="Intermediário (1-4 anos)"/>
    <n v="4"/>
    <s v="masculino"/>
    <s v="solteiro"/>
    <s v="nenhum"/>
    <n v="2"/>
    <s v="imovel"/>
    <n v="30"/>
    <s v="Adulto (26-40)"/>
    <s v="banco"/>
    <s v="própria"/>
    <n v="2"/>
    <s v="Func. Público/Qualificado"/>
    <n v="1"/>
    <s v="não"/>
    <s v="sim"/>
    <n v="1"/>
  </r>
  <r>
    <n v="224"/>
    <x v="0"/>
    <s v="sem conta corrente"/>
    <s v="sem conta no banco"/>
    <n v="24"/>
    <s v="pgto em atraso no passado"/>
    <s v="negocios"/>
    <n v="2978"/>
    <s v="sem poupança"/>
    <s v="sem poupança"/>
    <s v="&lt; 4 anos"/>
    <s v="Intermediário (1-4 anos)"/>
    <n v="4"/>
    <s v="masculino"/>
    <s v="solteiro"/>
    <s v="nenhum"/>
    <n v="4"/>
    <s v="imovel"/>
    <n v="32"/>
    <s v="Adulto (26-40)"/>
    <s v="nenhum"/>
    <s v="própria"/>
    <n v="2"/>
    <s v="Func. Público/Qualificado"/>
    <n v="2"/>
    <s v="sim"/>
    <s v="sim"/>
    <n v="1"/>
  </r>
  <r>
    <n v="225"/>
    <x v="0"/>
    <s v="sem conta corrente"/>
    <s v="sem conta no banco"/>
    <n v="15"/>
    <s v="pgto em dia neste banco (em aberto)"/>
    <s v="carro usado"/>
    <n v="4657"/>
    <s v="&lt; 100 $"/>
    <s v="Baixo (&lt; 100 $)"/>
    <s v="&lt; 4 anos"/>
    <s v="Intermediário (1-4 anos)"/>
    <n v="3"/>
    <s v="masculino"/>
    <s v="solteiro"/>
    <s v="nenhum"/>
    <n v="2"/>
    <s v="carro ou outros-quitado"/>
    <n v="30"/>
    <s v="Adulto (26-40)"/>
    <s v="nenhum"/>
    <s v="própria"/>
    <n v="1"/>
    <s v="Func. Público/Qualificado"/>
    <n v="1"/>
    <s v="sim"/>
    <s v="sim"/>
    <n v="1"/>
  </r>
  <r>
    <n v="226"/>
    <x v="0"/>
    <s v="sem conta corrente"/>
    <s v="sem conta no banco"/>
    <n v="36"/>
    <s v="nenhum/pgto em dia"/>
    <s v="reparos"/>
    <n v="2613"/>
    <s v="&lt; 100 $"/>
    <s v="Baixo (&lt; 100 $)"/>
    <s v="&lt; 4 anos"/>
    <s v="Intermediário (1-4 anos)"/>
    <n v="4"/>
    <s v="masculino"/>
    <s v="solteiro"/>
    <s v="nenhum"/>
    <n v="2"/>
    <s v="carro ou outros-quitado"/>
    <n v="27"/>
    <s v="Adulto (26-40)"/>
    <s v="nenhum"/>
    <s v="própria"/>
    <n v="2"/>
    <s v="Func. Público/Qualificado"/>
    <n v="1"/>
    <s v="não"/>
    <s v="sim"/>
    <n v="1"/>
  </r>
  <r>
    <n v="227"/>
    <x v="1"/>
    <s v="&gt;= 0 &lt; 200 $"/>
    <s v="saldo baixo"/>
    <n v="48"/>
    <s v="pgto em dia neste banco (em aberto)"/>
    <s v="radio ou televisao"/>
    <n v="10961"/>
    <s v="&gt;= 1000 $"/>
    <s v="Muito alto (&gt;1000$)"/>
    <s v="&lt; 7 anos"/>
    <s v="Estável (4-7 anos)"/>
    <n v="1"/>
    <s v="masculino"/>
    <s v="solteiro"/>
    <s v="codevedor"/>
    <n v="2"/>
    <s v="sem bens"/>
    <n v="27"/>
    <s v="Adulto (26-40)"/>
    <s v="banco"/>
    <s v="própria"/>
    <n v="2"/>
    <s v="Func. Público/Qualificado"/>
    <n v="1"/>
    <s v="sim"/>
    <s v="sim"/>
    <n v="2"/>
  </r>
  <r>
    <n v="228"/>
    <x v="1"/>
    <s v="&lt; 0 $"/>
    <s v="negativo/devedor"/>
    <n v="12"/>
    <s v="pgto em dia neste banco (em aberto)"/>
    <s v="moveis e equipamentos"/>
    <n v="7865"/>
    <s v="&lt; 100 $"/>
    <s v="Baixo (&lt; 100 $)"/>
    <s v="&gt;= 7 anos"/>
    <s v="Muito Estável (&gt; 7 anos)"/>
    <n v="4"/>
    <s v="masculino"/>
    <s v="solteiro"/>
    <s v="nenhum"/>
    <n v="4"/>
    <s v="sem bens"/>
    <n v="53"/>
    <s v="Sénior (41-60)"/>
    <s v="nenhum"/>
    <s v="gratuita"/>
    <n v="1"/>
    <s v="Executivo/Empresário"/>
    <n v="1"/>
    <s v="sim"/>
    <s v="sim"/>
    <n v="2"/>
  </r>
  <r>
    <n v="229"/>
    <x v="1"/>
    <s v="sem conta corrente"/>
    <s v="sem conta no banco"/>
    <n v="9"/>
    <s v="pgto em dia neste banco (em aberto)"/>
    <s v="radio ou televisao"/>
    <n v="1478"/>
    <s v="&lt; 100 $"/>
    <s v="Baixo (&lt; 100 $)"/>
    <s v="&lt; 7 anos"/>
    <s v="Estável (4-7 anos)"/>
    <n v="4"/>
    <s v="masculino"/>
    <s v="solteiro"/>
    <s v="nenhum"/>
    <n v="2"/>
    <s v="carro ou outros-quitado"/>
    <n v="22"/>
    <s v="Jovem (18-25)"/>
    <s v="nenhum"/>
    <s v="própria"/>
    <n v="1"/>
    <s v="Func. Público/Qualificado"/>
    <n v="1"/>
    <s v="não"/>
    <s v="sim"/>
    <n v="2"/>
  </r>
  <r>
    <n v="230"/>
    <x v="0"/>
    <s v="&lt; 0 $"/>
    <s v="negativo/devedor"/>
    <n v="24"/>
    <s v="pgto em dia neste banco (em aberto)"/>
    <s v="moveis e equipamentos"/>
    <n v="3149"/>
    <s v="&lt; 100 $"/>
    <s v="Baixo (&lt; 100 $)"/>
    <s v="&lt; 1 ano"/>
    <s v="Iniciante (&lt; 1 ano)"/>
    <n v="4"/>
    <s v="masculino"/>
    <s v="solteiro"/>
    <s v="nenhum"/>
    <n v="1"/>
    <s v="sem bens"/>
    <n v="22"/>
    <s v="Jovem (18-25)"/>
    <s v="banco"/>
    <s v="gratuita"/>
    <n v="1"/>
    <s v="Func. Público/Qualificado"/>
    <n v="1"/>
    <s v="não"/>
    <s v="sim"/>
    <n v="1"/>
  </r>
  <r>
    <n v="231"/>
    <x v="1"/>
    <s v="&gt;= 200 $"/>
    <s v="saldo saudável"/>
    <n v="36"/>
    <s v="pgto em dia neste banco (em aberto)"/>
    <s v="radio ou televisao"/>
    <n v="4210"/>
    <s v="&lt; 100 $"/>
    <s v="Baixo (&lt; 100 $)"/>
    <s v="&lt; 4 anos"/>
    <s v="Intermediário (1-4 anos)"/>
    <n v="4"/>
    <s v="masculino"/>
    <s v="solteiro"/>
    <s v="nenhum"/>
    <n v="2"/>
    <s v="carro ou outros-quitado"/>
    <n v="26"/>
    <s v="Adulto (26-40)"/>
    <s v="nenhum"/>
    <s v="própria"/>
    <n v="1"/>
    <s v="Func. Público/Qualificado"/>
    <n v="1"/>
    <s v="não"/>
    <s v="sim"/>
    <n v="2"/>
  </r>
  <r>
    <n v="232"/>
    <x v="0"/>
    <s v="sem conta corrente"/>
    <s v="sem conta no banco"/>
    <n v="9"/>
    <s v="pgto em dia neste banco (em aberto)"/>
    <s v="carro novo"/>
    <n v="2507"/>
    <s v="&gt;= 500 &lt; 1000 $"/>
    <s v="Alto (500-1000 $)"/>
    <s v="&gt;= 7 anos"/>
    <s v="Muito Estável (&gt; 7 anos)"/>
    <n v="2"/>
    <s v="masculino"/>
    <s v="solteiro"/>
    <s v="nenhum"/>
    <n v="4"/>
    <s v="sem bens"/>
    <n v="51"/>
    <s v="Sénior (41-60)"/>
    <s v="nenhum"/>
    <s v="gratuita"/>
    <n v="1"/>
    <s v="Empregado Comum"/>
    <n v="1"/>
    <s v="não"/>
    <s v="sim"/>
    <n v="1"/>
  </r>
  <r>
    <n v="233"/>
    <x v="0"/>
    <s v="sem conta corrente"/>
    <s v="sem conta no banco"/>
    <n v="12"/>
    <s v="pgto em dia neste banco (em aberto)"/>
    <s v="radio ou televisao"/>
    <n v="2141"/>
    <s v="&gt;= 100 &lt; 500 $"/>
    <s v="Médio (100-500$)"/>
    <s v="&lt; 7 anos"/>
    <s v="Estável (4-7 anos)"/>
    <n v="3"/>
    <s v="masculino"/>
    <s v="solteiro"/>
    <s v="nenhum"/>
    <n v="1"/>
    <s v="sem bens"/>
    <n v="35"/>
    <s v="Adulto (26-40)"/>
    <s v="nenhum"/>
    <s v="própria"/>
    <n v="1"/>
    <s v="Func. Público/Qualificado"/>
    <n v="1"/>
    <s v="não"/>
    <s v="sim"/>
    <n v="1"/>
  </r>
  <r>
    <n v="234"/>
    <x v="0"/>
    <s v="&gt;= 0 &lt; 200 $"/>
    <s v="saldo baixo"/>
    <n v="18"/>
    <s v="pgto em dia neste banco (em aberto)"/>
    <s v="radio ou televisao"/>
    <n v="866"/>
    <s v="&lt; 100 $"/>
    <s v="Baixo (&lt; 100 $)"/>
    <s v="&lt; 4 anos"/>
    <s v="Intermediário (1-4 anos)"/>
    <n v="4"/>
    <s v="masculino"/>
    <s v="casado/viuvo"/>
    <s v="garantidor"/>
    <n v="2"/>
    <s v="imovel"/>
    <n v="25"/>
    <s v="Adulto (26-40)"/>
    <s v="nenhum"/>
    <s v="própria"/>
    <n v="1"/>
    <s v="Empregado Comum"/>
    <n v="1"/>
    <s v="não"/>
    <s v="sim"/>
    <n v="1"/>
  </r>
  <r>
    <n v="235"/>
    <x v="0"/>
    <s v="sem conta corrente"/>
    <s v="sem conta no banco"/>
    <n v="4"/>
    <s v="conta critica / dividas com terceiros"/>
    <s v="radio ou televisao"/>
    <n v="1544"/>
    <s v="&lt; 100 $"/>
    <s v="Baixo (&lt; 100 $)"/>
    <s v="&lt; 7 anos"/>
    <s v="Estável (4-7 anos)"/>
    <n v="2"/>
    <s v="masculino"/>
    <s v="solteiro"/>
    <s v="nenhum"/>
    <n v="1"/>
    <s v="imovel"/>
    <n v="42"/>
    <s v="Sénior (41-60)"/>
    <s v="nenhum"/>
    <s v="própria"/>
    <n v="3"/>
    <s v="Empregado Comum"/>
    <n v="2"/>
    <s v="não"/>
    <s v="sim"/>
    <n v="1"/>
  </r>
  <r>
    <n v="236"/>
    <x v="1"/>
    <s v="&lt; 0 $"/>
    <s v="negativo/devedor"/>
    <n v="24"/>
    <s v="pgto em dia neste banco (em aberto)"/>
    <s v="radio ou televisao"/>
    <n v="1823"/>
    <s v="&lt; 100 $"/>
    <s v="Baixo (&lt; 100 $)"/>
    <s v="desempregado"/>
    <s v="desempregado"/>
    <n v="4"/>
    <s v="masculino"/>
    <s v="solteiro"/>
    <s v="nenhum"/>
    <n v="2"/>
    <s v="carro ou outros-quitado"/>
    <n v="30"/>
    <s v="Adulto (26-40)"/>
    <s v="loja"/>
    <s v="própria"/>
    <n v="1"/>
    <s v="Executivo/Empresário"/>
    <n v="2"/>
    <s v="não"/>
    <s v="sim"/>
    <n v="2"/>
  </r>
  <r>
    <n v="237"/>
    <x v="1"/>
    <s v="&gt;= 0 &lt; 200 $"/>
    <s v="saldo baixo"/>
    <n v="6"/>
    <s v="pgto em dia neste banco (em aberto)"/>
    <s v="carro novo"/>
    <n v="14555"/>
    <s v="sem poupança"/>
    <s v="sem poupança"/>
    <s v="desempregado"/>
    <s v="desempregado"/>
    <n v="1"/>
    <s v="masculino"/>
    <s v="solteiro"/>
    <s v="nenhum"/>
    <n v="2"/>
    <s v="poupança ou seguro de vida"/>
    <n v="23"/>
    <s v="Jovem (18-25)"/>
    <s v="nenhum"/>
    <s v="própria"/>
    <n v="1"/>
    <s v="Não qualificado/Desempregado"/>
    <n v="1"/>
    <s v="sim"/>
    <s v="sim"/>
    <n v="2"/>
  </r>
  <r>
    <n v="238"/>
    <x v="1"/>
    <s v="&gt;= 0 &lt; 200 $"/>
    <s v="saldo baixo"/>
    <n v="21"/>
    <s v="pgto em dia neste banco (em aberto)"/>
    <s v="negocios"/>
    <n v="2767"/>
    <s v="&gt;= 100 &lt; 500 $"/>
    <s v="Médio (100-500$)"/>
    <s v="&gt;= 7 anos"/>
    <s v="Muito Estável (&gt; 7 anos)"/>
    <n v="4"/>
    <s v="masculino"/>
    <s v="divorciado"/>
    <s v="nenhum"/>
    <n v="2"/>
    <s v="carro ou outros-quitado"/>
    <n v="61"/>
    <s v="Idoso (60+)"/>
    <s v="banco"/>
    <s v="aluguel"/>
    <n v="2"/>
    <s v="Empregado Comum"/>
    <n v="1"/>
    <s v="não"/>
    <s v="sim"/>
    <n v="2"/>
  </r>
  <r>
    <n v="239"/>
    <x v="0"/>
    <s v="sem conta corrente"/>
    <s v="sem conta no banco"/>
    <n v="12"/>
    <s v="conta critica / dividas com terceiros"/>
    <s v="radio ou televisao"/>
    <n v="1291"/>
    <s v="&lt; 100 $"/>
    <s v="Baixo (&lt; 100 $)"/>
    <s v="&lt; 4 anos"/>
    <s v="Intermediário (1-4 anos)"/>
    <n v="4"/>
    <s v="feminino"/>
    <s v="divorciada/casada"/>
    <s v="nenhum"/>
    <n v="2"/>
    <s v="poupança ou seguro de vida"/>
    <n v="35"/>
    <s v="Adulto (26-40)"/>
    <s v="nenhum"/>
    <s v="própria"/>
    <n v="2"/>
    <s v="Func. Público/Qualificado"/>
    <n v="1"/>
    <s v="não"/>
    <s v="sim"/>
    <n v="1"/>
  </r>
  <r>
    <n v="240"/>
    <x v="0"/>
    <s v="&lt; 0 $"/>
    <s v="negativo/devedor"/>
    <n v="30"/>
    <s v="pgto em dia neste banco (em aberto)"/>
    <s v="radio ou televisao"/>
    <n v="2522"/>
    <s v="&lt; 100 $"/>
    <s v="Baixo (&lt; 100 $)"/>
    <s v="&gt;= 7 anos"/>
    <s v="Muito Estável (&gt; 7 anos)"/>
    <n v="1"/>
    <s v="masculino"/>
    <s v="solteiro"/>
    <s v="garantidor"/>
    <n v="3"/>
    <s v="poupança ou seguro de vida"/>
    <n v="39"/>
    <s v="Adulto (26-40)"/>
    <s v="nenhum"/>
    <s v="própria"/>
    <n v="1"/>
    <s v="Func. Público/Qualificado"/>
    <n v="2"/>
    <s v="não"/>
    <s v="sim"/>
    <n v="1"/>
  </r>
  <r>
    <n v="241"/>
    <x v="1"/>
    <s v="&lt; 0 $"/>
    <s v="negativo/devedor"/>
    <n v="24"/>
    <s v="pgto em dia neste banco (em aberto)"/>
    <s v="carro novo"/>
    <n v="915"/>
    <s v="sem poupança"/>
    <s v="sem poupança"/>
    <s v="&gt;= 7 anos"/>
    <s v="Muito Estável (&gt; 7 anos)"/>
    <n v="4"/>
    <s v="feminino"/>
    <s v="divorciada/casada"/>
    <s v="nenhum"/>
    <n v="2"/>
    <s v="carro ou outros-quitado"/>
    <n v="29"/>
    <s v="Adulto (26-40)"/>
    <s v="banco"/>
    <s v="própria"/>
    <n v="1"/>
    <s v="Func. Público/Qualificado"/>
    <n v="1"/>
    <s v="não"/>
    <s v="sim"/>
    <n v="2"/>
  </r>
  <r>
    <n v="242"/>
    <x v="0"/>
    <s v="sem conta corrente"/>
    <s v="sem conta no banco"/>
    <n v="6"/>
    <s v="pgto em dia neste banco (em aberto)"/>
    <s v="radio ou televisao"/>
    <n v="1595"/>
    <s v="&lt; 100 $"/>
    <s v="Baixo (&lt; 100 $)"/>
    <s v="&lt; 7 anos"/>
    <s v="Estável (4-7 anos)"/>
    <n v="3"/>
    <s v="masculino"/>
    <s v="solteiro"/>
    <s v="nenhum"/>
    <n v="2"/>
    <s v="poupança ou seguro de vida"/>
    <n v="51"/>
    <s v="Sénior (41-60)"/>
    <s v="nenhum"/>
    <s v="própria"/>
    <n v="1"/>
    <s v="Func. Público/Qualificado"/>
    <n v="2"/>
    <s v="não"/>
    <s v="sim"/>
    <n v="1"/>
  </r>
  <r>
    <n v="243"/>
    <x v="1"/>
    <s v="&lt; 0 $"/>
    <s v="negativo/devedor"/>
    <n v="48"/>
    <s v="nenhum/pgto em dia"/>
    <s v="carro usado"/>
    <n v="4605"/>
    <s v="&lt; 100 $"/>
    <s v="Baixo (&lt; 100 $)"/>
    <s v="&gt;= 7 anos"/>
    <s v="Muito Estável (&gt; 7 anos)"/>
    <n v="3"/>
    <s v="masculino"/>
    <s v="solteiro"/>
    <s v="nenhum"/>
    <n v="4"/>
    <s v="sem bens"/>
    <n v="24"/>
    <s v="Jovem (18-25)"/>
    <s v="nenhum"/>
    <s v="gratuita"/>
    <n v="2"/>
    <s v="Func. Público/Qualificado"/>
    <n v="2"/>
    <s v="não"/>
    <s v="sim"/>
    <n v="2"/>
  </r>
  <r>
    <n v="244"/>
    <x v="0"/>
    <s v="sem conta corrente"/>
    <s v="sem conta no banco"/>
    <n v="12"/>
    <s v="conta critica / dividas com terceiros"/>
    <s v="negocios"/>
    <n v="1185"/>
    <s v="&lt; 100 $"/>
    <s v="Baixo (&lt; 100 $)"/>
    <s v="&lt; 4 anos"/>
    <s v="Intermediário (1-4 anos)"/>
    <n v="3"/>
    <s v="feminino"/>
    <s v="divorciada/casada"/>
    <s v="nenhum"/>
    <n v="2"/>
    <s v="imovel"/>
    <n v="27"/>
    <s v="Adulto (26-40)"/>
    <s v="nenhum"/>
    <s v="própria"/>
    <n v="2"/>
    <s v="Func. Público/Qualificado"/>
    <n v="1"/>
    <s v="não"/>
    <s v="sim"/>
    <n v="1"/>
  </r>
  <r>
    <n v="245"/>
    <x v="0"/>
    <s v="sem conta corrente"/>
    <s v="sem conta no banco"/>
    <n v="12"/>
    <s v="pgto em dia neste banco (quitado)"/>
    <s v="reciclagem profissional"/>
    <n v="3447"/>
    <s v="&gt;= 500 &lt; 1000 $"/>
    <s v="Alto (500-1000 $)"/>
    <s v="&lt; 4 anos"/>
    <s v="Intermediário (1-4 anos)"/>
    <n v="4"/>
    <s v="feminino"/>
    <s v="divorciada/casada"/>
    <s v="nenhum"/>
    <n v="3"/>
    <s v="imovel"/>
    <n v="35"/>
    <s v="Adulto (26-40)"/>
    <s v="nenhum"/>
    <s v="própria"/>
    <n v="1"/>
    <s v="Empregado Comum"/>
    <n v="2"/>
    <s v="não"/>
    <s v="sim"/>
    <n v="1"/>
  </r>
  <r>
    <n v="246"/>
    <x v="0"/>
    <s v="sem conta corrente"/>
    <s v="sem conta no banco"/>
    <n v="24"/>
    <s v="pgto em dia neste banco (em aberto)"/>
    <s v="negocios"/>
    <n v="1258"/>
    <s v="&lt; 100 $"/>
    <s v="Baixo (&lt; 100 $)"/>
    <s v="&lt; 7 anos"/>
    <s v="Estável (4-7 anos)"/>
    <n v="4"/>
    <s v="masculino"/>
    <s v="solteiro"/>
    <s v="nenhum"/>
    <n v="1"/>
    <s v="imovel"/>
    <n v="25"/>
    <s v="Adulto (26-40)"/>
    <s v="nenhum"/>
    <s v="própria"/>
    <n v="1"/>
    <s v="Func. Público/Qualificado"/>
    <n v="1"/>
    <s v="sim"/>
    <s v="sim"/>
    <n v="1"/>
  </r>
  <r>
    <n v="247"/>
    <x v="0"/>
    <s v="sem conta corrente"/>
    <s v="sem conta no banco"/>
    <n v="12"/>
    <s v="conta critica / dividas com terceiros"/>
    <s v="radio ou televisao"/>
    <n v="717"/>
    <s v="&lt; 100 $"/>
    <s v="Baixo (&lt; 100 $)"/>
    <s v="&gt;= 7 anos"/>
    <s v="Muito Estável (&gt; 7 anos)"/>
    <n v="4"/>
    <s v="masculino"/>
    <s v="solteiro"/>
    <s v="nenhum"/>
    <n v="4"/>
    <s v="imovel"/>
    <n v="52"/>
    <s v="Sénior (41-60)"/>
    <s v="nenhum"/>
    <s v="própria"/>
    <n v="3"/>
    <s v="Func. Público/Qualificado"/>
    <n v="1"/>
    <s v="não"/>
    <s v="sim"/>
    <n v="1"/>
  </r>
  <r>
    <n v="248"/>
    <x v="0"/>
    <s v="sem conta corrente"/>
    <s v="sem conta no banco"/>
    <n v="6"/>
    <s v="nenhum/pgto em dia"/>
    <s v="carro novo"/>
    <n v="1204"/>
    <s v="&gt;= 100 &lt; 500 $"/>
    <s v="Médio (100-500$)"/>
    <s v="&lt; 4 anos"/>
    <s v="Intermediário (1-4 anos)"/>
    <n v="4"/>
    <s v="masculino"/>
    <s v="solteiro"/>
    <s v="nenhum"/>
    <n v="1"/>
    <s v="sem bens"/>
    <n v="35"/>
    <s v="Adulto (26-40)"/>
    <s v="banco"/>
    <s v="aluguel"/>
    <n v="1"/>
    <s v="Func. Público/Qualificado"/>
    <n v="1"/>
    <s v="não"/>
    <s v="não"/>
    <n v="1"/>
  </r>
  <r>
    <n v="249"/>
    <x v="0"/>
    <s v="&gt;= 200 $"/>
    <s v="saldo saudável"/>
    <n v="24"/>
    <s v="pgto em dia neste banco (em aberto)"/>
    <s v="moveis e equipamentos"/>
    <n v="1925"/>
    <s v="&lt; 100 $"/>
    <s v="Baixo (&lt; 100 $)"/>
    <s v="&lt; 4 anos"/>
    <s v="Intermediário (1-4 anos)"/>
    <n v="2"/>
    <s v="masculino"/>
    <s v="solteiro"/>
    <s v="nenhum"/>
    <n v="2"/>
    <s v="imovel"/>
    <n v="26"/>
    <s v="Adulto (26-40)"/>
    <s v="nenhum"/>
    <s v="própria"/>
    <n v="1"/>
    <s v="Func. Público/Qualificado"/>
    <n v="1"/>
    <s v="não"/>
    <s v="sim"/>
    <n v="1"/>
  </r>
  <r>
    <n v="250"/>
    <x v="1"/>
    <s v="sem conta corrente"/>
    <s v="sem conta no banco"/>
    <n v="18"/>
    <s v="pgto em dia neste banco (em aberto)"/>
    <s v="radio ou televisao"/>
    <n v="433"/>
    <s v="&lt; 100 $"/>
    <s v="Baixo (&lt; 100 $)"/>
    <s v="desempregado"/>
    <s v="desempregado"/>
    <n v="3"/>
    <s v="feminino"/>
    <s v="divorciada/casada"/>
    <s v="codevedor"/>
    <n v="4"/>
    <s v="imovel"/>
    <n v="22"/>
    <s v="Jovem (18-25)"/>
    <s v="nenhum"/>
    <s v="aluguel"/>
    <n v="1"/>
    <s v="Func. Público/Qualificado"/>
    <n v="1"/>
    <s v="não"/>
    <s v="sim"/>
    <n v="2"/>
  </r>
  <r>
    <n v="251"/>
    <x v="0"/>
    <s v="&lt; 0 $"/>
    <s v="negativo/devedor"/>
    <n v="6"/>
    <s v="conta critica / dividas com terceiros"/>
    <s v="carro novo"/>
    <n v="666"/>
    <s v="&gt;= 1000 $"/>
    <s v="Muito alto (&gt;1000$)"/>
    <s v="&lt; 7 anos"/>
    <s v="Estável (4-7 anos)"/>
    <n v="3"/>
    <s v="feminino"/>
    <s v="divorciada/casada"/>
    <s v="nenhum"/>
    <n v="4"/>
    <s v="imovel"/>
    <n v="39"/>
    <s v="Adulto (26-40)"/>
    <s v="nenhum"/>
    <s v="própria"/>
    <n v="2"/>
    <s v="Empregado Comum"/>
    <n v="1"/>
    <s v="sim"/>
    <s v="sim"/>
    <n v="1"/>
  </r>
  <r>
    <n v="252"/>
    <x v="0"/>
    <s v="&gt;= 200 $"/>
    <s v="saldo saudável"/>
    <n v="12"/>
    <s v="pgto em dia neste banco (em aberto)"/>
    <s v="moveis e equipamentos"/>
    <n v="2251"/>
    <s v="&lt; 100 $"/>
    <s v="Baixo (&lt; 100 $)"/>
    <s v="&lt; 4 anos"/>
    <s v="Intermediário (1-4 anos)"/>
    <n v="1"/>
    <s v="feminino"/>
    <s v="divorciada/casada"/>
    <s v="nenhum"/>
    <n v="2"/>
    <s v="carro ou outros-quitado"/>
    <n v="46"/>
    <s v="Sénior (41-60)"/>
    <s v="nenhum"/>
    <s v="própria"/>
    <n v="1"/>
    <s v="Empregado Comum"/>
    <n v="1"/>
    <s v="não"/>
    <s v="sim"/>
    <n v="1"/>
  </r>
  <r>
    <n v="253"/>
    <x v="1"/>
    <s v="&gt;= 0 &lt; 200 $"/>
    <s v="saldo baixo"/>
    <n v="30"/>
    <s v="pgto em dia neste banco (em aberto)"/>
    <s v="carro novo"/>
    <n v="2150"/>
    <s v="&lt; 100 $"/>
    <s v="Baixo (&lt; 100 $)"/>
    <s v="&lt; 4 anos"/>
    <s v="Intermediário (1-4 anos)"/>
    <n v="4"/>
    <s v="feminino"/>
    <s v="divorciada/casada"/>
    <s v="garantidor"/>
    <n v="2"/>
    <s v="sem bens"/>
    <n v="24"/>
    <s v="Jovem (18-25)"/>
    <s v="banco"/>
    <s v="própria"/>
    <n v="1"/>
    <s v="Func. Público/Qualificado"/>
    <n v="1"/>
    <s v="não"/>
    <s v="sim"/>
    <n v="2"/>
  </r>
  <r>
    <n v="254"/>
    <x v="0"/>
    <s v="sem conta corrente"/>
    <s v="sem conta no banco"/>
    <n v="24"/>
    <s v="pgto em atraso no passado"/>
    <s v="moveis e equipamentos"/>
    <n v="4151"/>
    <s v="&gt;= 100 &lt; 500 $"/>
    <s v="Médio (100-500$)"/>
    <s v="&lt; 4 anos"/>
    <s v="Intermediário (1-4 anos)"/>
    <n v="2"/>
    <s v="masculino"/>
    <s v="solteiro"/>
    <s v="nenhum"/>
    <n v="3"/>
    <s v="poupança ou seguro de vida"/>
    <n v="35"/>
    <s v="Adulto (26-40)"/>
    <s v="nenhum"/>
    <s v="própria"/>
    <n v="2"/>
    <s v="Func. Público/Qualificado"/>
    <n v="1"/>
    <s v="não"/>
    <s v="sim"/>
    <n v="1"/>
  </r>
  <r>
    <n v="255"/>
    <x v="0"/>
    <s v="&gt;= 0 &lt; 200 $"/>
    <s v="saldo baixo"/>
    <n v="9"/>
    <s v="pgto em dia neste banco (em aberto)"/>
    <s v="moveis e equipamentos"/>
    <n v="2030"/>
    <s v="sem poupança"/>
    <s v="sem poupança"/>
    <s v="&lt; 7 anos"/>
    <s v="Estável (4-7 anos)"/>
    <n v="2"/>
    <s v="masculino"/>
    <s v="solteiro"/>
    <s v="nenhum"/>
    <n v="1"/>
    <s v="carro ou outros-quitado"/>
    <n v="24"/>
    <s v="Jovem (18-25)"/>
    <s v="nenhum"/>
    <s v="própria"/>
    <n v="1"/>
    <s v="Func. Público/Qualificado"/>
    <n v="1"/>
    <s v="sim"/>
    <s v="sim"/>
    <n v="1"/>
  </r>
  <r>
    <n v="256"/>
    <x v="0"/>
    <s v="&gt;= 0 &lt; 200 $"/>
    <s v="saldo baixo"/>
    <n v="60"/>
    <s v="pgto em atraso no passado"/>
    <s v="radio ou televisao"/>
    <n v="7418"/>
    <s v="sem poupança"/>
    <s v="sem poupança"/>
    <s v="&lt; 4 anos"/>
    <s v="Intermediário (1-4 anos)"/>
    <n v="1"/>
    <s v="masculino"/>
    <s v="solteiro"/>
    <s v="nenhum"/>
    <n v="1"/>
    <s v="imovel"/>
    <n v="27"/>
    <s v="Adulto (26-40)"/>
    <s v="nenhum"/>
    <s v="própria"/>
    <n v="1"/>
    <s v="Empregado Comum"/>
    <n v="1"/>
    <s v="não"/>
    <s v="sim"/>
    <n v="1"/>
  </r>
  <r>
    <n v="257"/>
    <x v="0"/>
    <s v="sem conta corrente"/>
    <s v="sem conta no banco"/>
    <n v="24"/>
    <s v="conta critica / dividas com terceiros"/>
    <s v="radio ou televisao"/>
    <n v="2684"/>
    <s v="&lt; 100 $"/>
    <s v="Baixo (&lt; 100 $)"/>
    <s v="&lt; 4 anos"/>
    <s v="Intermediário (1-4 anos)"/>
    <n v="4"/>
    <s v="masculino"/>
    <s v="solteiro"/>
    <s v="nenhum"/>
    <n v="2"/>
    <s v="imovel"/>
    <n v="35"/>
    <s v="Adulto (26-40)"/>
    <s v="nenhum"/>
    <s v="própria"/>
    <n v="2"/>
    <s v="Empregado Comum"/>
    <n v="1"/>
    <s v="não"/>
    <s v="sim"/>
    <n v="1"/>
  </r>
  <r>
    <n v="258"/>
    <x v="1"/>
    <s v="&lt; 0 $"/>
    <s v="negativo/devedor"/>
    <n v="12"/>
    <s v="pgto em dia neste banco (quitado)"/>
    <s v="radio ou televisao"/>
    <n v="2149"/>
    <s v="&lt; 100 $"/>
    <s v="Baixo (&lt; 100 $)"/>
    <s v="&lt; 4 anos"/>
    <s v="Intermediário (1-4 anos)"/>
    <n v="4"/>
    <s v="masculino"/>
    <s v="divorciado"/>
    <s v="nenhum"/>
    <n v="1"/>
    <s v="sem bens"/>
    <n v="29"/>
    <s v="Adulto (26-40)"/>
    <s v="nenhum"/>
    <s v="gratuita"/>
    <n v="1"/>
    <s v="Func. Público/Qualificado"/>
    <n v="1"/>
    <s v="não"/>
    <s v="sim"/>
    <n v="2"/>
  </r>
  <r>
    <n v="259"/>
    <x v="0"/>
    <s v="sem conta corrente"/>
    <s v="sem conta no banco"/>
    <n v="15"/>
    <s v="pgto em dia neste banco (em aberto)"/>
    <s v="carro usado"/>
    <n v="3812"/>
    <s v="&gt;= 100 &lt; 500 $"/>
    <s v="Médio (100-500$)"/>
    <s v="&lt; 1 ano"/>
    <s v="Iniciante (&lt; 1 ano)"/>
    <n v="1"/>
    <s v="feminino"/>
    <s v="divorciada/casada"/>
    <s v="nenhum"/>
    <n v="4"/>
    <s v="carro ou outros-quitado"/>
    <n v="23"/>
    <s v="Jovem (18-25)"/>
    <s v="nenhum"/>
    <s v="própria"/>
    <n v="1"/>
    <s v="Func. Público/Qualificado"/>
    <n v="1"/>
    <s v="sim"/>
    <s v="sim"/>
    <n v="1"/>
  </r>
  <r>
    <n v="260"/>
    <x v="0"/>
    <s v="sem conta corrente"/>
    <s v="sem conta no banco"/>
    <n v="11"/>
    <s v="conta critica / dividas com terceiros"/>
    <s v="radio ou televisao"/>
    <n v="1154"/>
    <s v="&gt;= 100 &lt; 500 $"/>
    <s v="Médio (100-500$)"/>
    <s v="desempregado"/>
    <s v="desempregado"/>
    <n v="4"/>
    <s v="feminino"/>
    <s v="divorciada/casada"/>
    <s v="nenhum"/>
    <n v="4"/>
    <s v="imovel"/>
    <n v="57"/>
    <s v="Sénior (41-60)"/>
    <s v="nenhum"/>
    <s v="própria"/>
    <n v="3"/>
    <s v="Empregado Comum"/>
    <n v="1"/>
    <s v="não"/>
    <s v="sim"/>
    <n v="1"/>
  </r>
  <r>
    <n v="261"/>
    <x v="0"/>
    <s v="&lt; 0 $"/>
    <s v="negativo/devedor"/>
    <n v="12"/>
    <s v="pgto em dia neste banco (em aberto)"/>
    <s v="moveis e equipamentos"/>
    <n v="1657"/>
    <s v="&lt; 100 $"/>
    <s v="Baixo (&lt; 100 $)"/>
    <s v="&lt; 4 anos"/>
    <s v="Intermediário (1-4 anos)"/>
    <n v="2"/>
    <s v="masculino"/>
    <s v="solteiro"/>
    <s v="nenhum"/>
    <n v="2"/>
    <s v="imovel"/>
    <n v="27"/>
    <s v="Adulto (26-40)"/>
    <s v="nenhum"/>
    <s v="própria"/>
    <n v="1"/>
    <s v="Func. Público/Qualificado"/>
    <n v="1"/>
    <s v="não"/>
    <s v="sim"/>
    <n v="1"/>
  </r>
  <r>
    <n v="262"/>
    <x v="0"/>
    <s v="&lt; 0 $"/>
    <s v="negativo/devedor"/>
    <n v="24"/>
    <s v="pgto em dia neste banco (em aberto)"/>
    <s v="radio ou televisao"/>
    <n v="1603"/>
    <s v="&lt; 100 $"/>
    <s v="Baixo (&lt; 100 $)"/>
    <s v="&gt;= 7 anos"/>
    <s v="Muito Estável (&gt; 7 anos)"/>
    <n v="4"/>
    <s v="feminino"/>
    <s v="divorciada/casada"/>
    <s v="nenhum"/>
    <n v="4"/>
    <s v="carro ou outros-quitado"/>
    <n v="55"/>
    <s v="Sénior (41-60)"/>
    <s v="nenhum"/>
    <s v="própria"/>
    <n v="1"/>
    <s v="Func. Público/Qualificado"/>
    <n v="1"/>
    <s v="não"/>
    <s v="sim"/>
    <n v="1"/>
  </r>
  <r>
    <n v="263"/>
    <x v="0"/>
    <s v="&lt; 0 $"/>
    <s v="negativo/devedor"/>
    <n v="18"/>
    <s v="conta critica / dividas com terceiros"/>
    <s v="carro novo"/>
    <n v="5302"/>
    <s v="&lt; 100 $"/>
    <s v="Baixo (&lt; 100 $)"/>
    <s v="&gt;= 7 anos"/>
    <s v="Muito Estável (&gt; 7 anos)"/>
    <n v="2"/>
    <s v="masculino"/>
    <s v="solteiro"/>
    <s v="nenhum"/>
    <n v="4"/>
    <s v="sem bens"/>
    <n v="36"/>
    <s v="Adulto (26-40)"/>
    <s v="nenhum"/>
    <s v="gratuita"/>
    <n v="3"/>
    <s v="Executivo/Empresário"/>
    <n v="1"/>
    <s v="sim"/>
    <s v="sim"/>
    <n v="1"/>
  </r>
  <r>
    <n v="264"/>
    <x v="0"/>
    <s v="sem conta corrente"/>
    <s v="sem conta no banco"/>
    <n v="12"/>
    <s v="conta critica / dividas com terceiros"/>
    <s v="educacao"/>
    <n v="2748"/>
    <s v="&lt; 100 $"/>
    <s v="Baixo (&lt; 100 $)"/>
    <s v="&gt;= 7 anos"/>
    <s v="Muito Estável (&gt; 7 anos)"/>
    <n v="2"/>
    <s v="feminino"/>
    <s v="divorciada/casada"/>
    <s v="nenhum"/>
    <n v="4"/>
    <s v="sem bens"/>
    <n v="57"/>
    <s v="Sénior (41-60)"/>
    <s v="banco"/>
    <s v="gratuita"/>
    <n v="3"/>
    <s v="Empregado Comum"/>
    <n v="1"/>
    <s v="não"/>
    <s v="sim"/>
    <n v="1"/>
  </r>
  <r>
    <n v="265"/>
    <x v="0"/>
    <s v="sem conta corrente"/>
    <s v="sem conta no banco"/>
    <n v="10"/>
    <s v="conta critica / dividas com terceiros"/>
    <s v="carro novo"/>
    <n v="1231"/>
    <s v="&lt; 100 $"/>
    <s v="Baixo (&lt; 100 $)"/>
    <s v="&gt;= 7 anos"/>
    <s v="Muito Estável (&gt; 7 anos)"/>
    <n v="3"/>
    <s v="masculino"/>
    <s v="solteiro"/>
    <s v="nenhum"/>
    <n v="4"/>
    <s v="imovel"/>
    <n v="32"/>
    <s v="Adulto (26-40)"/>
    <s v="nenhum"/>
    <s v="própria"/>
    <n v="2"/>
    <s v="Empregado Comum"/>
    <n v="2"/>
    <s v="não"/>
    <s v="não"/>
    <n v="1"/>
  </r>
  <r>
    <n v="266"/>
    <x v="1"/>
    <s v="&gt;= 0 &lt; 200 $"/>
    <s v="saldo baixo"/>
    <n v="15"/>
    <s v="pgto em dia neste banco (em aberto)"/>
    <s v="radio ou televisao"/>
    <n v="802"/>
    <s v="&lt; 100 $"/>
    <s v="Baixo (&lt; 100 $)"/>
    <s v="&gt;= 7 anos"/>
    <s v="Muito Estável (&gt; 7 anos)"/>
    <n v="4"/>
    <s v="masculino"/>
    <s v="solteiro"/>
    <s v="nenhum"/>
    <n v="3"/>
    <s v="carro ou outros-quitado"/>
    <n v="37"/>
    <s v="Adulto (26-40)"/>
    <s v="nenhum"/>
    <s v="própria"/>
    <n v="1"/>
    <s v="Func. Público/Qualificado"/>
    <n v="2"/>
    <s v="não"/>
    <s v="sim"/>
    <n v="2"/>
  </r>
  <r>
    <n v="267"/>
    <x v="0"/>
    <s v="sem conta corrente"/>
    <s v="sem conta no banco"/>
    <n v="36"/>
    <s v="conta critica / dividas com terceiros"/>
    <s v="negocios"/>
    <n v="6304"/>
    <s v="sem poupança"/>
    <s v="sem poupança"/>
    <s v="&gt;= 7 anos"/>
    <s v="Muito Estável (&gt; 7 anos)"/>
    <n v="4"/>
    <s v="masculino"/>
    <s v="solteiro"/>
    <s v="nenhum"/>
    <n v="4"/>
    <s v="imovel"/>
    <n v="36"/>
    <s v="Adulto (26-40)"/>
    <s v="nenhum"/>
    <s v="própria"/>
    <n v="2"/>
    <s v="Func. Público/Qualificado"/>
    <n v="1"/>
    <s v="não"/>
    <s v="sim"/>
    <n v="1"/>
  </r>
  <r>
    <n v="268"/>
    <x v="0"/>
    <s v="sem conta corrente"/>
    <s v="sem conta no banco"/>
    <n v="24"/>
    <s v="pgto em dia neste banco (em aberto)"/>
    <s v="radio ou televisao"/>
    <n v="1533"/>
    <s v="&lt; 100 $"/>
    <s v="Baixo (&lt; 100 $)"/>
    <s v="&lt; 1 ano"/>
    <s v="Iniciante (&lt; 1 ano)"/>
    <n v="4"/>
    <s v="feminino"/>
    <s v="divorciada/casada"/>
    <s v="nenhum"/>
    <n v="3"/>
    <s v="carro ou outros-quitado"/>
    <n v="38"/>
    <s v="Adulto (26-40)"/>
    <s v="loja"/>
    <s v="própria"/>
    <n v="1"/>
    <s v="Func. Público/Qualificado"/>
    <n v="1"/>
    <s v="sim"/>
    <s v="sim"/>
    <n v="1"/>
  </r>
  <r>
    <n v="269"/>
    <x v="1"/>
    <s v="&lt; 0 $"/>
    <s v="negativo/devedor"/>
    <n v="14"/>
    <s v="pgto em dia neste banco (em aberto)"/>
    <s v="carro novo"/>
    <n v="8978"/>
    <s v="&lt; 100 $"/>
    <s v="Baixo (&lt; 100 $)"/>
    <s v="&gt;= 7 anos"/>
    <s v="Muito Estável (&gt; 7 anos)"/>
    <n v="1"/>
    <s v="masculino"/>
    <s v="divorciado"/>
    <s v="nenhum"/>
    <n v="4"/>
    <s v="poupança ou seguro de vida"/>
    <n v="45"/>
    <s v="Sénior (41-60)"/>
    <s v="nenhum"/>
    <s v="própria"/>
    <n v="1"/>
    <s v="Executivo/Empresário"/>
    <n v="1"/>
    <s v="sim"/>
    <s v="não"/>
    <n v="2"/>
  </r>
  <r>
    <n v="270"/>
    <x v="0"/>
    <s v="sem conta corrente"/>
    <s v="sem conta no banco"/>
    <n v="24"/>
    <s v="pgto em dia neste banco (em aberto)"/>
    <s v="radio ou televisao"/>
    <n v="999"/>
    <s v="sem poupança"/>
    <s v="sem poupança"/>
    <s v="&gt;= 7 anos"/>
    <s v="Muito Estável (&gt; 7 anos)"/>
    <n v="4"/>
    <s v="masculino"/>
    <s v="solteiro"/>
    <s v="nenhum"/>
    <n v="2"/>
    <s v="carro ou outros-quitado"/>
    <n v="25"/>
    <s v="Adulto (26-40)"/>
    <s v="nenhum"/>
    <s v="própria"/>
    <n v="2"/>
    <s v="Func. Público/Qualificado"/>
    <n v="1"/>
    <s v="não"/>
    <s v="sim"/>
    <n v="1"/>
  </r>
  <r>
    <n v="271"/>
    <x v="0"/>
    <s v="sem conta corrente"/>
    <s v="sem conta no banco"/>
    <n v="18"/>
    <s v="pgto em dia neste banco (em aberto)"/>
    <s v="carro novo"/>
    <n v="2662"/>
    <s v="sem poupança"/>
    <s v="sem poupança"/>
    <s v="&lt; 7 anos"/>
    <s v="Estável (4-7 anos)"/>
    <n v="4"/>
    <s v="masculino"/>
    <s v="solteiro"/>
    <s v="nenhum"/>
    <n v="3"/>
    <s v="poupança ou seguro de vida"/>
    <n v="32"/>
    <s v="Adulto (26-40)"/>
    <s v="nenhum"/>
    <s v="própria"/>
    <n v="1"/>
    <s v="Func. Público/Qualificado"/>
    <n v="1"/>
    <s v="não"/>
    <s v="não"/>
    <n v="1"/>
  </r>
  <r>
    <n v="272"/>
    <x v="0"/>
    <s v="sem conta corrente"/>
    <s v="sem conta no banco"/>
    <n v="12"/>
    <s v="conta critica / dividas com terceiros"/>
    <s v="moveis e equipamentos"/>
    <n v="1402"/>
    <s v="&gt;= 500 &lt; 1000 $"/>
    <s v="Alto (500-1000 $)"/>
    <s v="&lt; 7 anos"/>
    <s v="Estável (4-7 anos)"/>
    <n v="3"/>
    <s v="feminino"/>
    <s v="divorciada/casada"/>
    <s v="nenhum"/>
    <n v="4"/>
    <s v="carro ou outros-quitado"/>
    <n v="37"/>
    <s v="Adulto (26-40)"/>
    <s v="nenhum"/>
    <s v="aluguel"/>
    <n v="1"/>
    <s v="Func. Público/Qualificado"/>
    <n v="1"/>
    <s v="sim"/>
    <s v="sim"/>
    <n v="1"/>
  </r>
  <r>
    <n v="273"/>
    <x v="0"/>
    <s v="&gt;= 0 &lt; 200 $"/>
    <s v="saldo baixo"/>
    <n v="48"/>
    <s v="pgto em dia neste banco (quitado)"/>
    <s v="carro novo"/>
    <n v="12169"/>
    <s v="sem poupança"/>
    <s v="sem poupança"/>
    <s v="desempregado"/>
    <s v="desempregado"/>
    <n v="4"/>
    <s v="masculino"/>
    <s v="solteiro"/>
    <s v="codevedor"/>
    <n v="4"/>
    <s v="sem bens"/>
    <n v="36"/>
    <s v="Adulto (26-40)"/>
    <s v="nenhum"/>
    <s v="gratuita"/>
    <n v="1"/>
    <s v="Executivo/Empresário"/>
    <n v="1"/>
    <s v="sim"/>
    <s v="sim"/>
    <n v="1"/>
  </r>
  <r>
    <n v="274"/>
    <x v="1"/>
    <s v="&gt;= 0 &lt; 200 $"/>
    <s v="saldo baixo"/>
    <n v="48"/>
    <s v="pgto em dia neste banco (em aberto)"/>
    <s v="radio ou televisao"/>
    <n v="3060"/>
    <s v="&lt; 100 $"/>
    <s v="Baixo (&lt; 100 $)"/>
    <s v="&lt; 7 anos"/>
    <s v="Estável (4-7 anos)"/>
    <n v="4"/>
    <s v="masculino"/>
    <s v="solteiro"/>
    <s v="nenhum"/>
    <n v="4"/>
    <s v="imovel"/>
    <n v="28"/>
    <s v="Adulto (26-40)"/>
    <s v="nenhum"/>
    <s v="própria"/>
    <n v="2"/>
    <s v="Func. Público/Qualificado"/>
    <n v="1"/>
    <s v="não"/>
    <s v="sim"/>
    <n v="2"/>
  </r>
  <r>
    <n v="275"/>
    <x v="1"/>
    <s v="&lt; 0 $"/>
    <s v="negativo/devedor"/>
    <n v="30"/>
    <s v="pgto em dia neste banco (em aberto)"/>
    <s v="reparos"/>
    <n v="11998"/>
    <s v="&lt; 100 $"/>
    <s v="Baixo (&lt; 100 $)"/>
    <s v="&lt; 1 ano"/>
    <s v="Iniciante (&lt; 1 ano)"/>
    <n v="1"/>
    <s v="masculino"/>
    <s v="divorciado"/>
    <s v="nenhum"/>
    <n v="1"/>
    <s v="sem bens"/>
    <n v="34"/>
    <s v="Adulto (26-40)"/>
    <s v="nenhum"/>
    <s v="própria"/>
    <n v="1"/>
    <s v="Empregado Comum"/>
    <n v="1"/>
    <s v="sim"/>
    <s v="sim"/>
    <n v="2"/>
  </r>
  <r>
    <n v="276"/>
    <x v="0"/>
    <s v="sem conta corrente"/>
    <s v="sem conta no banco"/>
    <n v="9"/>
    <s v="pgto em dia neste banco (em aberto)"/>
    <s v="radio ou televisao"/>
    <n v="2697"/>
    <s v="&lt; 100 $"/>
    <s v="Baixo (&lt; 100 $)"/>
    <s v="&lt; 4 anos"/>
    <s v="Intermediário (1-4 anos)"/>
    <n v="1"/>
    <s v="masculino"/>
    <s v="solteiro"/>
    <s v="nenhum"/>
    <n v="2"/>
    <s v="imovel"/>
    <n v="32"/>
    <s v="Adulto (26-40)"/>
    <s v="nenhum"/>
    <s v="própria"/>
    <n v="1"/>
    <s v="Func. Público/Qualificado"/>
    <n v="2"/>
    <s v="não"/>
    <s v="sim"/>
    <n v="1"/>
  </r>
  <r>
    <n v="277"/>
    <x v="0"/>
    <s v="sem conta corrente"/>
    <s v="sem conta no banco"/>
    <n v="18"/>
    <s v="conta critica / dividas com terceiros"/>
    <s v="radio ou televisao"/>
    <n v="2404"/>
    <s v="&lt; 100 $"/>
    <s v="Baixo (&lt; 100 $)"/>
    <s v="&lt; 4 anos"/>
    <s v="Intermediário (1-4 anos)"/>
    <n v="2"/>
    <s v="feminino"/>
    <s v="divorciada/casada"/>
    <s v="nenhum"/>
    <n v="2"/>
    <s v="carro ou outros-quitado"/>
    <n v="26"/>
    <s v="Adulto (26-40)"/>
    <s v="nenhum"/>
    <s v="própria"/>
    <n v="2"/>
    <s v="Func. Público/Qualificado"/>
    <n v="1"/>
    <s v="não"/>
    <s v="sim"/>
    <n v="1"/>
  </r>
  <r>
    <n v="278"/>
    <x v="0"/>
    <s v="&lt; 0 $"/>
    <s v="negativo/devedor"/>
    <n v="12"/>
    <s v="pgto em dia neste banco (em aberto)"/>
    <s v="moveis e equipamentos"/>
    <n v="1262"/>
    <s v="sem poupança"/>
    <s v="sem poupança"/>
    <s v="&gt;= 7 anos"/>
    <s v="Muito Estável (&gt; 7 anos)"/>
    <n v="2"/>
    <s v="masculino"/>
    <s v="divorciado"/>
    <s v="nenhum"/>
    <n v="4"/>
    <s v="poupança ou seguro de vida"/>
    <n v="49"/>
    <s v="Sénior (41-60)"/>
    <s v="nenhum"/>
    <s v="própria"/>
    <n v="1"/>
    <s v="Empregado Comum"/>
    <n v="1"/>
    <s v="sim"/>
    <s v="sim"/>
    <n v="1"/>
  </r>
  <r>
    <n v="279"/>
    <x v="1"/>
    <s v="sem conta corrente"/>
    <s v="sem conta no banco"/>
    <n v="6"/>
    <s v="pgto em dia neste banco (em aberto)"/>
    <s v="moveis e equipamentos"/>
    <n v="4611"/>
    <s v="&lt; 100 $"/>
    <s v="Baixo (&lt; 100 $)"/>
    <s v="&lt; 1 ano"/>
    <s v="Iniciante (&lt; 1 ano)"/>
    <n v="1"/>
    <s v="feminino"/>
    <s v="divorciada/casada"/>
    <s v="nenhum"/>
    <n v="4"/>
    <s v="poupança ou seguro de vida"/>
    <n v="32"/>
    <s v="Adulto (26-40)"/>
    <s v="nenhum"/>
    <s v="própria"/>
    <n v="1"/>
    <s v="Func. Público/Qualificado"/>
    <n v="1"/>
    <s v="não"/>
    <s v="sim"/>
    <n v="2"/>
  </r>
  <r>
    <n v="280"/>
    <x v="0"/>
    <s v="sem conta corrente"/>
    <s v="sem conta no banco"/>
    <n v="24"/>
    <s v="pgto em dia neste banco (em aberto)"/>
    <s v="radio ou televisao"/>
    <n v="1901"/>
    <s v="&gt;= 100 &lt; 500 $"/>
    <s v="Médio (100-500$)"/>
    <s v="&lt; 4 anos"/>
    <s v="Intermediário (1-4 anos)"/>
    <n v="4"/>
    <s v="masculino"/>
    <s v="solteiro"/>
    <s v="nenhum"/>
    <n v="4"/>
    <s v="carro ou outros-quitado"/>
    <n v="29"/>
    <s v="Adulto (26-40)"/>
    <s v="nenhum"/>
    <s v="aluguel"/>
    <n v="1"/>
    <s v="Executivo/Empresário"/>
    <n v="1"/>
    <s v="sim"/>
    <s v="sim"/>
    <n v="1"/>
  </r>
  <r>
    <n v="281"/>
    <x v="0"/>
    <s v="sem conta corrente"/>
    <s v="sem conta no banco"/>
    <n v="15"/>
    <s v="conta critica / dividas com terceiros"/>
    <s v="carro usado"/>
    <n v="3368"/>
    <s v="&gt;= 1000 $"/>
    <s v="Muito alto (&gt;1000$)"/>
    <s v="&gt;= 7 anos"/>
    <s v="Muito Estável (&gt; 7 anos)"/>
    <n v="3"/>
    <s v="masculino"/>
    <s v="solteiro"/>
    <s v="nenhum"/>
    <n v="4"/>
    <s v="sem bens"/>
    <n v="23"/>
    <s v="Jovem (18-25)"/>
    <s v="nenhum"/>
    <s v="aluguel"/>
    <n v="2"/>
    <s v="Func. Público/Qualificado"/>
    <n v="1"/>
    <s v="sim"/>
    <s v="sim"/>
    <n v="1"/>
  </r>
  <r>
    <n v="282"/>
    <x v="0"/>
    <s v="sem conta corrente"/>
    <s v="sem conta no banco"/>
    <n v="12"/>
    <s v="pgto em dia neste banco (em aberto)"/>
    <s v="moveis e equipamentos"/>
    <n v="1574"/>
    <s v="&lt; 100 $"/>
    <s v="Baixo (&lt; 100 $)"/>
    <s v="&lt; 4 anos"/>
    <s v="Intermediário (1-4 anos)"/>
    <n v="4"/>
    <s v="masculino"/>
    <s v="solteiro"/>
    <s v="nenhum"/>
    <n v="2"/>
    <s v="imovel"/>
    <n v="50"/>
    <s v="Sénior (41-60)"/>
    <s v="nenhum"/>
    <s v="própria"/>
    <n v="1"/>
    <s v="Func. Público/Qualificado"/>
    <n v="1"/>
    <s v="não"/>
    <s v="sim"/>
    <n v="1"/>
  </r>
  <r>
    <n v="283"/>
    <x v="0"/>
    <s v="&gt;= 200 $"/>
    <s v="saldo saudável"/>
    <n v="18"/>
    <s v="pgto em dia neste banco (quitado)"/>
    <s v="radio ou televisao"/>
    <n v="1445"/>
    <s v="sem poupança"/>
    <s v="sem poupança"/>
    <s v="&lt; 7 anos"/>
    <s v="Estável (4-7 anos)"/>
    <n v="4"/>
    <s v="masculino"/>
    <s v="solteiro"/>
    <s v="nenhum"/>
    <n v="4"/>
    <s v="carro ou outros-quitado"/>
    <n v="49"/>
    <s v="Sénior (41-60)"/>
    <s v="banco"/>
    <s v="própria"/>
    <n v="1"/>
    <s v="Empregado Comum"/>
    <n v="1"/>
    <s v="não"/>
    <s v="sim"/>
    <n v="1"/>
  </r>
  <r>
    <n v="284"/>
    <x v="0"/>
    <s v="sem conta corrente"/>
    <s v="sem conta no banco"/>
    <n v="15"/>
    <s v="conta critica / dividas com terceiros"/>
    <s v="moveis e equipamentos"/>
    <n v="1520"/>
    <s v="sem poupança"/>
    <s v="sem poupança"/>
    <s v="&gt;= 7 anos"/>
    <s v="Muito Estável (&gt; 7 anos)"/>
    <n v="4"/>
    <s v="masculino"/>
    <s v="solteiro"/>
    <s v="nenhum"/>
    <n v="4"/>
    <s v="poupança ou seguro de vida"/>
    <n v="63"/>
    <s v="Idoso (60+)"/>
    <s v="nenhum"/>
    <s v="própria"/>
    <n v="1"/>
    <s v="Func. Público/Qualificado"/>
    <n v="1"/>
    <s v="não"/>
    <s v="sim"/>
    <n v="1"/>
  </r>
  <r>
    <n v="285"/>
    <x v="0"/>
    <s v="&gt;= 0 &lt; 200 $"/>
    <s v="saldo baixo"/>
    <n v="24"/>
    <s v="conta critica / dividas com terceiros"/>
    <s v="carro novo"/>
    <n v="3878"/>
    <s v="&gt;= 100 &lt; 500 $"/>
    <s v="Médio (100-500$)"/>
    <s v="&lt; 1 ano"/>
    <s v="Iniciante (&lt; 1 ano)"/>
    <n v="4"/>
    <s v="masculino"/>
    <s v="divorciado"/>
    <s v="nenhum"/>
    <n v="2"/>
    <s v="carro ou outros-quitado"/>
    <n v="37"/>
    <s v="Adulto (26-40)"/>
    <s v="nenhum"/>
    <s v="própria"/>
    <n v="1"/>
    <s v="Func. Público/Qualificado"/>
    <n v="1"/>
    <s v="sim"/>
    <s v="sim"/>
    <n v="1"/>
  </r>
  <r>
    <n v="286"/>
    <x v="0"/>
    <s v="&lt; 0 $"/>
    <s v="negativo/devedor"/>
    <n v="47"/>
    <s v="pgto em dia neste banco (em aberto)"/>
    <s v="carro novo"/>
    <n v="10722"/>
    <s v="&lt; 100 $"/>
    <s v="Baixo (&lt; 100 $)"/>
    <s v="&lt; 1 ano"/>
    <s v="Iniciante (&lt; 1 ano)"/>
    <n v="1"/>
    <s v="feminino"/>
    <s v="divorciada/casada"/>
    <s v="nenhum"/>
    <n v="1"/>
    <s v="imovel"/>
    <n v="35"/>
    <s v="Adulto (26-40)"/>
    <s v="nenhum"/>
    <s v="própria"/>
    <n v="1"/>
    <s v="Empregado Comum"/>
    <n v="1"/>
    <s v="sim"/>
    <s v="sim"/>
    <n v="1"/>
  </r>
  <r>
    <n v="287"/>
    <x v="0"/>
    <s v="&lt; 0 $"/>
    <s v="negativo/devedor"/>
    <n v="48"/>
    <s v="pgto em dia neste banco (em aberto)"/>
    <s v="carro usado"/>
    <n v="4788"/>
    <s v="&lt; 100 $"/>
    <s v="Baixo (&lt; 100 $)"/>
    <s v="&lt; 7 anos"/>
    <s v="Estável (4-7 anos)"/>
    <n v="4"/>
    <s v="masculino"/>
    <s v="solteiro"/>
    <s v="nenhum"/>
    <n v="3"/>
    <s v="poupança ou seguro de vida"/>
    <n v="26"/>
    <s v="Adulto (26-40)"/>
    <s v="nenhum"/>
    <s v="própria"/>
    <n v="1"/>
    <s v="Func. Público/Qualificado"/>
    <n v="2"/>
    <s v="não"/>
    <s v="sim"/>
    <n v="1"/>
  </r>
  <r>
    <n v="288"/>
    <x v="0"/>
    <s v="&gt;= 0 &lt; 200 $"/>
    <s v="saldo baixo"/>
    <n v="48"/>
    <s v="pgto em atraso no passado"/>
    <s v="outros"/>
    <n v="7582"/>
    <s v="&gt;= 100 &lt; 500 $"/>
    <s v="Médio (100-500$)"/>
    <s v="desempregado"/>
    <s v="desempregado"/>
    <n v="2"/>
    <s v="masculino"/>
    <s v="solteiro"/>
    <s v="nenhum"/>
    <n v="4"/>
    <s v="sem bens"/>
    <n v="31"/>
    <s v="Adulto (26-40)"/>
    <s v="nenhum"/>
    <s v="gratuita"/>
    <n v="1"/>
    <s v="Executivo/Empresário"/>
    <n v="1"/>
    <s v="sim"/>
    <s v="sim"/>
    <n v="1"/>
  </r>
  <r>
    <n v="289"/>
    <x v="0"/>
    <s v="&gt;= 0 &lt; 200 $"/>
    <s v="saldo baixo"/>
    <n v="12"/>
    <s v="pgto em dia neste banco (em aberto)"/>
    <s v="radio ou televisao"/>
    <n v="1092"/>
    <s v="&lt; 100 $"/>
    <s v="Baixo (&lt; 100 $)"/>
    <s v="&lt; 4 anos"/>
    <s v="Intermediário (1-4 anos)"/>
    <n v="4"/>
    <s v="feminino"/>
    <s v="divorciada/casada"/>
    <s v="garantidor"/>
    <n v="4"/>
    <s v="imovel"/>
    <n v="49"/>
    <s v="Sénior (41-60)"/>
    <s v="nenhum"/>
    <s v="própria"/>
    <n v="2"/>
    <s v="Func. Público/Qualificado"/>
    <n v="1"/>
    <s v="sim"/>
    <s v="sim"/>
    <n v="1"/>
  </r>
  <r>
    <n v="290"/>
    <x v="1"/>
    <s v="&lt; 0 $"/>
    <s v="negativo/devedor"/>
    <n v="24"/>
    <s v="pgto em atraso no passado"/>
    <s v="radio ou televisao"/>
    <n v="1024"/>
    <s v="&lt; 100 $"/>
    <s v="Baixo (&lt; 100 $)"/>
    <s v="&lt; 1 ano"/>
    <s v="Iniciante (&lt; 1 ano)"/>
    <n v="4"/>
    <s v="masculino"/>
    <s v="casado/viuvo"/>
    <s v="nenhum"/>
    <n v="4"/>
    <s v="imovel"/>
    <n v="48"/>
    <s v="Sénior (41-60)"/>
    <s v="loja"/>
    <s v="própria"/>
    <n v="1"/>
    <s v="Func. Público/Qualificado"/>
    <n v="1"/>
    <s v="não"/>
    <s v="sim"/>
    <n v="2"/>
  </r>
  <r>
    <n v="291"/>
    <x v="0"/>
    <s v="sem conta corrente"/>
    <s v="sem conta no banco"/>
    <n v="12"/>
    <s v="pgto em dia neste banco (em aberto)"/>
    <s v="negocios"/>
    <n v="1076"/>
    <s v="&lt; 100 $"/>
    <s v="Baixo (&lt; 100 $)"/>
    <s v="&lt; 4 anos"/>
    <s v="Intermediário (1-4 anos)"/>
    <n v="2"/>
    <s v="masculino"/>
    <s v="casado/viuvo"/>
    <s v="nenhum"/>
    <n v="2"/>
    <s v="imovel"/>
    <n v="26"/>
    <s v="Adulto (26-40)"/>
    <s v="nenhum"/>
    <s v="própria"/>
    <n v="1"/>
    <s v="Func. Público/Qualificado"/>
    <n v="1"/>
    <s v="sim"/>
    <s v="não"/>
    <n v="1"/>
  </r>
  <r>
    <n v="292"/>
    <x v="1"/>
    <s v="&gt;= 0 &lt; 200 $"/>
    <s v="saldo baixo"/>
    <n v="36"/>
    <s v="pgto em dia neste banco (em aberto)"/>
    <s v="carro usado"/>
    <n v="9398"/>
    <s v="&lt; 100 $"/>
    <s v="Baixo (&lt; 100 $)"/>
    <s v="&lt; 1 ano"/>
    <s v="Iniciante (&lt; 1 ano)"/>
    <n v="1"/>
    <s v="masculino"/>
    <s v="casado/viuvo"/>
    <s v="nenhum"/>
    <n v="4"/>
    <s v="carro ou outros-quitado"/>
    <n v="28"/>
    <s v="Adulto (26-40)"/>
    <s v="nenhum"/>
    <s v="aluguel"/>
    <n v="1"/>
    <s v="Executivo/Empresário"/>
    <n v="1"/>
    <s v="sim"/>
    <s v="sim"/>
    <n v="2"/>
  </r>
  <r>
    <n v="293"/>
    <x v="0"/>
    <s v="&lt; 0 $"/>
    <s v="negativo/devedor"/>
    <n v="24"/>
    <s v="conta critica / dividas com terceiros"/>
    <s v="carro usado"/>
    <n v="6419"/>
    <s v="&lt; 100 $"/>
    <s v="Baixo (&lt; 100 $)"/>
    <s v="&gt;= 7 anos"/>
    <s v="Muito Estável (&gt; 7 anos)"/>
    <n v="2"/>
    <s v="feminino"/>
    <s v="divorciada/casada"/>
    <s v="nenhum"/>
    <n v="4"/>
    <s v="sem bens"/>
    <n v="44"/>
    <s v="Sénior (41-60)"/>
    <s v="nenhum"/>
    <s v="gratuita"/>
    <n v="2"/>
    <s v="Executivo/Empresário"/>
    <n v="2"/>
    <s v="sim"/>
    <s v="sim"/>
    <n v="1"/>
  </r>
  <r>
    <n v="294"/>
    <x v="0"/>
    <s v="&gt;= 200 $"/>
    <s v="saldo saudável"/>
    <n v="42"/>
    <s v="conta critica / dividas com terceiros"/>
    <s v="carro usado"/>
    <n v="4796"/>
    <s v="&lt; 100 $"/>
    <s v="Baixo (&lt; 100 $)"/>
    <s v="&gt;= 7 anos"/>
    <s v="Muito Estável (&gt; 7 anos)"/>
    <n v="4"/>
    <s v="masculino"/>
    <s v="solteiro"/>
    <s v="nenhum"/>
    <n v="4"/>
    <s v="sem bens"/>
    <n v="56"/>
    <s v="Sénior (41-60)"/>
    <s v="nenhum"/>
    <s v="gratuita"/>
    <n v="1"/>
    <s v="Func. Público/Qualificado"/>
    <n v="1"/>
    <s v="não"/>
    <s v="sim"/>
    <n v="1"/>
  </r>
  <r>
    <n v="295"/>
    <x v="0"/>
    <s v="sem conta corrente"/>
    <s v="sem conta no banco"/>
    <n v="48"/>
    <s v="conta critica / dividas com terceiros"/>
    <s v="negocios"/>
    <n v="7629"/>
    <s v="sem poupança"/>
    <s v="sem poupança"/>
    <s v="&gt;= 7 anos"/>
    <s v="Muito Estável (&gt; 7 anos)"/>
    <n v="4"/>
    <s v="masculino"/>
    <s v="divorciado"/>
    <s v="nenhum"/>
    <n v="2"/>
    <s v="carro ou outros-quitado"/>
    <n v="46"/>
    <s v="Sénior (41-60)"/>
    <s v="banco"/>
    <s v="própria"/>
    <n v="2"/>
    <s v="Executivo/Empresário"/>
    <n v="2"/>
    <s v="não"/>
    <s v="sim"/>
    <n v="1"/>
  </r>
  <r>
    <n v="296"/>
    <x v="1"/>
    <s v="&gt;= 0 &lt; 200 $"/>
    <s v="saldo baixo"/>
    <n v="48"/>
    <s v="pgto em dia neste banco (em aberto)"/>
    <s v="moveis e equipamentos"/>
    <n v="9960"/>
    <s v="&lt; 100 $"/>
    <s v="Baixo (&lt; 100 $)"/>
    <s v="&lt; 1 ano"/>
    <s v="Iniciante (&lt; 1 ano)"/>
    <n v="1"/>
    <s v="feminino"/>
    <s v="divorciada/casada"/>
    <s v="nenhum"/>
    <n v="2"/>
    <s v="carro ou outros-quitado"/>
    <n v="26"/>
    <s v="Adulto (26-40)"/>
    <s v="nenhum"/>
    <s v="própria"/>
    <n v="1"/>
    <s v="Func. Público/Qualificado"/>
    <n v="1"/>
    <s v="sim"/>
    <s v="sim"/>
    <n v="2"/>
  </r>
  <r>
    <n v="297"/>
    <x v="0"/>
    <s v="sem conta corrente"/>
    <s v="sem conta no banco"/>
    <n v="12"/>
    <s v="pgto em dia neste banco (em aberto)"/>
    <s v="carro usado"/>
    <n v="4675"/>
    <s v="sem poupança"/>
    <s v="sem poupança"/>
    <s v="&lt; 1 ano"/>
    <s v="Iniciante (&lt; 1 ano)"/>
    <n v="1"/>
    <s v="feminino"/>
    <s v="divorciada/casada"/>
    <s v="nenhum"/>
    <n v="4"/>
    <s v="carro ou outros-quitado"/>
    <n v="20"/>
    <s v="Jovem (18-25)"/>
    <s v="nenhum"/>
    <s v="aluguel"/>
    <n v="1"/>
    <s v="Func. Público/Qualificado"/>
    <n v="1"/>
    <s v="não"/>
    <s v="sim"/>
    <n v="1"/>
  </r>
  <r>
    <n v="298"/>
    <x v="0"/>
    <s v="sem conta corrente"/>
    <s v="sem conta no banco"/>
    <n v="10"/>
    <s v="pgto em dia neste banco (em aberto)"/>
    <s v="carro novo"/>
    <n v="1287"/>
    <s v="sem poupança"/>
    <s v="sem poupança"/>
    <s v="&gt;= 7 anos"/>
    <s v="Muito Estável (&gt; 7 anos)"/>
    <n v="4"/>
    <s v="masculino"/>
    <s v="solteiro"/>
    <s v="codevedor"/>
    <n v="2"/>
    <s v="poupança ou seguro de vida"/>
    <n v="45"/>
    <s v="Sénior (41-60)"/>
    <s v="nenhum"/>
    <s v="própria"/>
    <n v="1"/>
    <s v="Empregado Comum"/>
    <n v="1"/>
    <s v="não"/>
    <s v="não"/>
    <n v="1"/>
  </r>
  <r>
    <n v="299"/>
    <x v="0"/>
    <s v="sem conta corrente"/>
    <s v="sem conta no banco"/>
    <n v="18"/>
    <s v="pgto em dia neste banco (em aberto)"/>
    <s v="moveis e equipamentos"/>
    <n v="2515"/>
    <s v="&lt; 100 $"/>
    <s v="Baixo (&lt; 100 $)"/>
    <s v="&lt; 4 anos"/>
    <s v="Intermediário (1-4 anos)"/>
    <n v="3"/>
    <s v="masculino"/>
    <s v="solteiro"/>
    <s v="nenhum"/>
    <n v="4"/>
    <s v="imovel"/>
    <n v="43"/>
    <s v="Sénior (41-60)"/>
    <s v="nenhum"/>
    <s v="própria"/>
    <n v="1"/>
    <s v="Func. Público/Qualificado"/>
    <n v="1"/>
    <s v="sim"/>
    <s v="sim"/>
    <n v="1"/>
  </r>
  <r>
    <n v="300"/>
    <x v="0"/>
    <s v="&gt;= 0 &lt; 200 $"/>
    <s v="saldo baixo"/>
    <n v="21"/>
    <s v="conta critica / dividas com terceiros"/>
    <s v="moveis e equipamentos"/>
    <n v="2745"/>
    <s v="&gt;= 1000 $"/>
    <s v="Muito alto (&gt;1000$)"/>
    <s v="&lt; 7 anos"/>
    <s v="Estável (4-7 anos)"/>
    <n v="3"/>
    <s v="masculino"/>
    <s v="solteiro"/>
    <s v="nenhum"/>
    <n v="2"/>
    <s v="carro ou outros-quitado"/>
    <n v="32"/>
    <s v="Adulto (26-40)"/>
    <s v="nenhum"/>
    <s v="própria"/>
    <n v="2"/>
    <s v="Func. Público/Qualificado"/>
    <n v="1"/>
    <s v="sim"/>
    <s v="sim"/>
    <n v="1"/>
  </r>
  <r>
    <n v="301"/>
    <x v="0"/>
    <s v="sem conta corrente"/>
    <s v="sem conta no banco"/>
    <n v="6"/>
    <s v="pgto em dia neste banco (em aberto)"/>
    <s v="carro novo"/>
    <n v="672"/>
    <s v="&lt; 100 $"/>
    <s v="Baixo (&lt; 100 $)"/>
    <s v="desempregado"/>
    <s v="desempregado"/>
    <n v="1"/>
    <s v="feminino"/>
    <s v="divorciada/casada"/>
    <s v="nenhum"/>
    <n v="4"/>
    <s v="imovel"/>
    <n v="54"/>
    <s v="Sénior (41-60)"/>
    <s v="nenhum"/>
    <s v="própria"/>
    <n v="1"/>
    <s v="Não qualificado/Desempregado"/>
    <n v="1"/>
    <s v="sim"/>
    <s v="sim"/>
    <n v="1"/>
  </r>
  <r>
    <n v="302"/>
    <x v="1"/>
    <s v="&gt;= 0 &lt; 200 $"/>
    <s v="saldo baixo"/>
    <n v="36"/>
    <s v="nenhum/pgto em dia"/>
    <s v="radio ou televisao"/>
    <n v="3804"/>
    <s v="&lt; 100 $"/>
    <s v="Baixo (&lt; 100 $)"/>
    <s v="&lt; 4 anos"/>
    <s v="Intermediário (1-4 anos)"/>
    <n v="4"/>
    <s v="feminino"/>
    <s v="divorciada/casada"/>
    <s v="nenhum"/>
    <n v="1"/>
    <s v="carro ou outros-quitado"/>
    <n v="42"/>
    <s v="Sénior (41-60)"/>
    <s v="nenhum"/>
    <s v="própria"/>
    <n v="1"/>
    <s v="Func. Público/Qualificado"/>
    <n v="1"/>
    <s v="sim"/>
    <s v="sim"/>
    <n v="2"/>
  </r>
  <r>
    <n v="303"/>
    <x v="1"/>
    <s v="&gt;= 200 $"/>
    <s v="saldo saudável"/>
    <n v="24"/>
    <s v="conta critica / dividas com terceiros"/>
    <s v="carro novo"/>
    <n v="1344"/>
    <s v="sem poupança"/>
    <s v="sem poupança"/>
    <s v="&lt; 7 anos"/>
    <s v="Estável (4-7 anos)"/>
    <n v="4"/>
    <s v="masculino"/>
    <s v="solteiro"/>
    <s v="nenhum"/>
    <n v="2"/>
    <s v="imovel"/>
    <n v="37"/>
    <s v="Adulto (26-40)"/>
    <s v="banco"/>
    <s v="própria"/>
    <n v="2"/>
    <s v="Empregado Comum"/>
    <n v="2"/>
    <s v="não"/>
    <s v="sim"/>
    <n v="2"/>
  </r>
  <r>
    <n v="304"/>
    <x v="0"/>
    <s v="&lt; 0 $"/>
    <s v="negativo/devedor"/>
    <n v="10"/>
    <s v="conta critica / dividas com terceiros"/>
    <s v="carro novo"/>
    <n v="1038"/>
    <s v="&lt; 100 $"/>
    <s v="Baixo (&lt; 100 $)"/>
    <s v="&lt; 7 anos"/>
    <s v="Estável (4-7 anos)"/>
    <n v="4"/>
    <s v="masculino"/>
    <s v="solteiro"/>
    <s v="codevedor"/>
    <n v="3"/>
    <s v="poupança ou seguro de vida"/>
    <n v="49"/>
    <s v="Sénior (41-60)"/>
    <s v="nenhum"/>
    <s v="própria"/>
    <n v="2"/>
    <s v="Func. Público/Qualificado"/>
    <n v="1"/>
    <s v="sim"/>
    <s v="sim"/>
    <n v="1"/>
  </r>
  <r>
    <n v="305"/>
    <x v="1"/>
    <s v="sem conta corrente"/>
    <s v="sem conta no banco"/>
    <n v="48"/>
    <s v="conta critica / dividas com terceiros"/>
    <s v="carro novo"/>
    <n v="10127"/>
    <s v="&gt;= 500 &lt; 1000 $"/>
    <s v="Alto (500-1000 $)"/>
    <s v="&lt; 4 anos"/>
    <s v="Intermediário (1-4 anos)"/>
    <n v="2"/>
    <s v="masculino"/>
    <s v="solteiro"/>
    <s v="nenhum"/>
    <n v="2"/>
    <s v="sem bens"/>
    <n v="44"/>
    <s v="Sénior (41-60)"/>
    <s v="banco"/>
    <s v="gratuita"/>
    <n v="1"/>
    <s v="Func. Público/Qualificado"/>
    <n v="1"/>
    <s v="não"/>
    <s v="sim"/>
    <n v="2"/>
  </r>
  <r>
    <n v="306"/>
    <x v="0"/>
    <s v="sem conta corrente"/>
    <s v="sem conta no banco"/>
    <n v="6"/>
    <s v="pgto em dia neste banco (em aberto)"/>
    <s v="moveis e equipamentos"/>
    <n v="1543"/>
    <s v="&gt;= 1000 $"/>
    <s v="Muito alto (&gt;1000$)"/>
    <s v="&lt; 4 anos"/>
    <s v="Intermediário (1-4 anos)"/>
    <n v="4"/>
    <s v="masculino"/>
    <s v="divorciado"/>
    <s v="nenhum"/>
    <n v="2"/>
    <s v="imovel"/>
    <n v="33"/>
    <s v="Adulto (26-40)"/>
    <s v="nenhum"/>
    <s v="própria"/>
    <n v="1"/>
    <s v="Func. Público/Qualificado"/>
    <n v="1"/>
    <s v="não"/>
    <s v="sim"/>
    <n v="1"/>
  </r>
  <r>
    <n v="307"/>
    <x v="0"/>
    <s v="sem conta corrente"/>
    <s v="sem conta no banco"/>
    <n v="30"/>
    <s v="pgto em dia neste banco (em aberto)"/>
    <s v="carro usado"/>
    <n v="4811"/>
    <s v="sem poupança"/>
    <s v="sem poupança"/>
    <s v="&lt; 7 anos"/>
    <s v="Estável (4-7 anos)"/>
    <n v="2"/>
    <s v="feminino"/>
    <s v="divorciada/casada"/>
    <s v="nenhum"/>
    <n v="4"/>
    <s v="poupança ou seguro de vida"/>
    <n v="24"/>
    <s v="Jovem (18-25)"/>
    <s v="loja"/>
    <s v="aluguel"/>
    <n v="1"/>
    <s v="Empregado Comum"/>
    <n v="1"/>
    <s v="não"/>
    <s v="sim"/>
    <n v="1"/>
  </r>
  <r>
    <n v="308"/>
    <x v="1"/>
    <s v="&lt; 0 $"/>
    <s v="negativo/devedor"/>
    <n v="12"/>
    <s v="pgto em dia neste banco (em aberto)"/>
    <s v="radio ou televisao"/>
    <n v="727"/>
    <s v="&gt;= 100 &lt; 500 $"/>
    <s v="Médio (100-500$)"/>
    <s v="&lt; 1 ano"/>
    <s v="Iniciante (&lt; 1 ano)"/>
    <n v="4"/>
    <s v="masculino"/>
    <s v="casado/viuvo"/>
    <s v="nenhum"/>
    <n v="3"/>
    <s v="sem bens"/>
    <n v="33"/>
    <s v="Adulto (26-40)"/>
    <s v="nenhum"/>
    <s v="própria"/>
    <n v="1"/>
    <s v="Empregado Comum"/>
    <n v="1"/>
    <s v="sim"/>
    <s v="sim"/>
    <n v="2"/>
  </r>
  <r>
    <n v="309"/>
    <x v="1"/>
    <s v="&gt;= 0 &lt; 200 $"/>
    <s v="saldo baixo"/>
    <n v="8"/>
    <s v="pgto em dia neste banco (em aberto)"/>
    <s v="moveis e equipamentos"/>
    <n v="1237"/>
    <s v="&lt; 100 $"/>
    <s v="Baixo (&lt; 100 $)"/>
    <s v="&lt; 4 anos"/>
    <s v="Intermediário (1-4 anos)"/>
    <n v="3"/>
    <s v="feminino"/>
    <s v="divorciada/casada"/>
    <s v="nenhum"/>
    <n v="4"/>
    <s v="imovel"/>
    <n v="24"/>
    <s v="Jovem (18-25)"/>
    <s v="nenhum"/>
    <s v="própria"/>
    <n v="1"/>
    <s v="Func. Público/Qualificado"/>
    <n v="1"/>
    <s v="não"/>
    <s v="sim"/>
    <n v="2"/>
  </r>
  <r>
    <n v="310"/>
    <x v="0"/>
    <s v="&gt;= 0 &lt; 200 $"/>
    <s v="saldo baixo"/>
    <n v="9"/>
    <s v="pgto em dia neste banco (em aberto)"/>
    <s v="carro novo"/>
    <n v="276"/>
    <s v="&lt; 100 $"/>
    <s v="Baixo (&lt; 100 $)"/>
    <s v="&lt; 4 anos"/>
    <s v="Intermediário (1-4 anos)"/>
    <n v="4"/>
    <s v="masculino"/>
    <s v="casado/viuvo"/>
    <s v="nenhum"/>
    <n v="4"/>
    <s v="imovel"/>
    <n v="22"/>
    <s v="Jovem (18-25)"/>
    <s v="nenhum"/>
    <s v="aluguel"/>
    <n v="1"/>
    <s v="Empregado Comum"/>
    <n v="1"/>
    <s v="não"/>
    <s v="sim"/>
    <n v="1"/>
  </r>
  <r>
    <n v="311"/>
    <x v="0"/>
    <s v="&gt;= 0 &lt; 200 $"/>
    <s v="saldo baixo"/>
    <n v="48"/>
    <s v="pgto em dia neste banco (em aberto)"/>
    <s v="outros"/>
    <n v="5381"/>
    <s v="sem poupança"/>
    <s v="sem poupança"/>
    <s v="desempregado"/>
    <s v="desempregado"/>
    <n v="3"/>
    <s v="masculino"/>
    <s v="solteiro"/>
    <s v="nenhum"/>
    <n v="4"/>
    <s v="sem bens"/>
    <n v="40"/>
    <s v="Sénior (41-60)"/>
    <s v="banco"/>
    <s v="gratuita"/>
    <n v="1"/>
    <s v="Não qualificado/Desempregado"/>
    <n v="1"/>
    <s v="sim"/>
    <s v="sim"/>
    <n v="1"/>
  </r>
  <r>
    <n v="312"/>
    <x v="0"/>
    <s v="sem conta corrente"/>
    <s v="sem conta no banco"/>
    <n v="24"/>
    <s v="pgto em dia neste banco (em aberto)"/>
    <s v="moveis e equipamentos"/>
    <n v="5511"/>
    <s v="&gt;= 100 &lt; 500 $"/>
    <s v="Médio (100-500$)"/>
    <s v="&lt; 4 anos"/>
    <s v="Intermediário (1-4 anos)"/>
    <n v="4"/>
    <s v="masculino"/>
    <s v="solteiro"/>
    <s v="nenhum"/>
    <n v="1"/>
    <s v="carro ou outros-quitado"/>
    <n v="25"/>
    <s v="Adulto (26-40)"/>
    <s v="loja"/>
    <s v="própria"/>
    <n v="1"/>
    <s v="Func. Público/Qualificado"/>
    <n v="1"/>
    <s v="não"/>
    <s v="sim"/>
    <n v="1"/>
  </r>
  <r>
    <n v="313"/>
    <x v="0"/>
    <s v="&gt;= 200 $"/>
    <s v="saldo saudável"/>
    <n v="24"/>
    <s v="pgto em dia neste banco (em aberto)"/>
    <s v="moveis e equipamentos"/>
    <n v="3749"/>
    <s v="&lt; 100 $"/>
    <s v="Baixo (&lt; 100 $)"/>
    <s v="&lt; 1 ano"/>
    <s v="Iniciante (&lt; 1 ano)"/>
    <n v="2"/>
    <s v="feminino"/>
    <s v="divorciada/casada"/>
    <s v="nenhum"/>
    <n v="4"/>
    <s v="carro ou outros-quitado"/>
    <n v="26"/>
    <s v="Adulto (26-40)"/>
    <s v="nenhum"/>
    <s v="própria"/>
    <n v="1"/>
    <s v="Func. Público/Qualificado"/>
    <n v="1"/>
    <s v="não"/>
    <s v="sim"/>
    <n v="1"/>
  </r>
  <r>
    <n v="314"/>
    <x v="1"/>
    <s v="&gt;= 0 &lt; 200 $"/>
    <s v="saldo baixo"/>
    <n v="12"/>
    <s v="pgto em dia neste banco (em aberto)"/>
    <s v="carro novo"/>
    <n v="685"/>
    <s v="&lt; 100 $"/>
    <s v="Baixo (&lt; 100 $)"/>
    <s v="&lt; 7 anos"/>
    <s v="Estável (4-7 anos)"/>
    <n v="2"/>
    <s v="masculino"/>
    <s v="casado/viuvo"/>
    <s v="nenhum"/>
    <n v="3"/>
    <s v="carro ou outros-quitado"/>
    <n v="25"/>
    <s v="Adulto (26-40)"/>
    <s v="banco"/>
    <s v="própria"/>
    <n v="1"/>
    <s v="Empregado Comum"/>
    <n v="1"/>
    <s v="não"/>
    <s v="sim"/>
    <n v="2"/>
  </r>
  <r>
    <n v="315"/>
    <x v="0"/>
    <s v="&gt;= 200 $"/>
    <s v="saldo saudável"/>
    <n v="4"/>
    <s v="pgto em dia neste banco (em aberto)"/>
    <s v="carro novo"/>
    <n v="1494"/>
    <s v="sem poupança"/>
    <s v="sem poupança"/>
    <s v="&lt; 1 ano"/>
    <s v="Iniciante (&lt; 1 ano)"/>
    <n v="1"/>
    <s v="masculino"/>
    <s v="solteiro"/>
    <s v="nenhum"/>
    <n v="2"/>
    <s v="imovel"/>
    <n v="29"/>
    <s v="Adulto (26-40)"/>
    <s v="nenhum"/>
    <s v="própria"/>
    <n v="1"/>
    <s v="Empregado Comum"/>
    <n v="2"/>
    <s v="não"/>
    <s v="não"/>
    <n v="1"/>
  </r>
  <r>
    <n v="316"/>
    <x v="1"/>
    <s v="&lt; 0 $"/>
    <s v="negativo/devedor"/>
    <n v="36"/>
    <s v="pgto em dia neste banco (quitado)"/>
    <s v="moveis e equipamentos"/>
    <n v="2746"/>
    <s v="&lt; 100 $"/>
    <s v="Baixo (&lt; 100 $)"/>
    <s v="&gt;= 7 anos"/>
    <s v="Muito Estável (&gt; 7 anos)"/>
    <n v="4"/>
    <s v="masculino"/>
    <s v="solteiro"/>
    <s v="nenhum"/>
    <n v="4"/>
    <s v="carro ou outros-quitado"/>
    <n v="31"/>
    <s v="Adulto (26-40)"/>
    <s v="banco"/>
    <s v="própria"/>
    <n v="1"/>
    <s v="Func. Público/Qualificado"/>
    <n v="1"/>
    <s v="não"/>
    <s v="sim"/>
    <n v="2"/>
  </r>
  <r>
    <n v="317"/>
    <x v="0"/>
    <s v="&lt; 0 $"/>
    <s v="negativo/devedor"/>
    <n v="12"/>
    <s v="pgto em dia neste banco (em aberto)"/>
    <s v="moveis e equipamentos"/>
    <n v="708"/>
    <s v="&lt; 100 $"/>
    <s v="Baixo (&lt; 100 $)"/>
    <s v="&lt; 4 anos"/>
    <s v="Intermediário (1-4 anos)"/>
    <n v="2"/>
    <s v="masculino"/>
    <s v="solteiro"/>
    <s v="garantidor"/>
    <n v="3"/>
    <s v="poupança ou seguro de vida"/>
    <n v="38"/>
    <s v="Adulto (26-40)"/>
    <s v="nenhum"/>
    <s v="própria"/>
    <n v="1"/>
    <s v="Empregado Comum"/>
    <n v="2"/>
    <s v="não"/>
    <s v="sim"/>
    <n v="1"/>
  </r>
  <r>
    <n v="318"/>
    <x v="0"/>
    <s v="&gt;= 0 &lt; 200 $"/>
    <s v="saldo baixo"/>
    <n v="24"/>
    <s v="pgto em dia neste banco (em aberto)"/>
    <s v="moveis e equipamentos"/>
    <n v="4351"/>
    <s v="sem poupança"/>
    <s v="sem poupança"/>
    <s v="&lt; 4 anos"/>
    <s v="Intermediário (1-4 anos)"/>
    <n v="1"/>
    <s v="feminino"/>
    <s v="divorciada/casada"/>
    <s v="nenhum"/>
    <n v="4"/>
    <s v="poupança ou seguro de vida"/>
    <n v="48"/>
    <s v="Sénior (41-60)"/>
    <s v="nenhum"/>
    <s v="própria"/>
    <n v="1"/>
    <s v="Empregado Comum"/>
    <n v="1"/>
    <s v="sim"/>
    <s v="sim"/>
    <n v="1"/>
  </r>
  <r>
    <n v="319"/>
    <x v="0"/>
    <s v="sem conta corrente"/>
    <s v="sem conta no banco"/>
    <n v="12"/>
    <s v="conta critica / dividas com terceiros"/>
    <s v="educacao"/>
    <n v="701"/>
    <s v="&lt; 100 $"/>
    <s v="Baixo (&lt; 100 $)"/>
    <s v="&lt; 4 anos"/>
    <s v="Intermediário (1-4 anos)"/>
    <n v="4"/>
    <s v="masculino"/>
    <s v="solteiro"/>
    <s v="nenhum"/>
    <n v="2"/>
    <s v="carro ou outros-quitado"/>
    <n v="32"/>
    <s v="Adulto (26-40)"/>
    <s v="nenhum"/>
    <s v="própria"/>
    <n v="2"/>
    <s v="Func. Público/Qualificado"/>
    <n v="1"/>
    <s v="não"/>
    <s v="sim"/>
    <n v="1"/>
  </r>
  <r>
    <n v="320"/>
    <x v="0"/>
    <s v="&lt; 0 $"/>
    <s v="negativo/devedor"/>
    <n v="15"/>
    <s v="pgto em atraso no passado"/>
    <s v="moveis e equipamentos"/>
    <n v="3643"/>
    <s v="&lt; 100 $"/>
    <s v="Baixo (&lt; 100 $)"/>
    <s v="&gt;= 7 anos"/>
    <s v="Muito Estável (&gt; 7 anos)"/>
    <n v="1"/>
    <s v="feminino"/>
    <s v="divorciada/casada"/>
    <s v="nenhum"/>
    <n v="4"/>
    <s v="poupança ou seguro de vida"/>
    <n v="27"/>
    <s v="Adulto (26-40)"/>
    <s v="nenhum"/>
    <s v="própria"/>
    <n v="2"/>
    <s v="Empregado Comum"/>
    <n v="1"/>
    <s v="não"/>
    <s v="sim"/>
    <n v="1"/>
  </r>
  <r>
    <n v="321"/>
    <x v="1"/>
    <s v="&gt;= 0 &lt; 200 $"/>
    <s v="saldo baixo"/>
    <n v="30"/>
    <s v="conta critica / dividas com terceiros"/>
    <s v="carro novo"/>
    <n v="4249"/>
    <s v="&lt; 100 $"/>
    <s v="Baixo (&lt; 100 $)"/>
    <s v="desempregado"/>
    <s v="desempregado"/>
    <n v="4"/>
    <s v="masculino"/>
    <s v="casado/viuvo"/>
    <s v="nenhum"/>
    <n v="2"/>
    <s v="carro ou outros-quitado"/>
    <n v="28"/>
    <s v="Adulto (26-40)"/>
    <s v="nenhum"/>
    <s v="própria"/>
    <n v="2"/>
    <s v="Executivo/Empresário"/>
    <n v="1"/>
    <s v="não"/>
    <s v="sim"/>
    <n v="2"/>
  </r>
  <r>
    <n v="322"/>
    <x v="1"/>
    <s v="&lt; 0 $"/>
    <s v="negativo/devedor"/>
    <n v="24"/>
    <s v="pgto em dia neste banco (em aberto)"/>
    <s v="radio ou televisao"/>
    <n v="1938"/>
    <s v="&lt; 100 $"/>
    <s v="Baixo (&lt; 100 $)"/>
    <s v="&lt; 1 ano"/>
    <s v="Iniciante (&lt; 1 ano)"/>
    <n v="4"/>
    <s v="masculino"/>
    <s v="divorciado"/>
    <s v="nenhum"/>
    <n v="3"/>
    <s v="poupança ou seguro de vida"/>
    <n v="32"/>
    <s v="Adulto (26-40)"/>
    <s v="nenhum"/>
    <s v="própria"/>
    <n v="1"/>
    <s v="Func. Público/Qualificado"/>
    <n v="1"/>
    <s v="não"/>
    <s v="sim"/>
    <n v="2"/>
  </r>
  <r>
    <n v="323"/>
    <x v="0"/>
    <s v="&lt; 0 $"/>
    <s v="negativo/devedor"/>
    <n v="24"/>
    <s v="pgto em dia neste banco (em aberto)"/>
    <s v="carro usado"/>
    <n v="2910"/>
    <s v="&lt; 100 $"/>
    <s v="Baixo (&lt; 100 $)"/>
    <s v="&lt; 7 anos"/>
    <s v="Estável (4-7 anos)"/>
    <n v="2"/>
    <s v="masculino"/>
    <s v="solteiro"/>
    <s v="nenhum"/>
    <n v="1"/>
    <s v="sem bens"/>
    <n v="34"/>
    <s v="Adulto (26-40)"/>
    <s v="nenhum"/>
    <s v="gratuita"/>
    <n v="1"/>
    <s v="Executivo/Empresário"/>
    <n v="1"/>
    <s v="sim"/>
    <s v="sim"/>
    <n v="1"/>
  </r>
  <r>
    <n v="324"/>
    <x v="0"/>
    <s v="&lt; 0 $"/>
    <s v="negativo/devedor"/>
    <n v="18"/>
    <s v="pgto em dia neste banco (em aberto)"/>
    <s v="moveis e equipamentos"/>
    <n v="2659"/>
    <s v="&gt;= 1000 $"/>
    <s v="Muito alto (&gt;1000$)"/>
    <s v="&lt; 4 anos"/>
    <s v="Intermediário (1-4 anos)"/>
    <n v="4"/>
    <s v="masculino"/>
    <s v="solteiro"/>
    <s v="nenhum"/>
    <n v="2"/>
    <s v="carro ou outros-quitado"/>
    <n v="28"/>
    <s v="Adulto (26-40)"/>
    <s v="nenhum"/>
    <s v="própria"/>
    <n v="1"/>
    <s v="Func. Público/Qualificado"/>
    <n v="1"/>
    <s v="não"/>
    <s v="sim"/>
    <n v="1"/>
  </r>
  <r>
    <n v="325"/>
    <x v="0"/>
    <s v="sem conta corrente"/>
    <s v="sem conta no banco"/>
    <n v="18"/>
    <s v="conta critica / dividas com terceiros"/>
    <s v="carro novo"/>
    <n v="1028"/>
    <s v="&lt; 100 $"/>
    <s v="Baixo (&lt; 100 $)"/>
    <s v="&lt; 4 anos"/>
    <s v="Intermediário (1-4 anos)"/>
    <n v="4"/>
    <s v="feminino"/>
    <s v="divorciada/casada"/>
    <s v="nenhum"/>
    <n v="3"/>
    <s v="imovel"/>
    <n v="36"/>
    <s v="Adulto (26-40)"/>
    <s v="nenhum"/>
    <s v="própria"/>
    <n v="2"/>
    <s v="Func. Público/Qualificado"/>
    <n v="1"/>
    <s v="não"/>
    <s v="sim"/>
    <n v="1"/>
  </r>
  <r>
    <n v="326"/>
    <x v="0"/>
    <s v="&lt; 0 $"/>
    <s v="negativo/devedor"/>
    <n v="8"/>
    <s v="conta critica / dividas com terceiros"/>
    <s v="carro novo"/>
    <n v="3398"/>
    <s v="&lt; 100 $"/>
    <s v="Baixo (&lt; 100 $)"/>
    <s v="&lt; 7 anos"/>
    <s v="Estável (4-7 anos)"/>
    <n v="1"/>
    <s v="masculino"/>
    <s v="solteiro"/>
    <s v="nenhum"/>
    <n v="4"/>
    <s v="imovel"/>
    <n v="39"/>
    <s v="Adulto (26-40)"/>
    <s v="nenhum"/>
    <s v="própria"/>
    <n v="2"/>
    <s v="Empregado Comum"/>
    <n v="1"/>
    <s v="não"/>
    <s v="não"/>
    <n v="1"/>
  </r>
  <r>
    <n v="327"/>
    <x v="0"/>
    <s v="sem conta corrente"/>
    <s v="sem conta no banco"/>
    <n v="12"/>
    <s v="conta critica / dividas com terceiros"/>
    <s v="moveis e equipamentos"/>
    <n v="5801"/>
    <s v="sem poupança"/>
    <s v="sem poupança"/>
    <s v="&gt;= 7 anos"/>
    <s v="Muito Estável (&gt; 7 anos)"/>
    <n v="2"/>
    <s v="masculino"/>
    <s v="solteiro"/>
    <s v="nenhum"/>
    <n v="4"/>
    <s v="poupança ou seguro de vida"/>
    <n v="49"/>
    <s v="Sénior (41-60)"/>
    <s v="nenhum"/>
    <s v="aluguel"/>
    <n v="1"/>
    <s v="Func. Público/Qualificado"/>
    <n v="1"/>
    <s v="sim"/>
    <s v="sim"/>
    <n v="1"/>
  </r>
  <r>
    <n v="328"/>
    <x v="0"/>
    <s v="sem conta corrente"/>
    <s v="sem conta no banco"/>
    <n v="24"/>
    <s v="pgto em dia neste banco (em aberto)"/>
    <s v="carro novo"/>
    <n v="1525"/>
    <s v="&gt;= 1000 $"/>
    <s v="Muito alto (&gt;1000$)"/>
    <s v="&lt; 7 anos"/>
    <s v="Estável (4-7 anos)"/>
    <n v="4"/>
    <s v="feminino"/>
    <s v="divorciada/casada"/>
    <s v="nenhum"/>
    <n v="3"/>
    <s v="carro ou outros-quitado"/>
    <n v="34"/>
    <s v="Adulto (26-40)"/>
    <s v="nenhum"/>
    <s v="própria"/>
    <n v="1"/>
    <s v="Func. Público/Qualificado"/>
    <n v="2"/>
    <s v="sim"/>
    <s v="sim"/>
    <n v="1"/>
  </r>
  <r>
    <n v="329"/>
    <x v="0"/>
    <s v="&gt;= 200 $"/>
    <s v="saldo saudável"/>
    <n v="36"/>
    <s v="pgto em dia neste banco (em aberto)"/>
    <s v="radio ou televisao"/>
    <n v="4473"/>
    <s v="&lt; 100 $"/>
    <s v="Baixo (&lt; 100 $)"/>
    <s v="&gt;= 7 anos"/>
    <s v="Muito Estável (&gt; 7 anos)"/>
    <n v="4"/>
    <s v="masculino"/>
    <s v="solteiro"/>
    <s v="nenhum"/>
    <n v="2"/>
    <s v="carro ou outros-quitado"/>
    <n v="31"/>
    <s v="Adulto (26-40)"/>
    <s v="nenhum"/>
    <s v="própria"/>
    <n v="1"/>
    <s v="Func. Público/Qualificado"/>
    <n v="1"/>
    <s v="não"/>
    <s v="sim"/>
    <n v="1"/>
  </r>
  <r>
    <n v="330"/>
    <x v="0"/>
    <s v="&gt;= 0 &lt; 200 $"/>
    <s v="saldo baixo"/>
    <n v="6"/>
    <s v="pgto em dia neste banco (em aberto)"/>
    <s v="radio ou televisao"/>
    <n v="1068"/>
    <s v="&lt; 100 $"/>
    <s v="Baixo (&lt; 100 $)"/>
    <s v="&gt;= 7 anos"/>
    <s v="Muito Estável (&gt; 7 anos)"/>
    <n v="4"/>
    <s v="masculino"/>
    <s v="solteiro"/>
    <s v="nenhum"/>
    <n v="4"/>
    <s v="carro ou outros-quitado"/>
    <n v="28"/>
    <s v="Adulto (26-40)"/>
    <s v="nenhum"/>
    <s v="própria"/>
    <n v="1"/>
    <s v="Func. Público/Qualificado"/>
    <n v="2"/>
    <s v="não"/>
    <s v="sim"/>
    <n v="1"/>
  </r>
  <r>
    <n v="331"/>
    <x v="0"/>
    <s v="&lt; 0 $"/>
    <s v="negativo/devedor"/>
    <n v="24"/>
    <s v="conta critica / dividas com terceiros"/>
    <s v="carro usado"/>
    <n v="6615"/>
    <s v="&lt; 100 $"/>
    <s v="Baixo (&lt; 100 $)"/>
    <s v="desempregado"/>
    <s v="desempregado"/>
    <n v="2"/>
    <s v="masculino"/>
    <s v="solteiro"/>
    <s v="nenhum"/>
    <n v="4"/>
    <s v="sem bens"/>
    <n v="75"/>
    <s v="Idoso (60+)"/>
    <s v="nenhum"/>
    <s v="gratuita"/>
    <n v="2"/>
    <s v="Executivo/Empresário"/>
    <n v="1"/>
    <s v="sim"/>
    <s v="sim"/>
    <n v="1"/>
  </r>
  <r>
    <n v="332"/>
    <x v="1"/>
    <s v="sem conta corrente"/>
    <s v="sem conta no banco"/>
    <n v="18"/>
    <s v="conta critica / dividas com terceiros"/>
    <s v="educacao"/>
    <n v="1864"/>
    <s v="&gt;= 100 &lt; 500 $"/>
    <s v="Médio (100-500$)"/>
    <s v="&lt; 4 anos"/>
    <s v="Intermediário (1-4 anos)"/>
    <n v="4"/>
    <s v="feminino"/>
    <s v="divorciada/casada"/>
    <s v="nenhum"/>
    <n v="2"/>
    <s v="imovel"/>
    <n v="30"/>
    <s v="Adulto (26-40)"/>
    <s v="nenhum"/>
    <s v="própria"/>
    <n v="2"/>
    <s v="Func. Público/Qualificado"/>
    <n v="1"/>
    <s v="não"/>
    <s v="sim"/>
    <n v="2"/>
  </r>
  <r>
    <n v="333"/>
    <x v="1"/>
    <s v="&gt;= 0 &lt; 200 $"/>
    <s v="saldo baixo"/>
    <n v="60"/>
    <s v="pgto em dia neste banco (em aberto)"/>
    <s v="carro novo"/>
    <n v="7408"/>
    <s v="&gt;= 100 &lt; 500 $"/>
    <s v="Médio (100-500$)"/>
    <s v="&lt; 1 ano"/>
    <s v="Iniciante (&lt; 1 ano)"/>
    <n v="4"/>
    <s v="feminino"/>
    <s v="divorciada/casada"/>
    <s v="nenhum"/>
    <n v="2"/>
    <s v="poupança ou seguro de vida"/>
    <n v="24"/>
    <s v="Jovem (18-25)"/>
    <s v="nenhum"/>
    <s v="própria"/>
    <n v="1"/>
    <s v="Executivo/Empresário"/>
    <n v="1"/>
    <s v="não"/>
    <s v="sim"/>
    <n v="2"/>
  </r>
  <r>
    <n v="334"/>
    <x v="1"/>
    <s v="sem conta corrente"/>
    <s v="sem conta no banco"/>
    <n v="48"/>
    <s v="conta critica / dividas com terceiros"/>
    <s v="carro usado"/>
    <n v="11590"/>
    <s v="&gt;= 100 &lt; 500 $"/>
    <s v="Médio (100-500$)"/>
    <s v="&lt; 4 anos"/>
    <s v="Intermediário (1-4 anos)"/>
    <n v="2"/>
    <s v="feminino"/>
    <s v="divorciada/casada"/>
    <s v="nenhum"/>
    <n v="4"/>
    <s v="carro ou outros-quitado"/>
    <n v="24"/>
    <s v="Jovem (18-25)"/>
    <s v="banco"/>
    <s v="aluguel"/>
    <n v="2"/>
    <s v="Empregado Comum"/>
    <n v="1"/>
    <s v="não"/>
    <s v="sim"/>
    <n v="2"/>
  </r>
  <r>
    <n v="335"/>
    <x v="1"/>
    <s v="&lt; 0 $"/>
    <s v="negativo/devedor"/>
    <n v="24"/>
    <s v="nenhum/pgto em dia"/>
    <s v="moveis e equipamentos"/>
    <n v="4110"/>
    <s v="&lt; 100 $"/>
    <s v="Baixo (&lt; 100 $)"/>
    <s v="&gt;= 7 anos"/>
    <s v="Muito Estável (&gt; 7 anos)"/>
    <n v="3"/>
    <s v="masculino"/>
    <s v="solteiro"/>
    <s v="nenhum"/>
    <n v="4"/>
    <s v="sem bens"/>
    <n v="23"/>
    <s v="Jovem (18-25)"/>
    <s v="banco"/>
    <s v="aluguel"/>
    <n v="2"/>
    <s v="Func. Público/Qualificado"/>
    <n v="2"/>
    <s v="não"/>
    <s v="sim"/>
    <n v="2"/>
  </r>
  <r>
    <n v="336"/>
    <x v="1"/>
    <s v="&lt; 0 $"/>
    <s v="negativo/devedor"/>
    <n v="6"/>
    <s v="conta critica / dividas com terceiros"/>
    <s v="moveis e equipamentos"/>
    <n v="3384"/>
    <s v="&lt; 100 $"/>
    <s v="Baixo (&lt; 100 $)"/>
    <s v="&lt; 4 anos"/>
    <s v="Intermediário (1-4 anos)"/>
    <n v="1"/>
    <s v="masculino"/>
    <s v="divorciado"/>
    <s v="nenhum"/>
    <n v="4"/>
    <s v="imovel"/>
    <n v="44"/>
    <s v="Sénior (41-60)"/>
    <s v="nenhum"/>
    <s v="aluguel"/>
    <n v="1"/>
    <s v="Executivo/Empresário"/>
    <n v="1"/>
    <s v="sim"/>
    <s v="sim"/>
    <n v="2"/>
  </r>
  <r>
    <n v="337"/>
    <x v="0"/>
    <s v="&gt;= 0 &lt; 200 $"/>
    <s v="saldo baixo"/>
    <n v="13"/>
    <s v="pgto em dia neste banco (em aberto)"/>
    <s v="radio ou televisao"/>
    <n v="2101"/>
    <s v="&lt; 100 $"/>
    <s v="Baixo (&lt; 100 $)"/>
    <s v="&lt; 1 ano"/>
    <s v="Iniciante (&lt; 1 ano)"/>
    <n v="2"/>
    <s v="feminino"/>
    <s v="divorciada/casada"/>
    <s v="garantidor"/>
    <n v="4"/>
    <s v="poupança ou seguro de vida"/>
    <n v="23"/>
    <s v="Jovem (18-25)"/>
    <s v="nenhum"/>
    <s v="própria"/>
    <n v="1"/>
    <s v="Empregado Comum"/>
    <n v="1"/>
    <s v="não"/>
    <s v="sim"/>
    <n v="1"/>
  </r>
  <r>
    <n v="338"/>
    <x v="1"/>
    <s v="&lt; 0 $"/>
    <s v="negativo/devedor"/>
    <n v="15"/>
    <s v="pgto em dia neste banco (em aberto)"/>
    <s v="eletrodomesticos"/>
    <n v="1275"/>
    <s v="sem poupança"/>
    <s v="sem poupança"/>
    <s v="&lt; 4 anos"/>
    <s v="Intermediário (1-4 anos)"/>
    <n v="4"/>
    <s v="feminino"/>
    <s v="divorciada/casada"/>
    <s v="nenhum"/>
    <n v="2"/>
    <s v="carro ou outros-quitado"/>
    <n v="24"/>
    <s v="Jovem (18-25)"/>
    <s v="nenhum"/>
    <s v="aluguel"/>
    <n v="1"/>
    <s v="Func. Público/Qualificado"/>
    <n v="1"/>
    <s v="não"/>
    <s v="sim"/>
    <n v="2"/>
  </r>
  <r>
    <n v="339"/>
    <x v="0"/>
    <s v="&lt; 0 $"/>
    <s v="negativo/devedor"/>
    <n v="24"/>
    <s v="pgto em dia neste banco (em aberto)"/>
    <s v="moveis e equipamentos"/>
    <n v="4169"/>
    <s v="&lt; 100 $"/>
    <s v="Baixo (&lt; 100 $)"/>
    <s v="&lt; 4 anos"/>
    <s v="Intermediário (1-4 anos)"/>
    <n v="4"/>
    <s v="masculino"/>
    <s v="solteiro"/>
    <s v="nenhum"/>
    <n v="4"/>
    <s v="poupança ou seguro de vida"/>
    <n v="28"/>
    <s v="Adulto (26-40)"/>
    <s v="nenhum"/>
    <s v="própria"/>
    <n v="1"/>
    <s v="Func. Público/Qualificado"/>
    <n v="1"/>
    <s v="não"/>
    <s v="sim"/>
    <n v="1"/>
  </r>
  <r>
    <n v="340"/>
    <x v="0"/>
    <s v="&gt;= 0 &lt; 200 $"/>
    <s v="saldo baixo"/>
    <n v="10"/>
    <s v="pgto em dia neste banco (em aberto)"/>
    <s v="moveis e equipamentos"/>
    <n v="1521"/>
    <s v="&lt; 100 $"/>
    <s v="Baixo (&lt; 100 $)"/>
    <s v="&lt; 4 anos"/>
    <s v="Intermediário (1-4 anos)"/>
    <n v="4"/>
    <s v="masculino"/>
    <s v="divorciado"/>
    <s v="nenhum"/>
    <n v="2"/>
    <s v="carro ou outros-quitado"/>
    <n v="31"/>
    <s v="Adulto (26-40)"/>
    <s v="nenhum"/>
    <s v="própria"/>
    <n v="1"/>
    <s v="Empregado Comum"/>
    <n v="1"/>
    <s v="não"/>
    <s v="sim"/>
    <n v="1"/>
  </r>
  <r>
    <n v="341"/>
    <x v="0"/>
    <s v="&gt;= 0 &lt; 200 $"/>
    <s v="saldo baixo"/>
    <n v="24"/>
    <s v="conta critica / dividas com terceiros"/>
    <s v="educacao"/>
    <n v="5743"/>
    <s v="&lt; 100 $"/>
    <s v="Baixo (&lt; 100 $)"/>
    <s v="&lt; 1 ano"/>
    <s v="Iniciante (&lt; 1 ano)"/>
    <n v="2"/>
    <s v="feminino"/>
    <s v="divorciada/casada"/>
    <s v="nenhum"/>
    <n v="4"/>
    <s v="sem bens"/>
    <n v="24"/>
    <s v="Jovem (18-25)"/>
    <s v="nenhum"/>
    <s v="gratuita"/>
    <n v="2"/>
    <s v="Func. Público/Qualificado"/>
    <n v="1"/>
    <s v="sim"/>
    <s v="sim"/>
    <n v="1"/>
  </r>
  <r>
    <n v="342"/>
    <x v="0"/>
    <s v="&lt; 0 $"/>
    <s v="negativo/devedor"/>
    <n v="21"/>
    <s v="pgto em dia neste banco (em aberto)"/>
    <s v="moveis e equipamentos"/>
    <n v="3599"/>
    <s v="&lt; 100 $"/>
    <s v="Baixo (&lt; 100 $)"/>
    <s v="&lt; 7 anos"/>
    <s v="Estável (4-7 anos)"/>
    <n v="1"/>
    <s v="feminino"/>
    <s v="divorciada/casada"/>
    <s v="nenhum"/>
    <n v="4"/>
    <s v="carro ou outros-quitado"/>
    <n v="26"/>
    <s v="Adulto (26-40)"/>
    <s v="nenhum"/>
    <s v="aluguel"/>
    <n v="1"/>
    <s v="Empregado Comum"/>
    <n v="1"/>
    <s v="não"/>
    <s v="sim"/>
    <n v="1"/>
  </r>
  <r>
    <n v="343"/>
    <x v="0"/>
    <s v="&gt;= 0 &lt; 200 $"/>
    <s v="saldo baixo"/>
    <n v="18"/>
    <s v="pgto em dia neste banco (em aberto)"/>
    <s v="radio ou televisao"/>
    <n v="3213"/>
    <s v="&gt;= 500 &lt; 1000 $"/>
    <s v="Alto (500-1000 $)"/>
    <s v="&lt; 1 ano"/>
    <s v="Iniciante (&lt; 1 ano)"/>
    <n v="1"/>
    <s v="masculino"/>
    <s v="casado/viuvo"/>
    <s v="nenhum"/>
    <n v="3"/>
    <s v="imovel"/>
    <n v="25"/>
    <s v="Adulto (26-40)"/>
    <s v="nenhum"/>
    <s v="aluguel"/>
    <n v="1"/>
    <s v="Func. Público/Qualificado"/>
    <n v="1"/>
    <s v="não"/>
    <s v="sim"/>
    <n v="1"/>
  </r>
  <r>
    <n v="344"/>
    <x v="0"/>
    <s v="&gt;= 0 &lt; 200 $"/>
    <s v="saldo baixo"/>
    <n v="18"/>
    <s v="pgto em dia neste banco (em aberto)"/>
    <s v="negocios"/>
    <n v="4439"/>
    <s v="&lt; 100 $"/>
    <s v="Baixo (&lt; 100 $)"/>
    <s v="&gt;= 7 anos"/>
    <s v="Muito Estável (&gt; 7 anos)"/>
    <n v="1"/>
    <s v="masculino"/>
    <s v="solteiro"/>
    <s v="codevedor"/>
    <n v="1"/>
    <s v="imovel"/>
    <n v="33"/>
    <s v="Adulto (26-40)"/>
    <s v="banco"/>
    <s v="própria"/>
    <n v="1"/>
    <s v="Executivo/Empresário"/>
    <n v="1"/>
    <s v="sim"/>
    <s v="sim"/>
    <n v="1"/>
  </r>
  <r>
    <n v="345"/>
    <x v="0"/>
    <s v="&gt;= 200 $"/>
    <s v="saldo saudável"/>
    <n v="10"/>
    <s v="pgto em dia neste banco (em aberto)"/>
    <s v="carro novo"/>
    <n v="3949"/>
    <s v="&lt; 100 $"/>
    <s v="Baixo (&lt; 100 $)"/>
    <s v="&lt; 1 ano"/>
    <s v="Iniciante (&lt; 1 ano)"/>
    <n v="1"/>
    <s v="masculino"/>
    <s v="solteiro"/>
    <s v="garantidor"/>
    <n v="1"/>
    <s v="poupança ou seguro de vida"/>
    <n v="37"/>
    <s v="Adulto (26-40)"/>
    <s v="nenhum"/>
    <s v="própria"/>
    <n v="1"/>
    <s v="Empregado Comum"/>
    <n v="2"/>
    <s v="não"/>
    <s v="sim"/>
    <n v="1"/>
  </r>
  <r>
    <n v="346"/>
    <x v="0"/>
    <s v="sem conta corrente"/>
    <s v="sem conta no banco"/>
    <n v="15"/>
    <s v="conta critica / dividas com terceiros"/>
    <s v="radio ou televisao"/>
    <n v="1459"/>
    <s v="&lt; 100 $"/>
    <s v="Baixo (&lt; 100 $)"/>
    <s v="&lt; 4 anos"/>
    <s v="Intermediário (1-4 anos)"/>
    <n v="4"/>
    <s v="feminino"/>
    <s v="divorciada/casada"/>
    <s v="nenhum"/>
    <n v="2"/>
    <s v="carro ou outros-quitado"/>
    <n v="43"/>
    <s v="Sénior (41-60)"/>
    <s v="nenhum"/>
    <s v="própria"/>
    <n v="1"/>
    <s v="Empregado Comum"/>
    <n v="1"/>
    <s v="não"/>
    <s v="sim"/>
    <n v="1"/>
  </r>
  <r>
    <n v="347"/>
    <x v="0"/>
    <s v="&gt;= 0 &lt; 200 $"/>
    <s v="saldo baixo"/>
    <n v="13"/>
    <s v="conta critica / dividas com terceiros"/>
    <s v="radio ou televisao"/>
    <n v="882"/>
    <s v="&lt; 100 $"/>
    <s v="Baixo (&lt; 100 $)"/>
    <s v="&lt; 1 ano"/>
    <s v="Iniciante (&lt; 1 ano)"/>
    <n v="4"/>
    <s v="masculino"/>
    <s v="solteiro"/>
    <s v="garantidor"/>
    <n v="4"/>
    <s v="imovel"/>
    <n v="23"/>
    <s v="Jovem (18-25)"/>
    <s v="nenhum"/>
    <s v="própria"/>
    <n v="2"/>
    <s v="Func. Público/Qualificado"/>
    <n v="1"/>
    <s v="não"/>
    <s v="sim"/>
    <n v="1"/>
  </r>
  <r>
    <n v="348"/>
    <x v="0"/>
    <s v="&gt;= 0 &lt; 200 $"/>
    <s v="saldo baixo"/>
    <n v="24"/>
    <s v="pgto em dia neste banco (em aberto)"/>
    <s v="radio ou televisao"/>
    <n v="3758"/>
    <s v="&gt;= 500 &lt; 1000 $"/>
    <s v="Alto (500-1000 $)"/>
    <s v="desempregado"/>
    <s v="desempregado"/>
    <n v="1"/>
    <s v="feminino"/>
    <s v="divorciada/casada"/>
    <s v="nenhum"/>
    <n v="4"/>
    <s v="sem bens"/>
    <n v="23"/>
    <s v="Jovem (18-25)"/>
    <s v="nenhum"/>
    <s v="aluguel"/>
    <n v="1"/>
    <s v="Não qualificado/Desempregado"/>
    <n v="1"/>
    <s v="não"/>
    <s v="sim"/>
    <n v="1"/>
  </r>
  <r>
    <n v="349"/>
    <x v="0"/>
    <s v="sem conta corrente"/>
    <s v="sem conta no banco"/>
    <n v="6"/>
    <s v="pgto em atraso no passado"/>
    <s v="negocios"/>
    <n v="1743"/>
    <s v="&gt;= 100 &lt; 500 $"/>
    <s v="Médio (100-500$)"/>
    <s v="&lt; 4 anos"/>
    <s v="Intermediário (1-4 anos)"/>
    <n v="1"/>
    <s v="masculino"/>
    <s v="solteiro"/>
    <s v="nenhum"/>
    <n v="2"/>
    <s v="imovel"/>
    <n v="34"/>
    <s v="Adulto (26-40)"/>
    <s v="nenhum"/>
    <s v="própria"/>
    <n v="2"/>
    <s v="Empregado Comum"/>
    <n v="1"/>
    <s v="não"/>
    <s v="sim"/>
    <n v="1"/>
  </r>
  <r>
    <n v="350"/>
    <x v="1"/>
    <s v="&gt;= 0 &lt; 200 $"/>
    <s v="saldo baixo"/>
    <n v="9"/>
    <s v="conta critica / dividas com terceiros"/>
    <s v="educacao"/>
    <n v="1136"/>
    <s v="&gt;= 1000 $"/>
    <s v="Muito alto (&gt;1000$)"/>
    <s v="&gt;= 7 anos"/>
    <s v="Muito Estável (&gt; 7 anos)"/>
    <n v="4"/>
    <s v="masculino"/>
    <s v="solteiro"/>
    <s v="nenhum"/>
    <n v="3"/>
    <s v="sem bens"/>
    <n v="32"/>
    <s v="Adulto (26-40)"/>
    <s v="nenhum"/>
    <s v="gratuita"/>
    <n v="2"/>
    <s v="Func. Público/Qualificado"/>
    <n v="2"/>
    <s v="não"/>
    <s v="sim"/>
    <n v="2"/>
  </r>
  <r>
    <n v="351"/>
    <x v="0"/>
    <s v="sem conta corrente"/>
    <s v="sem conta no banco"/>
    <n v="9"/>
    <s v="pgto em dia neste banco (em aberto)"/>
    <s v="eletrodomesticos"/>
    <n v="1236"/>
    <s v="&lt; 100 $"/>
    <s v="Baixo (&lt; 100 $)"/>
    <s v="&lt; 1 ano"/>
    <s v="Iniciante (&lt; 1 ano)"/>
    <n v="1"/>
    <s v="feminino"/>
    <s v="divorciada/casada"/>
    <s v="nenhum"/>
    <n v="4"/>
    <s v="imovel"/>
    <n v="23"/>
    <s v="Jovem (18-25)"/>
    <s v="nenhum"/>
    <s v="aluguel"/>
    <n v="1"/>
    <s v="Func. Público/Qualificado"/>
    <n v="1"/>
    <s v="sim"/>
    <s v="sim"/>
    <n v="1"/>
  </r>
  <r>
    <n v="352"/>
    <x v="1"/>
    <s v="&gt;= 0 &lt; 200 $"/>
    <s v="saldo baixo"/>
    <n v="9"/>
    <s v="pgto em dia neste banco (em aberto)"/>
    <s v="moveis e equipamentos"/>
    <n v="959"/>
    <s v="&lt; 100 $"/>
    <s v="Baixo (&lt; 100 $)"/>
    <s v="&lt; 4 anos"/>
    <s v="Intermediário (1-4 anos)"/>
    <n v="1"/>
    <s v="feminino"/>
    <s v="divorciada/casada"/>
    <s v="nenhum"/>
    <n v="2"/>
    <s v="carro ou outros-quitado"/>
    <n v="29"/>
    <s v="Adulto (26-40)"/>
    <s v="nenhum"/>
    <s v="própria"/>
    <n v="1"/>
    <s v="Func. Público/Qualificado"/>
    <n v="1"/>
    <s v="não"/>
    <s v="não"/>
    <n v="2"/>
  </r>
  <r>
    <n v="353"/>
    <x v="0"/>
    <s v="sem conta corrente"/>
    <s v="sem conta no banco"/>
    <n v="18"/>
    <s v="conta critica / dividas com terceiros"/>
    <s v="carro usado"/>
    <n v="3229"/>
    <s v="sem poupança"/>
    <s v="sem poupança"/>
    <s v="desempregado"/>
    <s v="desempregado"/>
    <n v="2"/>
    <s v="masculino"/>
    <s v="solteiro"/>
    <s v="nenhum"/>
    <n v="4"/>
    <s v="sem bens"/>
    <n v="38"/>
    <s v="Adulto (26-40)"/>
    <s v="nenhum"/>
    <s v="própria"/>
    <n v="1"/>
    <s v="Executivo/Empresário"/>
    <n v="1"/>
    <s v="sim"/>
    <s v="sim"/>
    <n v="1"/>
  </r>
  <r>
    <n v="354"/>
    <x v="1"/>
    <s v="&lt; 0 $"/>
    <s v="negativo/devedor"/>
    <n v="12"/>
    <s v="nenhum/pgto em dia"/>
    <s v="radio ou televisao"/>
    <n v="6199"/>
    <s v="&lt; 100 $"/>
    <s v="Baixo (&lt; 100 $)"/>
    <s v="&lt; 4 anos"/>
    <s v="Intermediário (1-4 anos)"/>
    <n v="4"/>
    <s v="masculino"/>
    <s v="solteiro"/>
    <s v="nenhum"/>
    <n v="2"/>
    <s v="poupança ou seguro de vida"/>
    <n v="28"/>
    <s v="Adulto (26-40)"/>
    <s v="nenhum"/>
    <s v="aluguel"/>
    <n v="2"/>
    <s v="Func. Público/Qualificado"/>
    <n v="1"/>
    <s v="sim"/>
    <s v="sim"/>
    <n v="2"/>
  </r>
  <r>
    <n v="355"/>
    <x v="0"/>
    <s v="sem conta corrente"/>
    <s v="sem conta no banco"/>
    <n v="10"/>
    <s v="pgto em dia neste banco (em aberto)"/>
    <s v="educacao"/>
    <n v="727"/>
    <s v="&gt;= 500 &lt; 1000 $"/>
    <s v="Alto (500-1000 $)"/>
    <s v="&gt;= 7 anos"/>
    <s v="Muito Estável (&gt; 7 anos)"/>
    <n v="4"/>
    <s v="masculino"/>
    <s v="solteiro"/>
    <s v="nenhum"/>
    <n v="4"/>
    <s v="sem bens"/>
    <n v="46"/>
    <s v="Sénior (41-60)"/>
    <s v="nenhum"/>
    <s v="gratuita"/>
    <n v="1"/>
    <s v="Func. Público/Qualificado"/>
    <n v="1"/>
    <s v="sim"/>
    <s v="sim"/>
    <n v="1"/>
  </r>
  <r>
    <n v="356"/>
    <x v="1"/>
    <s v="&gt;= 0 &lt; 200 $"/>
    <s v="saldo baixo"/>
    <n v="24"/>
    <s v="pgto em dia neste banco (em aberto)"/>
    <s v="carro novo"/>
    <n v="1246"/>
    <s v="&lt; 100 $"/>
    <s v="Baixo (&lt; 100 $)"/>
    <s v="&lt; 1 ano"/>
    <s v="Iniciante (&lt; 1 ano)"/>
    <n v="4"/>
    <s v="masculino"/>
    <s v="solteiro"/>
    <s v="nenhum"/>
    <n v="2"/>
    <s v="imovel"/>
    <n v="23"/>
    <s v="Jovem (18-25)"/>
    <s v="loja"/>
    <s v="própria"/>
    <n v="1"/>
    <s v="Empregado Comum"/>
    <n v="1"/>
    <s v="não"/>
    <s v="sim"/>
    <n v="2"/>
  </r>
  <r>
    <n v="357"/>
    <x v="0"/>
    <s v="sem conta corrente"/>
    <s v="sem conta no banco"/>
    <n v="12"/>
    <s v="conta critica / dividas com terceiros"/>
    <s v="radio ou televisao"/>
    <n v="2331"/>
    <s v="sem poupança"/>
    <s v="sem poupança"/>
    <s v="&gt;= 7 anos"/>
    <s v="Muito Estável (&gt; 7 anos)"/>
    <n v="1"/>
    <s v="masculino"/>
    <s v="solteiro"/>
    <s v="codevedor"/>
    <n v="4"/>
    <s v="imovel"/>
    <n v="49"/>
    <s v="Sénior (41-60)"/>
    <s v="nenhum"/>
    <s v="própria"/>
    <n v="1"/>
    <s v="Func. Público/Qualificado"/>
    <n v="1"/>
    <s v="sim"/>
    <s v="sim"/>
    <n v="1"/>
  </r>
  <r>
    <n v="358"/>
    <x v="1"/>
    <s v="sem conta corrente"/>
    <s v="sem conta no banco"/>
    <n v="36"/>
    <s v="pgto em atraso no passado"/>
    <s v="radio ou televisao"/>
    <n v="4463"/>
    <s v="&lt; 100 $"/>
    <s v="Baixo (&lt; 100 $)"/>
    <s v="&lt; 4 anos"/>
    <s v="Intermediário (1-4 anos)"/>
    <n v="4"/>
    <s v="masculino"/>
    <s v="solteiro"/>
    <s v="nenhum"/>
    <n v="2"/>
    <s v="carro ou outros-quitado"/>
    <n v="26"/>
    <s v="Adulto (26-40)"/>
    <s v="nenhum"/>
    <s v="própria"/>
    <n v="2"/>
    <s v="Executivo/Empresário"/>
    <n v="1"/>
    <s v="sim"/>
    <s v="sim"/>
    <n v="2"/>
  </r>
  <r>
    <n v="359"/>
    <x v="0"/>
    <s v="sem conta corrente"/>
    <s v="sem conta no banco"/>
    <n v="12"/>
    <s v="pgto em dia neste banco (em aberto)"/>
    <s v="radio ou televisao"/>
    <n v="776"/>
    <s v="&lt; 100 $"/>
    <s v="Baixo (&lt; 100 $)"/>
    <s v="&lt; 4 anos"/>
    <s v="Intermediário (1-4 anos)"/>
    <n v="4"/>
    <s v="masculino"/>
    <s v="casado/viuvo"/>
    <s v="nenhum"/>
    <n v="2"/>
    <s v="imovel"/>
    <n v="28"/>
    <s v="Adulto (26-40)"/>
    <s v="nenhum"/>
    <s v="própria"/>
    <n v="1"/>
    <s v="Func. Público/Qualificado"/>
    <n v="1"/>
    <s v="não"/>
    <s v="sim"/>
    <n v="1"/>
  </r>
  <r>
    <n v="360"/>
    <x v="1"/>
    <s v="&lt; 0 $"/>
    <s v="negativo/devedor"/>
    <n v="30"/>
    <s v="pgto em dia neste banco (em aberto)"/>
    <s v="moveis e equipamentos"/>
    <n v="2406"/>
    <s v="&lt; 100 $"/>
    <s v="Baixo (&lt; 100 $)"/>
    <s v="&lt; 7 anos"/>
    <s v="Estável (4-7 anos)"/>
    <n v="4"/>
    <s v="feminino"/>
    <s v="divorciada/casada"/>
    <s v="nenhum"/>
    <n v="4"/>
    <s v="imovel"/>
    <n v="23"/>
    <s v="Jovem (18-25)"/>
    <s v="nenhum"/>
    <s v="aluguel"/>
    <n v="1"/>
    <s v="Func. Público/Qualificado"/>
    <n v="1"/>
    <s v="não"/>
    <s v="sim"/>
    <n v="2"/>
  </r>
  <r>
    <n v="361"/>
    <x v="0"/>
    <s v="&gt;= 0 &lt; 200 $"/>
    <s v="saldo baixo"/>
    <n v="18"/>
    <s v="pgto em dia neste banco (em aberto)"/>
    <s v="educacao"/>
    <n v="1239"/>
    <s v="sem poupança"/>
    <s v="sem poupança"/>
    <s v="&lt; 4 anos"/>
    <s v="Intermediário (1-4 anos)"/>
    <n v="4"/>
    <s v="masculino"/>
    <s v="solteiro"/>
    <s v="nenhum"/>
    <n v="4"/>
    <s v="sem bens"/>
    <n v="61"/>
    <s v="Idoso (60+)"/>
    <s v="nenhum"/>
    <s v="gratuita"/>
    <n v="1"/>
    <s v="Func. Público/Qualificado"/>
    <n v="1"/>
    <s v="não"/>
    <s v="sim"/>
    <n v="1"/>
  </r>
  <r>
    <n v="362"/>
    <x v="0"/>
    <s v="&gt;= 200 $"/>
    <s v="saldo saudável"/>
    <n v="12"/>
    <s v="pgto em dia neste banco (em aberto)"/>
    <s v="radio ou televisao"/>
    <n v="3399"/>
    <s v="sem poupança"/>
    <s v="sem poupança"/>
    <s v="&gt;= 7 anos"/>
    <s v="Muito Estável (&gt; 7 anos)"/>
    <n v="2"/>
    <s v="masculino"/>
    <s v="solteiro"/>
    <s v="nenhum"/>
    <n v="3"/>
    <s v="carro ou outros-quitado"/>
    <n v="37"/>
    <s v="Adulto (26-40)"/>
    <s v="nenhum"/>
    <s v="própria"/>
    <n v="1"/>
    <s v="Executivo/Empresário"/>
    <n v="1"/>
    <s v="não"/>
    <s v="sim"/>
    <n v="1"/>
  </r>
  <r>
    <n v="363"/>
    <x v="0"/>
    <s v="&gt;= 200 $"/>
    <s v="saldo saudável"/>
    <n v="12"/>
    <s v="pgto em atraso no passado"/>
    <s v="carro novo"/>
    <n v="2247"/>
    <s v="&lt; 100 $"/>
    <s v="Baixo (&lt; 100 $)"/>
    <s v="&lt; 4 anos"/>
    <s v="Intermediário (1-4 anos)"/>
    <n v="2"/>
    <s v="feminino"/>
    <s v="divorciada/casada"/>
    <s v="nenhum"/>
    <n v="2"/>
    <s v="carro ou outros-quitado"/>
    <n v="36"/>
    <s v="Adulto (26-40)"/>
    <s v="loja"/>
    <s v="própria"/>
    <n v="2"/>
    <s v="Func. Público/Qualificado"/>
    <n v="1"/>
    <s v="sim"/>
    <s v="sim"/>
    <n v="1"/>
  </r>
  <r>
    <n v="364"/>
    <x v="0"/>
    <s v="sem conta corrente"/>
    <s v="sem conta no banco"/>
    <n v="6"/>
    <s v="pgto em dia neste banco (em aberto)"/>
    <s v="moveis e equipamentos"/>
    <n v="1766"/>
    <s v="&lt; 100 $"/>
    <s v="Baixo (&lt; 100 $)"/>
    <s v="&lt; 4 anos"/>
    <s v="Intermediário (1-4 anos)"/>
    <n v="1"/>
    <s v="masculino"/>
    <s v="casado/viuvo"/>
    <s v="nenhum"/>
    <n v="2"/>
    <s v="poupança ou seguro de vida"/>
    <n v="21"/>
    <s v="Jovem (18-25)"/>
    <s v="nenhum"/>
    <s v="aluguel"/>
    <n v="1"/>
    <s v="Func. Público/Qualificado"/>
    <n v="1"/>
    <s v="não"/>
    <s v="sim"/>
    <n v="1"/>
  </r>
  <r>
    <n v="365"/>
    <x v="1"/>
    <s v="&lt; 0 $"/>
    <s v="negativo/devedor"/>
    <n v="18"/>
    <s v="pgto em dia neste banco (em aberto)"/>
    <s v="moveis e equipamentos"/>
    <n v="2473"/>
    <s v="&lt; 100 $"/>
    <s v="Baixo (&lt; 100 $)"/>
    <s v="desempregado"/>
    <s v="desempregado"/>
    <n v="4"/>
    <s v="masculino"/>
    <s v="solteiro"/>
    <s v="nenhum"/>
    <n v="1"/>
    <s v="carro ou outros-quitado"/>
    <n v="25"/>
    <s v="Adulto (26-40)"/>
    <s v="nenhum"/>
    <s v="própria"/>
    <n v="1"/>
    <s v="Não qualificado/Desempregado"/>
    <n v="1"/>
    <s v="não"/>
    <s v="sim"/>
    <n v="2"/>
  </r>
  <r>
    <n v="366"/>
    <x v="0"/>
    <s v="sem conta corrente"/>
    <s v="sem conta no banco"/>
    <n v="12"/>
    <s v="pgto em dia neste banco (em aberto)"/>
    <s v="negocios"/>
    <n v="1542"/>
    <s v="&lt; 100 $"/>
    <s v="Baixo (&lt; 100 $)"/>
    <s v="&lt; 7 anos"/>
    <s v="Estável (4-7 anos)"/>
    <n v="2"/>
    <s v="masculino"/>
    <s v="solteiro"/>
    <s v="nenhum"/>
    <n v="4"/>
    <s v="carro ou outros-quitado"/>
    <n v="36"/>
    <s v="Adulto (26-40)"/>
    <s v="nenhum"/>
    <s v="própria"/>
    <n v="1"/>
    <s v="Func. Público/Qualificado"/>
    <n v="1"/>
    <s v="sim"/>
    <s v="sim"/>
    <n v="1"/>
  </r>
  <r>
    <n v="367"/>
    <x v="0"/>
    <s v="sem conta corrente"/>
    <s v="sem conta no banco"/>
    <n v="18"/>
    <s v="conta critica / dividas com terceiros"/>
    <s v="carro usado"/>
    <n v="3850"/>
    <s v="&lt; 100 $"/>
    <s v="Baixo (&lt; 100 $)"/>
    <s v="&lt; 7 anos"/>
    <s v="Estável (4-7 anos)"/>
    <n v="3"/>
    <s v="masculino"/>
    <s v="solteiro"/>
    <s v="nenhum"/>
    <n v="1"/>
    <s v="carro ou outros-quitado"/>
    <n v="27"/>
    <s v="Adulto (26-40)"/>
    <s v="nenhum"/>
    <s v="própria"/>
    <n v="2"/>
    <s v="Func. Público/Qualificado"/>
    <n v="1"/>
    <s v="não"/>
    <s v="sim"/>
    <n v="1"/>
  </r>
  <r>
    <n v="368"/>
    <x v="0"/>
    <s v="&lt; 0 $"/>
    <s v="negativo/devedor"/>
    <n v="18"/>
    <s v="pgto em dia neste banco (em aberto)"/>
    <s v="moveis e equipamentos"/>
    <n v="3650"/>
    <s v="&lt; 100 $"/>
    <s v="Baixo (&lt; 100 $)"/>
    <s v="&lt; 1 ano"/>
    <s v="Iniciante (&lt; 1 ano)"/>
    <n v="1"/>
    <s v="feminino"/>
    <s v="divorciada/casada"/>
    <s v="nenhum"/>
    <n v="4"/>
    <s v="carro ou outros-quitado"/>
    <n v="22"/>
    <s v="Jovem (18-25)"/>
    <s v="nenhum"/>
    <s v="aluguel"/>
    <n v="1"/>
    <s v="Func. Público/Qualificado"/>
    <n v="1"/>
    <s v="não"/>
    <s v="sim"/>
    <n v="1"/>
  </r>
  <r>
    <n v="369"/>
    <x v="1"/>
    <s v="&lt; 0 $"/>
    <s v="negativo/devedor"/>
    <n v="36"/>
    <s v="pgto em dia neste banco (em aberto)"/>
    <s v="moveis e equipamentos"/>
    <n v="3446"/>
    <s v="&lt; 100 $"/>
    <s v="Baixo (&lt; 100 $)"/>
    <s v="&gt;= 7 anos"/>
    <s v="Muito Estável (&gt; 7 anos)"/>
    <n v="4"/>
    <s v="masculino"/>
    <s v="solteiro"/>
    <s v="nenhum"/>
    <n v="2"/>
    <s v="carro ou outros-quitado"/>
    <n v="42"/>
    <s v="Sénior (41-60)"/>
    <s v="nenhum"/>
    <s v="própria"/>
    <n v="1"/>
    <s v="Func. Público/Qualificado"/>
    <n v="2"/>
    <s v="não"/>
    <s v="sim"/>
    <n v="2"/>
  </r>
  <r>
    <n v="370"/>
    <x v="0"/>
    <s v="&gt;= 0 &lt; 200 $"/>
    <s v="saldo baixo"/>
    <n v="18"/>
    <s v="pgto em dia neste banco (em aberto)"/>
    <s v="moveis e equipamentos"/>
    <n v="3001"/>
    <s v="&lt; 100 $"/>
    <s v="Baixo (&lt; 100 $)"/>
    <s v="&lt; 7 anos"/>
    <s v="Estável (4-7 anos)"/>
    <n v="2"/>
    <s v="feminino"/>
    <s v="divorciada/casada"/>
    <s v="nenhum"/>
    <n v="4"/>
    <s v="imovel"/>
    <n v="40"/>
    <s v="Sénior (41-60)"/>
    <s v="nenhum"/>
    <s v="aluguel"/>
    <n v="1"/>
    <s v="Func. Público/Qualificado"/>
    <n v="1"/>
    <s v="não"/>
    <s v="sim"/>
    <n v="1"/>
  </r>
  <r>
    <n v="371"/>
    <x v="0"/>
    <s v="sem conta corrente"/>
    <s v="sem conta no banco"/>
    <n v="36"/>
    <s v="pgto em dia neste banco (em aberto)"/>
    <s v="carro novo"/>
    <n v="3079"/>
    <s v="sem poupança"/>
    <s v="sem poupança"/>
    <s v="&lt; 4 anos"/>
    <s v="Intermediário (1-4 anos)"/>
    <n v="4"/>
    <s v="masculino"/>
    <s v="solteiro"/>
    <s v="nenhum"/>
    <n v="4"/>
    <s v="imovel"/>
    <n v="36"/>
    <s v="Adulto (26-40)"/>
    <s v="nenhum"/>
    <s v="própria"/>
    <n v="1"/>
    <s v="Func. Público/Qualificado"/>
    <n v="1"/>
    <s v="não"/>
    <s v="sim"/>
    <n v="1"/>
  </r>
  <r>
    <n v="372"/>
    <x v="0"/>
    <s v="sem conta corrente"/>
    <s v="sem conta no banco"/>
    <n v="18"/>
    <s v="conta critica / dividas com terceiros"/>
    <s v="radio ou televisao"/>
    <n v="6070"/>
    <s v="&lt; 100 $"/>
    <s v="Baixo (&lt; 100 $)"/>
    <s v="&gt;= 7 anos"/>
    <s v="Muito Estável (&gt; 7 anos)"/>
    <n v="3"/>
    <s v="masculino"/>
    <s v="solteiro"/>
    <s v="nenhum"/>
    <n v="4"/>
    <s v="carro ou outros-quitado"/>
    <n v="33"/>
    <s v="Adulto (26-40)"/>
    <s v="nenhum"/>
    <s v="própria"/>
    <n v="2"/>
    <s v="Func. Público/Qualificado"/>
    <n v="1"/>
    <s v="sim"/>
    <s v="sim"/>
    <n v="1"/>
  </r>
  <r>
    <n v="373"/>
    <x v="0"/>
    <s v="sem conta corrente"/>
    <s v="sem conta no banco"/>
    <n v="10"/>
    <s v="conta critica / dividas com terceiros"/>
    <s v="moveis e equipamentos"/>
    <n v="2146"/>
    <s v="&lt; 100 $"/>
    <s v="Baixo (&lt; 100 $)"/>
    <s v="&lt; 1 ano"/>
    <s v="Iniciante (&lt; 1 ano)"/>
    <n v="1"/>
    <s v="feminino"/>
    <s v="divorciada/casada"/>
    <s v="nenhum"/>
    <n v="3"/>
    <s v="imovel"/>
    <n v="23"/>
    <s v="Jovem (18-25)"/>
    <s v="nenhum"/>
    <s v="aluguel"/>
    <n v="2"/>
    <s v="Func. Público/Qualificado"/>
    <n v="1"/>
    <s v="não"/>
    <s v="sim"/>
    <n v="1"/>
  </r>
  <r>
    <n v="374"/>
    <x v="0"/>
    <s v="sem conta corrente"/>
    <s v="sem conta no banco"/>
    <n v="60"/>
    <s v="conta critica / dividas com terceiros"/>
    <s v="carro novo"/>
    <n v="13756"/>
    <s v="sem poupança"/>
    <s v="sem poupança"/>
    <s v="&gt;= 7 anos"/>
    <s v="Muito Estável (&gt; 7 anos)"/>
    <n v="2"/>
    <s v="masculino"/>
    <s v="solteiro"/>
    <s v="nenhum"/>
    <n v="4"/>
    <s v="sem bens"/>
    <n v="63"/>
    <s v="Idoso (60+)"/>
    <s v="banco"/>
    <s v="gratuita"/>
    <n v="1"/>
    <s v="Executivo/Empresário"/>
    <n v="1"/>
    <s v="sim"/>
    <s v="sim"/>
    <n v="1"/>
  </r>
  <r>
    <n v="375"/>
    <x v="1"/>
    <s v="&gt;= 0 &lt; 200 $"/>
    <s v="saldo baixo"/>
    <n v="60"/>
    <s v="pgto em dia neste banco (quitado)"/>
    <s v="outros"/>
    <n v="14782"/>
    <s v="&gt;= 100 &lt; 500 $"/>
    <s v="Médio (100-500$)"/>
    <s v="&gt;= 7 anos"/>
    <s v="Muito Estável (&gt; 7 anos)"/>
    <n v="3"/>
    <s v="feminino"/>
    <s v="divorciada/casada"/>
    <s v="nenhum"/>
    <n v="4"/>
    <s v="sem bens"/>
    <n v="60"/>
    <s v="Idoso (60+)"/>
    <s v="banco"/>
    <s v="gratuita"/>
    <n v="2"/>
    <s v="Executivo/Empresário"/>
    <n v="1"/>
    <s v="sim"/>
    <s v="sim"/>
    <n v="2"/>
  </r>
  <r>
    <n v="376"/>
    <x v="1"/>
    <s v="&lt; 0 $"/>
    <s v="negativo/devedor"/>
    <n v="48"/>
    <s v="pgto em dia neste banco (quitado)"/>
    <s v="negocios"/>
    <n v="7685"/>
    <s v="&lt; 100 $"/>
    <s v="Baixo (&lt; 100 $)"/>
    <s v="&lt; 7 anos"/>
    <s v="Estável (4-7 anos)"/>
    <n v="2"/>
    <s v="feminino"/>
    <s v="divorciada/casada"/>
    <s v="garantidor"/>
    <n v="4"/>
    <s v="carro ou outros-quitado"/>
    <n v="37"/>
    <s v="Adulto (26-40)"/>
    <s v="nenhum"/>
    <s v="aluguel"/>
    <n v="1"/>
    <s v="Func. Público/Qualificado"/>
    <n v="1"/>
    <s v="não"/>
    <s v="sim"/>
    <n v="2"/>
  </r>
  <r>
    <n v="377"/>
    <x v="0"/>
    <s v="sem conta corrente"/>
    <s v="sem conta no banco"/>
    <n v="18"/>
    <s v="pgto em atraso no passado"/>
    <s v="radio ou televisao"/>
    <n v="2320"/>
    <s v="&lt; 100 $"/>
    <s v="Baixo (&lt; 100 $)"/>
    <s v="desempregado"/>
    <s v="desempregado"/>
    <n v="2"/>
    <s v="masculino"/>
    <s v="casado/viuvo"/>
    <s v="nenhum"/>
    <n v="3"/>
    <s v="imovel"/>
    <n v="34"/>
    <s v="Adulto (26-40)"/>
    <s v="nenhum"/>
    <s v="própria"/>
    <n v="2"/>
    <s v="Func. Público/Qualificado"/>
    <n v="1"/>
    <s v="não"/>
    <s v="sim"/>
    <n v="1"/>
  </r>
  <r>
    <n v="378"/>
    <x v="0"/>
    <s v="sem conta corrente"/>
    <s v="sem conta no banco"/>
    <n v="7"/>
    <s v="pgto em atraso no passado"/>
    <s v="radio ou televisao"/>
    <n v="846"/>
    <s v="sem poupança"/>
    <s v="sem poupança"/>
    <s v="&gt;= 7 anos"/>
    <s v="Muito Estável (&gt; 7 anos)"/>
    <n v="3"/>
    <s v="masculino"/>
    <s v="solteiro"/>
    <s v="nenhum"/>
    <n v="4"/>
    <s v="sem bens"/>
    <n v="36"/>
    <s v="Adulto (26-40)"/>
    <s v="nenhum"/>
    <s v="gratuita"/>
    <n v="1"/>
    <s v="Func. Público/Qualificado"/>
    <n v="1"/>
    <s v="não"/>
    <s v="sim"/>
    <n v="1"/>
  </r>
  <r>
    <n v="379"/>
    <x v="1"/>
    <s v="&gt;= 0 &lt; 200 $"/>
    <s v="saldo baixo"/>
    <n v="36"/>
    <s v="pgto em dia neste banco (em aberto)"/>
    <s v="carro novo"/>
    <n v="14318"/>
    <s v="&lt; 100 $"/>
    <s v="Baixo (&lt; 100 $)"/>
    <s v="&gt;= 7 anos"/>
    <s v="Muito Estável (&gt; 7 anos)"/>
    <n v="4"/>
    <s v="masculino"/>
    <s v="solteiro"/>
    <s v="nenhum"/>
    <n v="2"/>
    <s v="sem bens"/>
    <n v="57"/>
    <s v="Sénior (41-60)"/>
    <s v="nenhum"/>
    <s v="gratuita"/>
    <n v="1"/>
    <s v="Executivo/Empresário"/>
    <n v="1"/>
    <s v="sim"/>
    <s v="sim"/>
    <n v="2"/>
  </r>
  <r>
    <n v="380"/>
    <x v="0"/>
    <s v="sem conta corrente"/>
    <s v="sem conta no banco"/>
    <n v="6"/>
    <s v="conta critica / dividas com terceiros"/>
    <s v="carro novo"/>
    <n v="362"/>
    <s v="&gt;= 100 &lt; 500 $"/>
    <s v="Médio (100-500$)"/>
    <s v="&lt; 4 anos"/>
    <s v="Intermediário (1-4 anos)"/>
    <n v="4"/>
    <s v="feminino"/>
    <s v="divorciada/casada"/>
    <s v="nenhum"/>
    <n v="4"/>
    <s v="carro ou outros-quitado"/>
    <n v="52"/>
    <s v="Sénior (41-60)"/>
    <s v="nenhum"/>
    <s v="própria"/>
    <n v="2"/>
    <s v="Empregado Comum"/>
    <n v="1"/>
    <s v="não"/>
    <s v="sim"/>
    <n v="1"/>
  </r>
  <r>
    <n v="381"/>
    <x v="0"/>
    <s v="&lt; 0 $"/>
    <s v="negativo/devedor"/>
    <n v="20"/>
    <s v="pgto em dia neste banco (em aberto)"/>
    <s v="moveis e equipamentos"/>
    <n v="2212"/>
    <s v="sem poupança"/>
    <s v="sem poupança"/>
    <s v="&lt; 7 anos"/>
    <s v="Estável (4-7 anos)"/>
    <n v="4"/>
    <s v="masculino"/>
    <s v="solteiro"/>
    <s v="nenhum"/>
    <n v="4"/>
    <s v="carro ou outros-quitado"/>
    <n v="39"/>
    <s v="Adulto (26-40)"/>
    <s v="nenhum"/>
    <s v="própria"/>
    <n v="1"/>
    <s v="Func. Público/Qualificado"/>
    <n v="1"/>
    <s v="sim"/>
    <s v="sim"/>
    <n v="1"/>
  </r>
  <r>
    <n v="382"/>
    <x v="1"/>
    <s v="&gt;= 0 &lt; 200 $"/>
    <s v="saldo baixo"/>
    <n v="18"/>
    <s v="pgto em dia neste banco (em aberto)"/>
    <s v="carro usado"/>
    <n v="12976"/>
    <s v="&lt; 100 $"/>
    <s v="Baixo (&lt; 100 $)"/>
    <s v="desempregado"/>
    <s v="desempregado"/>
    <n v="3"/>
    <s v="feminino"/>
    <s v="divorciada/casada"/>
    <s v="nenhum"/>
    <n v="4"/>
    <s v="sem bens"/>
    <n v="38"/>
    <s v="Adulto (26-40)"/>
    <s v="nenhum"/>
    <s v="gratuita"/>
    <n v="1"/>
    <s v="Executivo/Empresário"/>
    <n v="1"/>
    <s v="sim"/>
    <s v="sim"/>
    <n v="2"/>
  </r>
  <r>
    <n v="383"/>
    <x v="0"/>
    <s v="sem conta corrente"/>
    <s v="sem conta no banco"/>
    <n v="22"/>
    <s v="pgto em dia neste banco (em aberto)"/>
    <s v="carro novo"/>
    <n v="1283"/>
    <s v="sem poupança"/>
    <s v="sem poupança"/>
    <s v="&lt; 7 anos"/>
    <s v="Estável (4-7 anos)"/>
    <n v="4"/>
    <s v="feminino"/>
    <s v="divorciada/casada"/>
    <s v="nenhum"/>
    <n v="4"/>
    <s v="poupança ou seguro de vida"/>
    <n v="25"/>
    <s v="Adulto (26-40)"/>
    <s v="nenhum"/>
    <s v="aluguel"/>
    <n v="1"/>
    <s v="Func. Público/Qualificado"/>
    <n v="1"/>
    <s v="não"/>
    <s v="sim"/>
    <n v="1"/>
  </r>
  <r>
    <n v="384"/>
    <x v="0"/>
    <s v="&gt;= 200 $"/>
    <s v="saldo saudável"/>
    <n v="12"/>
    <s v="pgto em dia neste banco (em aberto)"/>
    <s v="carro novo"/>
    <n v="1330"/>
    <s v="&lt; 100 $"/>
    <s v="Baixo (&lt; 100 $)"/>
    <s v="&lt; 1 ano"/>
    <s v="Iniciante (&lt; 1 ano)"/>
    <n v="4"/>
    <s v="masculino"/>
    <s v="solteiro"/>
    <s v="nenhum"/>
    <n v="1"/>
    <s v="imovel"/>
    <n v="26"/>
    <s v="Adulto (26-40)"/>
    <s v="nenhum"/>
    <s v="própria"/>
    <n v="1"/>
    <s v="Func. Público/Qualificado"/>
    <n v="1"/>
    <s v="não"/>
    <s v="sim"/>
    <n v="1"/>
  </r>
  <r>
    <n v="385"/>
    <x v="0"/>
    <s v="sem conta corrente"/>
    <s v="sem conta no banco"/>
    <n v="30"/>
    <s v="pgto em atraso no passado"/>
    <s v="negocios"/>
    <n v="4272"/>
    <s v="&gt;= 100 &lt; 500 $"/>
    <s v="Médio (100-500$)"/>
    <s v="&lt; 4 anos"/>
    <s v="Intermediário (1-4 anos)"/>
    <n v="2"/>
    <s v="masculino"/>
    <s v="solteiro"/>
    <s v="nenhum"/>
    <n v="2"/>
    <s v="poupança ou seguro de vida"/>
    <n v="26"/>
    <s v="Adulto (26-40)"/>
    <s v="nenhum"/>
    <s v="própria"/>
    <n v="2"/>
    <s v="Empregado Comum"/>
    <n v="1"/>
    <s v="não"/>
    <s v="sim"/>
    <n v="1"/>
  </r>
  <r>
    <n v="386"/>
    <x v="0"/>
    <s v="sem conta corrente"/>
    <s v="sem conta no banco"/>
    <n v="18"/>
    <s v="conta critica / dividas com terceiros"/>
    <s v="radio ou televisao"/>
    <n v="2238"/>
    <s v="&lt; 100 $"/>
    <s v="Baixo (&lt; 100 $)"/>
    <s v="&lt; 4 anos"/>
    <s v="Intermediário (1-4 anos)"/>
    <n v="2"/>
    <s v="feminino"/>
    <s v="divorciada/casada"/>
    <s v="nenhum"/>
    <n v="1"/>
    <s v="carro ou outros-quitado"/>
    <n v="25"/>
    <s v="Adulto (26-40)"/>
    <s v="nenhum"/>
    <s v="própria"/>
    <n v="2"/>
    <s v="Func. Público/Qualificado"/>
    <n v="1"/>
    <s v="não"/>
    <s v="sim"/>
    <n v="1"/>
  </r>
  <r>
    <n v="387"/>
    <x v="0"/>
    <s v="sem conta corrente"/>
    <s v="sem conta no banco"/>
    <n v="18"/>
    <s v="pgto em dia neste banco (em aberto)"/>
    <s v="radio ou televisao"/>
    <n v="1126"/>
    <s v="sem poupança"/>
    <s v="sem poupança"/>
    <s v="&lt; 1 ano"/>
    <s v="Iniciante (&lt; 1 ano)"/>
    <n v="4"/>
    <s v="feminino"/>
    <s v="divorciada/casada"/>
    <s v="nenhum"/>
    <n v="2"/>
    <s v="imovel"/>
    <n v="21"/>
    <s v="Jovem (18-25)"/>
    <s v="nenhum"/>
    <s v="aluguel"/>
    <n v="1"/>
    <s v="Func. Público/Qualificado"/>
    <n v="1"/>
    <s v="sim"/>
    <s v="sim"/>
    <n v="1"/>
  </r>
  <r>
    <n v="388"/>
    <x v="0"/>
    <s v="&gt;= 0 &lt; 200 $"/>
    <s v="saldo baixo"/>
    <n v="18"/>
    <s v="conta critica / dividas com terceiros"/>
    <s v="moveis e equipamentos"/>
    <n v="7374"/>
    <s v="&lt; 100 $"/>
    <s v="Baixo (&lt; 100 $)"/>
    <s v="desempregado"/>
    <s v="desempregado"/>
    <n v="4"/>
    <s v="masculino"/>
    <s v="solteiro"/>
    <s v="nenhum"/>
    <n v="4"/>
    <s v="poupança ou seguro de vida"/>
    <n v="40"/>
    <s v="Sénior (41-60)"/>
    <s v="loja"/>
    <s v="própria"/>
    <n v="2"/>
    <s v="Executivo/Empresário"/>
    <n v="1"/>
    <s v="sim"/>
    <s v="sim"/>
    <n v="1"/>
  </r>
  <r>
    <n v="389"/>
    <x v="0"/>
    <s v="&gt;= 0 &lt; 200 $"/>
    <s v="saldo baixo"/>
    <n v="15"/>
    <s v="conta critica / dividas com terceiros"/>
    <s v="negocios"/>
    <n v="2326"/>
    <s v="&gt;= 500 &lt; 1000 $"/>
    <s v="Alto (500-1000 $)"/>
    <s v="&lt; 4 anos"/>
    <s v="Intermediário (1-4 anos)"/>
    <n v="2"/>
    <s v="masculino"/>
    <s v="solteiro"/>
    <s v="nenhum"/>
    <n v="4"/>
    <s v="carro ou outros-quitado"/>
    <n v="27"/>
    <s v="Adulto (26-40)"/>
    <s v="banco"/>
    <s v="própria"/>
    <n v="1"/>
    <s v="Func. Público/Qualificado"/>
    <n v="1"/>
    <s v="não"/>
    <s v="sim"/>
    <n v="1"/>
  </r>
  <r>
    <n v="390"/>
    <x v="0"/>
    <s v="sem conta corrente"/>
    <s v="sem conta no banco"/>
    <n v="9"/>
    <s v="pgto em dia neste banco (em aberto)"/>
    <s v="negocios"/>
    <n v="1449"/>
    <s v="&lt; 100 $"/>
    <s v="Baixo (&lt; 100 $)"/>
    <s v="&lt; 7 anos"/>
    <s v="Estável (4-7 anos)"/>
    <n v="3"/>
    <s v="feminino"/>
    <s v="divorciada/casada"/>
    <s v="nenhum"/>
    <n v="2"/>
    <s v="carro ou outros-quitado"/>
    <n v="27"/>
    <s v="Adulto (26-40)"/>
    <s v="nenhum"/>
    <s v="própria"/>
    <n v="2"/>
    <s v="Func. Público/Qualificado"/>
    <n v="1"/>
    <s v="não"/>
    <s v="sim"/>
    <n v="1"/>
  </r>
  <r>
    <n v="391"/>
    <x v="0"/>
    <s v="sem conta corrente"/>
    <s v="sem conta no banco"/>
    <n v="18"/>
    <s v="pgto em dia neste banco (em aberto)"/>
    <s v="carro novo"/>
    <n v="1820"/>
    <s v="&lt; 100 $"/>
    <s v="Baixo (&lt; 100 $)"/>
    <s v="&lt; 4 anos"/>
    <s v="Intermediário (1-4 anos)"/>
    <n v="2"/>
    <s v="masculino"/>
    <s v="casado/viuvo"/>
    <s v="nenhum"/>
    <n v="2"/>
    <s v="poupança ou seguro de vida"/>
    <n v="30"/>
    <s v="Adulto (26-40)"/>
    <s v="nenhum"/>
    <s v="própria"/>
    <n v="1"/>
    <s v="Executivo/Empresário"/>
    <n v="1"/>
    <s v="sim"/>
    <s v="sim"/>
    <n v="1"/>
  </r>
  <r>
    <n v="392"/>
    <x v="0"/>
    <s v="&gt;= 0 &lt; 200 $"/>
    <s v="saldo baixo"/>
    <n v="12"/>
    <s v="pgto em dia neste banco (em aberto)"/>
    <s v="moveis e equipamentos"/>
    <n v="983"/>
    <s v="&gt;= 1000 $"/>
    <s v="Muito alto (&gt;1000$)"/>
    <s v="&lt; 1 ano"/>
    <s v="Iniciante (&lt; 1 ano)"/>
    <n v="1"/>
    <s v="feminino"/>
    <s v="divorciada/casada"/>
    <s v="nenhum"/>
    <n v="4"/>
    <s v="imovel"/>
    <n v="19"/>
    <s v="Jovem (18-25)"/>
    <s v="nenhum"/>
    <s v="aluguel"/>
    <n v="1"/>
    <s v="Empregado Comum"/>
    <n v="1"/>
    <s v="não"/>
    <s v="sim"/>
    <n v="1"/>
  </r>
  <r>
    <n v="393"/>
    <x v="0"/>
    <s v="&lt; 0 $"/>
    <s v="negativo/devedor"/>
    <n v="36"/>
    <s v="pgto em dia neste banco (em aberto)"/>
    <s v="carro novo"/>
    <n v="3249"/>
    <s v="&lt; 100 $"/>
    <s v="Baixo (&lt; 100 $)"/>
    <s v="&lt; 7 anos"/>
    <s v="Estável (4-7 anos)"/>
    <n v="2"/>
    <s v="masculino"/>
    <s v="solteiro"/>
    <s v="nenhum"/>
    <n v="4"/>
    <s v="sem bens"/>
    <n v="39"/>
    <s v="Adulto (26-40)"/>
    <s v="banco"/>
    <s v="gratuita"/>
    <n v="1"/>
    <s v="Executivo/Empresário"/>
    <n v="2"/>
    <s v="sim"/>
    <s v="sim"/>
    <n v="1"/>
  </r>
  <r>
    <n v="394"/>
    <x v="0"/>
    <s v="&lt; 0 $"/>
    <s v="negativo/devedor"/>
    <n v="6"/>
    <s v="conta critica / dividas com terceiros"/>
    <s v="radio ou televisao"/>
    <n v="1957"/>
    <s v="&lt; 100 $"/>
    <s v="Baixo (&lt; 100 $)"/>
    <s v="&lt; 7 anos"/>
    <s v="Estável (4-7 anos)"/>
    <n v="1"/>
    <s v="feminino"/>
    <s v="divorciada/casada"/>
    <s v="nenhum"/>
    <n v="4"/>
    <s v="carro ou outros-quitado"/>
    <n v="31"/>
    <s v="Adulto (26-40)"/>
    <s v="nenhum"/>
    <s v="própria"/>
    <n v="1"/>
    <s v="Func. Público/Qualificado"/>
    <n v="1"/>
    <s v="não"/>
    <s v="sim"/>
    <n v="1"/>
  </r>
  <r>
    <n v="395"/>
    <x v="0"/>
    <s v="sem conta corrente"/>
    <s v="sem conta no banco"/>
    <n v="9"/>
    <s v="conta critica / dividas com terceiros"/>
    <s v="moveis e equipamentos"/>
    <n v="2406"/>
    <s v="&lt; 100 $"/>
    <s v="Baixo (&lt; 100 $)"/>
    <s v="desempregado"/>
    <s v="desempregado"/>
    <n v="2"/>
    <s v="masculino"/>
    <s v="solteiro"/>
    <s v="nenhum"/>
    <n v="3"/>
    <s v="carro ou outros-quitado"/>
    <n v="31"/>
    <s v="Adulto (26-40)"/>
    <s v="nenhum"/>
    <s v="própria"/>
    <n v="1"/>
    <s v="Executivo/Empresário"/>
    <n v="1"/>
    <s v="não"/>
    <s v="sim"/>
    <n v="1"/>
  </r>
  <r>
    <n v="396"/>
    <x v="0"/>
    <s v="&gt;= 0 &lt; 200 $"/>
    <s v="saldo baixo"/>
    <n v="39"/>
    <s v="pgto em atraso no passado"/>
    <s v="educacao"/>
    <n v="11760"/>
    <s v="&gt;= 100 &lt; 500 $"/>
    <s v="Médio (100-500$)"/>
    <s v="&lt; 7 anos"/>
    <s v="Estável (4-7 anos)"/>
    <n v="2"/>
    <s v="masculino"/>
    <s v="solteiro"/>
    <s v="nenhum"/>
    <n v="3"/>
    <s v="sem bens"/>
    <n v="32"/>
    <s v="Adulto (26-40)"/>
    <s v="nenhum"/>
    <s v="aluguel"/>
    <n v="1"/>
    <s v="Func. Público/Qualificado"/>
    <n v="1"/>
    <s v="sim"/>
    <s v="sim"/>
    <n v="1"/>
  </r>
  <r>
    <n v="397"/>
    <x v="0"/>
    <s v="&lt; 0 $"/>
    <s v="negativo/devedor"/>
    <n v="12"/>
    <s v="pgto em dia neste banco (em aberto)"/>
    <s v="moveis e equipamentos"/>
    <n v="2578"/>
    <s v="&lt; 100 $"/>
    <s v="Baixo (&lt; 100 $)"/>
    <s v="desempregado"/>
    <s v="desempregado"/>
    <n v="3"/>
    <s v="feminino"/>
    <s v="divorciada/casada"/>
    <s v="nenhum"/>
    <n v="4"/>
    <s v="sem bens"/>
    <n v="55"/>
    <s v="Sénior (41-60)"/>
    <s v="nenhum"/>
    <s v="gratuita"/>
    <n v="1"/>
    <s v="Executivo/Empresário"/>
    <n v="1"/>
    <s v="não"/>
    <s v="sim"/>
    <n v="1"/>
  </r>
  <r>
    <n v="398"/>
    <x v="0"/>
    <s v="&lt; 0 $"/>
    <s v="negativo/devedor"/>
    <n v="36"/>
    <s v="conta critica / dividas com terceiros"/>
    <s v="moveis e equipamentos"/>
    <n v="2348"/>
    <s v="&lt; 100 $"/>
    <s v="Baixo (&lt; 100 $)"/>
    <s v="&lt; 4 anos"/>
    <s v="Intermediário (1-4 anos)"/>
    <n v="3"/>
    <s v="masculino"/>
    <s v="casado/viuvo"/>
    <s v="nenhum"/>
    <n v="2"/>
    <s v="poupança ou seguro de vida"/>
    <n v="46"/>
    <s v="Sénior (41-60)"/>
    <s v="nenhum"/>
    <s v="própria"/>
    <n v="2"/>
    <s v="Func. Público/Qualificado"/>
    <n v="1"/>
    <s v="sim"/>
    <s v="sim"/>
    <n v="1"/>
  </r>
  <r>
    <n v="399"/>
    <x v="1"/>
    <s v="&gt;= 0 &lt; 200 $"/>
    <s v="saldo baixo"/>
    <n v="12"/>
    <s v="pgto em dia neste banco (em aberto)"/>
    <s v="carro novo"/>
    <n v="1223"/>
    <s v="&lt; 100 $"/>
    <s v="Baixo (&lt; 100 $)"/>
    <s v="&gt;= 7 anos"/>
    <s v="Muito Estável (&gt; 7 anos)"/>
    <n v="1"/>
    <s v="masculino"/>
    <s v="divorciado"/>
    <s v="nenhum"/>
    <n v="1"/>
    <s v="imovel"/>
    <n v="46"/>
    <s v="Sénior (41-60)"/>
    <s v="nenhum"/>
    <s v="aluguel"/>
    <n v="2"/>
    <s v="Func. Público/Qualificado"/>
    <n v="1"/>
    <s v="não"/>
    <s v="sim"/>
    <n v="2"/>
  </r>
  <r>
    <n v="400"/>
    <x v="0"/>
    <s v="sem conta corrente"/>
    <s v="sem conta no banco"/>
    <n v="24"/>
    <s v="conta critica / dividas com terceiros"/>
    <s v="radio ou televisao"/>
    <n v="1516"/>
    <s v="&gt;= 1000 $"/>
    <s v="Muito alto (&gt;1000$)"/>
    <s v="&lt; 4 anos"/>
    <s v="Intermediário (1-4 anos)"/>
    <n v="4"/>
    <s v="feminino"/>
    <s v="divorciada/casada"/>
    <s v="nenhum"/>
    <n v="1"/>
    <s v="imovel"/>
    <n v="43"/>
    <s v="Sénior (41-60)"/>
    <s v="nenhum"/>
    <s v="própria"/>
    <n v="2"/>
    <s v="Empregado Comum"/>
    <n v="1"/>
    <s v="não"/>
    <s v="sim"/>
    <n v="1"/>
  </r>
  <r>
    <n v="401"/>
    <x v="0"/>
    <s v="sem conta corrente"/>
    <s v="sem conta no banco"/>
    <n v="18"/>
    <s v="pgto em dia neste banco (em aberto)"/>
    <s v="radio ou televisao"/>
    <n v="1473"/>
    <s v="&lt; 100 $"/>
    <s v="Baixo (&lt; 100 $)"/>
    <s v="&lt; 1 ano"/>
    <s v="Iniciante (&lt; 1 ano)"/>
    <n v="3"/>
    <s v="masculino"/>
    <s v="casado/viuvo"/>
    <s v="nenhum"/>
    <n v="4"/>
    <s v="imovel"/>
    <n v="39"/>
    <s v="Adulto (26-40)"/>
    <s v="nenhum"/>
    <s v="própria"/>
    <n v="1"/>
    <s v="Func. Público/Qualificado"/>
    <n v="1"/>
    <s v="sim"/>
    <s v="sim"/>
    <n v="1"/>
  </r>
  <r>
    <n v="402"/>
    <x v="0"/>
    <s v="&gt;= 0 &lt; 200 $"/>
    <s v="saldo baixo"/>
    <n v="18"/>
    <s v="conta critica / dividas com terceiros"/>
    <s v="negocios"/>
    <n v="1887"/>
    <s v="sem poupança"/>
    <s v="sem poupança"/>
    <s v="&lt; 4 anos"/>
    <s v="Intermediário (1-4 anos)"/>
    <n v="4"/>
    <s v="masculino"/>
    <s v="casado/viuvo"/>
    <s v="nenhum"/>
    <n v="4"/>
    <s v="imovel"/>
    <n v="28"/>
    <s v="Adulto (26-40)"/>
    <s v="banco"/>
    <s v="própria"/>
    <n v="2"/>
    <s v="Func. Público/Qualificado"/>
    <n v="1"/>
    <s v="não"/>
    <s v="sim"/>
    <n v="1"/>
  </r>
  <r>
    <n v="403"/>
    <x v="1"/>
    <s v="sem conta corrente"/>
    <s v="sem conta no banco"/>
    <n v="24"/>
    <s v="pgto em atraso no passado"/>
    <s v="negocios"/>
    <n v="8648"/>
    <s v="&lt; 100 $"/>
    <s v="Baixo (&lt; 100 $)"/>
    <s v="&lt; 1 ano"/>
    <s v="Iniciante (&lt; 1 ano)"/>
    <n v="2"/>
    <s v="masculino"/>
    <s v="solteiro"/>
    <s v="nenhum"/>
    <n v="2"/>
    <s v="carro ou outros-quitado"/>
    <n v="27"/>
    <s v="Adulto (26-40)"/>
    <s v="banco"/>
    <s v="própria"/>
    <n v="2"/>
    <s v="Func. Público/Qualificado"/>
    <n v="1"/>
    <s v="sim"/>
    <s v="sim"/>
    <n v="2"/>
  </r>
  <r>
    <n v="404"/>
    <x v="0"/>
    <s v="sem conta corrente"/>
    <s v="sem conta no banco"/>
    <n v="14"/>
    <s v="pgto em atraso no passado"/>
    <s v="carro novo"/>
    <n v="802"/>
    <s v="&lt; 100 $"/>
    <s v="Baixo (&lt; 100 $)"/>
    <s v="&lt; 4 anos"/>
    <s v="Intermediário (1-4 anos)"/>
    <n v="4"/>
    <s v="masculino"/>
    <s v="solteiro"/>
    <s v="nenhum"/>
    <n v="2"/>
    <s v="carro ou outros-quitado"/>
    <n v="27"/>
    <s v="Adulto (26-40)"/>
    <s v="nenhum"/>
    <s v="própria"/>
    <n v="2"/>
    <s v="Empregado Comum"/>
    <n v="1"/>
    <s v="não"/>
    <s v="sim"/>
    <n v="1"/>
  </r>
  <r>
    <n v="405"/>
    <x v="0"/>
    <s v="&gt;= 0 &lt; 200 $"/>
    <s v="saldo baixo"/>
    <n v="18"/>
    <s v="pgto em atraso no passado"/>
    <s v="carro novo"/>
    <n v="2899"/>
    <s v="sem poupança"/>
    <s v="sem poupança"/>
    <s v="&gt;= 7 anos"/>
    <s v="Muito Estável (&gt; 7 anos)"/>
    <n v="4"/>
    <s v="masculino"/>
    <s v="solteiro"/>
    <s v="nenhum"/>
    <n v="4"/>
    <s v="carro ou outros-quitado"/>
    <n v="43"/>
    <s v="Sénior (41-60)"/>
    <s v="nenhum"/>
    <s v="própria"/>
    <n v="1"/>
    <s v="Func. Público/Qualificado"/>
    <n v="2"/>
    <s v="não"/>
    <s v="sim"/>
    <n v="1"/>
  </r>
  <r>
    <n v="406"/>
    <x v="1"/>
    <s v="&gt;= 0 &lt; 200 $"/>
    <s v="saldo baixo"/>
    <n v="24"/>
    <s v="pgto em dia neste banco (em aberto)"/>
    <s v="radio ou televisao"/>
    <n v="2039"/>
    <s v="&lt; 100 $"/>
    <s v="Baixo (&lt; 100 $)"/>
    <s v="&lt; 1 ano"/>
    <s v="Iniciante (&lt; 1 ano)"/>
    <n v="1"/>
    <s v="masculino"/>
    <s v="casado/viuvo"/>
    <s v="nenhum"/>
    <n v="1"/>
    <s v="poupança ou seguro de vida"/>
    <n v="22"/>
    <s v="Jovem (18-25)"/>
    <s v="nenhum"/>
    <s v="própria"/>
    <n v="1"/>
    <s v="Func. Público/Qualificado"/>
    <n v="1"/>
    <s v="sim"/>
    <s v="sim"/>
    <n v="2"/>
  </r>
  <r>
    <n v="407"/>
    <x v="0"/>
    <s v="sem conta corrente"/>
    <s v="sem conta no banco"/>
    <n v="24"/>
    <s v="conta critica / dividas com terceiros"/>
    <s v="carro usado"/>
    <n v="2197"/>
    <s v="sem poupança"/>
    <s v="sem poupança"/>
    <s v="&lt; 7 anos"/>
    <s v="Estável (4-7 anos)"/>
    <n v="4"/>
    <s v="masculino"/>
    <s v="solteiro"/>
    <s v="nenhum"/>
    <n v="4"/>
    <s v="carro ou outros-quitado"/>
    <n v="43"/>
    <s v="Sénior (41-60)"/>
    <s v="nenhum"/>
    <s v="própria"/>
    <n v="2"/>
    <s v="Func. Público/Qualificado"/>
    <n v="2"/>
    <s v="sim"/>
    <s v="sim"/>
    <n v="1"/>
  </r>
  <r>
    <n v="408"/>
    <x v="0"/>
    <s v="&lt; 0 $"/>
    <s v="negativo/devedor"/>
    <n v="15"/>
    <s v="pgto em dia neste banco (em aberto)"/>
    <s v="radio ou televisao"/>
    <n v="1053"/>
    <s v="&lt; 100 $"/>
    <s v="Baixo (&lt; 100 $)"/>
    <s v="&lt; 1 ano"/>
    <s v="Iniciante (&lt; 1 ano)"/>
    <n v="4"/>
    <s v="masculino"/>
    <s v="casado/viuvo"/>
    <s v="nenhum"/>
    <n v="2"/>
    <s v="imovel"/>
    <n v="27"/>
    <s v="Adulto (26-40)"/>
    <s v="nenhum"/>
    <s v="própria"/>
    <n v="1"/>
    <s v="Func. Público/Qualificado"/>
    <n v="1"/>
    <s v="não"/>
    <s v="não"/>
    <n v="1"/>
  </r>
  <r>
    <n v="409"/>
    <x v="0"/>
    <s v="sem conta corrente"/>
    <s v="sem conta no banco"/>
    <n v="24"/>
    <s v="pgto em dia neste banco (em aberto)"/>
    <s v="radio ou televisao"/>
    <n v="3235"/>
    <s v="&gt;= 500 &lt; 1000 $"/>
    <s v="Alto (500-1000 $)"/>
    <s v="&gt;= 7 anos"/>
    <s v="Muito Estável (&gt; 7 anos)"/>
    <n v="3"/>
    <s v="masculino"/>
    <s v="divorciado"/>
    <s v="nenhum"/>
    <n v="2"/>
    <s v="carro ou outros-quitado"/>
    <n v="26"/>
    <s v="Adulto (26-40)"/>
    <s v="nenhum"/>
    <s v="própria"/>
    <n v="1"/>
    <s v="Executivo/Empresário"/>
    <n v="1"/>
    <s v="sim"/>
    <s v="sim"/>
    <n v="1"/>
  </r>
  <r>
    <n v="410"/>
    <x v="1"/>
    <s v="&gt;= 200 $"/>
    <s v="saldo saudável"/>
    <n v="12"/>
    <s v="conta critica / dividas com terceiros"/>
    <s v="carro novo"/>
    <n v="939"/>
    <s v="&gt;= 500 &lt; 1000 $"/>
    <s v="Alto (500-1000 $)"/>
    <s v="&lt; 7 anos"/>
    <s v="Estável (4-7 anos)"/>
    <n v="4"/>
    <s v="masculino"/>
    <s v="casado/viuvo"/>
    <s v="nenhum"/>
    <n v="2"/>
    <s v="imovel"/>
    <n v="28"/>
    <s v="Adulto (26-40)"/>
    <s v="nenhum"/>
    <s v="própria"/>
    <n v="3"/>
    <s v="Func. Público/Qualificado"/>
    <n v="1"/>
    <s v="sim"/>
    <s v="sim"/>
    <n v="2"/>
  </r>
  <r>
    <n v="411"/>
    <x v="0"/>
    <s v="&gt;= 0 &lt; 200 $"/>
    <s v="saldo baixo"/>
    <n v="24"/>
    <s v="pgto em dia neste banco (em aberto)"/>
    <s v="radio ou televisao"/>
    <n v="1967"/>
    <s v="&lt; 100 $"/>
    <s v="Baixo (&lt; 100 $)"/>
    <s v="&gt;= 7 anos"/>
    <s v="Muito Estável (&gt; 7 anos)"/>
    <n v="4"/>
    <s v="feminino"/>
    <s v="divorciada/casada"/>
    <s v="nenhum"/>
    <n v="4"/>
    <s v="carro ou outros-quitado"/>
    <n v="20"/>
    <s v="Jovem (18-25)"/>
    <s v="nenhum"/>
    <s v="própria"/>
    <n v="1"/>
    <s v="Func. Público/Qualificado"/>
    <n v="1"/>
    <s v="sim"/>
    <s v="sim"/>
    <n v="1"/>
  </r>
  <r>
    <n v="412"/>
    <x v="0"/>
    <s v="sem conta corrente"/>
    <s v="sem conta no banco"/>
    <n v="33"/>
    <s v="conta critica / dividas com terceiros"/>
    <s v="carro usado"/>
    <n v="7253"/>
    <s v="&lt; 100 $"/>
    <s v="Baixo (&lt; 100 $)"/>
    <s v="&lt; 7 anos"/>
    <s v="Estável (4-7 anos)"/>
    <n v="3"/>
    <s v="masculino"/>
    <s v="solteiro"/>
    <s v="nenhum"/>
    <n v="2"/>
    <s v="carro ou outros-quitado"/>
    <n v="35"/>
    <s v="Adulto (26-40)"/>
    <s v="nenhum"/>
    <s v="própria"/>
    <n v="2"/>
    <s v="Executivo/Empresário"/>
    <n v="1"/>
    <s v="sim"/>
    <s v="sim"/>
    <n v="1"/>
  </r>
  <r>
    <n v="413"/>
    <x v="1"/>
    <s v="sem conta corrente"/>
    <s v="sem conta no banco"/>
    <n v="12"/>
    <s v="conta critica / dividas com terceiros"/>
    <s v="negocios"/>
    <n v="2292"/>
    <s v="&lt; 100 $"/>
    <s v="Baixo (&lt; 100 $)"/>
    <s v="desempregado"/>
    <s v="desempregado"/>
    <n v="4"/>
    <s v="masculino"/>
    <s v="solteiro"/>
    <s v="nenhum"/>
    <n v="2"/>
    <s v="carro ou outros-quitado"/>
    <n v="42"/>
    <s v="Sénior (41-60)"/>
    <s v="loja"/>
    <s v="própria"/>
    <n v="2"/>
    <s v="Executivo/Empresário"/>
    <n v="1"/>
    <s v="sim"/>
    <s v="sim"/>
    <n v="2"/>
  </r>
  <r>
    <n v="414"/>
    <x v="0"/>
    <s v="sem conta corrente"/>
    <s v="sem conta no banco"/>
    <n v="10"/>
    <s v="pgto em dia neste banco (em aberto)"/>
    <s v="carro novo"/>
    <n v="1597"/>
    <s v="&gt;= 500 &lt; 1000 $"/>
    <s v="Alto (500-1000 $)"/>
    <s v="&lt; 4 anos"/>
    <s v="Intermediário (1-4 anos)"/>
    <n v="3"/>
    <s v="masculino"/>
    <s v="solteiro"/>
    <s v="nenhum"/>
    <n v="2"/>
    <s v="sem bens"/>
    <n v="40"/>
    <s v="Sénior (41-60)"/>
    <s v="nenhum"/>
    <s v="aluguel"/>
    <n v="1"/>
    <s v="Empregado Comum"/>
    <n v="2"/>
    <s v="não"/>
    <s v="não"/>
    <n v="1"/>
  </r>
  <r>
    <n v="415"/>
    <x v="1"/>
    <s v="&lt; 0 $"/>
    <s v="negativo/devedor"/>
    <n v="24"/>
    <s v="pgto em dia neste banco (em aberto)"/>
    <s v="carro novo"/>
    <n v="1381"/>
    <s v="sem poupança"/>
    <s v="sem poupança"/>
    <s v="&lt; 4 anos"/>
    <s v="Intermediário (1-4 anos)"/>
    <n v="4"/>
    <s v="feminino"/>
    <s v="divorciada/casada"/>
    <s v="nenhum"/>
    <n v="2"/>
    <s v="poupança ou seguro de vida"/>
    <n v="35"/>
    <s v="Adulto (26-40)"/>
    <s v="nenhum"/>
    <s v="própria"/>
    <n v="1"/>
    <s v="Func. Público/Qualificado"/>
    <n v="1"/>
    <s v="não"/>
    <s v="sim"/>
    <n v="2"/>
  </r>
  <r>
    <n v="416"/>
    <x v="0"/>
    <s v="sem conta corrente"/>
    <s v="sem conta no banco"/>
    <n v="36"/>
    <s v="conta critica / dividas com terceiros"/>
    <s v="carro usado"/>
    <n v="5842"/>
    <s v="&lt; 100 $"/>
    <s v="Baixo (&lt; 100 $)"/>
    <s v="&gt;= 7 anos"/>
    <s v="Muito Estável (&gt; 7 anos)"/>
    <n v="2"/>
    <s v="masculino"/>
    <s v="solteiro"/>
    <s v="nenhum"/>
    <n v="2"/>
    <s v="poupança ou seguro de vida"/>
    <n v="35"/>
    <s v="Adulto (26-40)"/>
    <s v="nenhum"/>
    <s v="própria"/>
    <n v="2"/>
    <s v="Func. Público/Qualificado"/>
    <n v="2"/>
    <s v="sim"/>
    <s v="sim"/>
    <n v="1"/>
  </r>
  <r>
    <n v="417"/>
    <x v="1"/>
    <s v="&lt; 0 $"/>
    <s v="negativo/devedor"/>
    <n v="12"/>
    <s v="pgto em dia neste banco (em aberto)"/>
    <s v="carro novo"/>
    <n v="2579"/>
    <s v="&lt; 100 $"/>
    <s v="Baixo (&lt; 100 $)"/>
    <s v="&lt; 1 ano"/>
    <s v="Iniciante (&lt; 1 ano)"/>
    <n v="4"/>
    <s v="masculino"/>
    <s v="solteiro"/>
    <s v="nenhum"/>
    <n v="1"/>
    <s v="imovel"/>
    <n v="33"/>
    <s v="Adulto (26-40)"/>
    <s v="nenhum"/>
    <s v="própria"/>
    <n v="1"/>
    <s v="Empregado Comum"/>
    <n v="2"/>
    <s v="não"/>
    <s v="sim"/>
    <n v="2"/>
  </r>
  <r>
    <n v="418"/>
    <x v="0"/>
    <s v="&lt; 0 $"/>
    <s v="negativo/devedor"/>
    <n v="18"/>
    <s v="pgto em atraso no passado"/>
    <s v="educacao"/>
    <n v="8471"/>
    <s v="sem poupança"/>
    <s v="sem poupança"/>
    <s v="&lt; 4 anos"/>
    <s v="Intermediário (1-4 anos)"/>
    <n v="1"/>
    <s v="feminino"/>
    <s v="divorciada/casada"/>
    <s v="nenhum"/>
    <n v="2"/>
    <s v="carro ou outros-quitado"/>
    <n v="23"/>
    <s v="Jovem (18-25)"/>
    <s v="nenhum"/>
    <s v="aluguel"/>
    <n v="2"/>
    <s v="Func. Público/Qualificado"/>
    <n v="1"/>
    <s v="sim"/>
    <s v="sim"/>
    <n v="1"/>
  </r>
  <r>
    <n v="419"/>
    <x v="0"/>
    <s v="sem conta corrente"/>
    <s v="sem conta no banco"/>
    <n v="21"/>
    <s v="pgto em dia neste banco (em aberto)"/>
    <s v="carro novo"/>
    <n v="2782"/>
    <s v="&gt;= 500 &lt; 1000 $"/>
    <s v="Alto (500-1000 $)"/>
    <s v="&lt; 7 anos"/>
    <s v="Estável (4-7 anos)"/>
    <n v="1"/>
    <s v="feminino"/>
    <s v="divorciada/casada"/>
    <s v="nenhum"/>
    <n v="2"/>
    <s v="carro ou outros-quitado"/>
    <n v="31"/>
    <s v="Adulto (26-40)"/>
    <s v="banco"/>
    <s v="própria"/>
    <n v="1"/>
    <s v="Executivo/Empresário"/>
    <n v="1"/>
    <s v="não"/>
    <s v="sim"/>
    <n v="1"/>
  </r>
  <r>
    <n v="420"/>
    <x v="1"/>
    <s v="&gt;= 0 &lt; 200 $"/>
    <s v="saldo baixo"/>
    <n v="18"/>
    <s v="pgto em dia neste banco (em aberto)"/>
    <s v="carro novo"/>
    <n v="1042"/>
    <s v="sem poupança"/>
    <s v="sem poupança"/>
    <s v="&lt; 4 anos"/>
    <s v="Intermediário (1-4 anos)"/>
    <n v="4"/>
    <s v="feminino"/>
    <s v="divorciada/casada"/>
    <s v="nenhum"/>
    <n v="2"/>
    <s v="poupança ou seguro de vida"/>
    <n v="33"/>
    <s v="Adulto (26-40)"/>
    <s v="nenhum"/>
    <s v="própria"/>
    <n v="1"/>
    <s v="Func. Público/Qualificado"/>
    <n v="1"/>
    <s v="não"/>
    <s v="sim"/>
    <n v="2"/>
  </r>
  <r>
    <n v="421"/>
    <x v="0"/>
    <s v="sem conta corrente"/>
    <s v="sem conta no banco"/>
    <n v="15"/>
    <s v="pgto em dia neste banco (em aberto)"/>
    <s v="carro novo"/>
    <n v="3186"/>
    <s v="&gt;= 1000 $"/>
    <s v="Muito alto (&gt;1000$)"/>
    <s v="&lt; 7 anos"/>
    <s v="Estável (4-7 anos)"/>
    <n v="2"/>
    <s v="feminino"/>
    <s v="divorciada/casada"/>
    <s v="nenhum"/>
    <n v="3"/>
    <s v="carro ou outros-quitado"/>
    <n v="20"/>
    <s v="Jovem (18-25)"/>
    <s v="nenhum"/>
    <s v="aluguel"/>
    <n v="1"/>
    <s v="Func. Público/Qualificado"/>
    <n v="1"/>
    <s v="não"/>
    <s v="sim"/>
    <n v="1"/>
  </r>
  <r>
    <n v="422"/>
    <x v="0"/>
    <s v="&gt;= 0 &lt; 200 $"/>
    <s v="saldo baixo"/>
    <n v="12"/>
    <s v="pgto em dia neste banco (em aberto)"/>
    <s v="carro usado"/>
    <n v="2028"/>
    <s v="sem poupança"/>
    <s v="sem poupança"/>
    <s v="&lt; 4 anos"/>
    <s v="Intermediário (1-4 anos)"/>
    <n v="4"/>
    <s v="masculino"/>
    <s v="solteiro"/>
    <s v="nenhum"/>
    <n v="2"/>
    <s v="carro ou outros-quitado"/>
    <n v="30"/>
    <s v="Adulto (26-40)"/>
    <s v="nenhum"/>
    <s v="própria"/>
    <n v="1"/>
    <s v="Func. Público/Qualificado"/>
    <n v="1"/>
    <s v="não"/>
    <s v="sim"/>
    <n v="1"/>
  </r>
  <r>
    <n v="423"/>
    <x v="0"/>
    <s v="&gt;= 0 &lt; 200 $"/>
    <s v="saldo baixo"/>
    <n v="12"/>
    <s v="conta critica / dividas com terceiros"/>
    <s v="carro novo"/>
    <n v="958"/>
    <s v="&lt; 100 $"/>
    <s v="Baixo (&lt; 100 $)"/>
    <s v="&lt; 7 anos"/>
    <s v="Estável (4-7 anos)"/>
    <n v="2"/>
    <s v="masculino"/>
    <s v="solteiro"/>
    <s v="nenhum"/>
    <n v="3"/>
    <s v="imovel"/>
    <n v="47"/>
    <s v="Sénior (41-60)"/>
    <s v="nenhum"/>
    <s v="própria"/>
    <n v="2"/>
    <s v="Empregado Comum"/>
    <n v="2"/>
    <s v="não"/>
    <s v="sim"/>
    <n v="1"/>
  </r>
  <r>
    <n v="424"/>
    <x v="0"/>
    <s v="sem conta corrente"/>
    <s v="sem conta no banco"/>
    <n v="21"/>
    <s v="pgto em atraso no passado"/>
    <s v="moveis e equipamentos"/>
    <n v="1591"/>
    <s v="&gt;= 100 &lt; 500 $"/>
    <s v="Médio (100-500$)"/>
    <s v="&lt; 7 anos"/>
    <s v="Estável (4-7 anos)"/>
    <n v="4"/>
    <s v="masculino"/>
    <s v="solteiro"/>
    <s v="nenhum"/>
    <n v="3"/>
    <s v="imovel"/>
    <n v="34"/>
    <s v="Adulto (26-40)"/>
    <s v="nenhum"/>
    <s v="própria"/>
    <n v="2"/>
    <s v="Executivo/Empresário"/>
    <n v="1"/>
    <s v="não"/>
    <s v="sim"/>
    <n v="1"/>
  </r>
  <r>
    <n v="425"/>
    <x v="1"/>
    <s v="&gt;= 0 &lt; 200 $"/>
    <s v="saldo baixo"/>
    <n v="12"/>
    <s v="pgto em dia neste banco (em aberto)"/>
    <s v="moveis e equipamentos"/>
    <n v="2762"/>
    <s v="sem poupança"/>
    <s v="sem poupança"/>
    <s v="&gt;= 7 anos"/>
    <s v="Muito Estável (&gt; 7 anos)"/>
    <n v="1"/>
    <s v="feminino"/>
    <s v="divorciada/casada"/>
    <s v="nenhum"/>
    <n v="2"/>
    <s v="poupança ou seguro de vida"/>
    <n v="25"/>
    <s v="Adulto (26-40)"/>
    <s v="banco"/>
    <s v="própria"/>
    <n v="1"/>
    <s v="Func. Público/Qualificado"/>
    <n v="1"/>
    <s v="sim"/>
    <s v="sim"/>
    <n v="2"/>
  </r>
  <r>
    <n v="426"/>
    <x v="0"/>
    <s v="&gt;= 0 &lt; 200 $"/>
    <s v="saldo baixo"/>
    <n v="18"/>
    <s v="pgto em dia neste banco (em aberto)"/>
    <s v="carro usado"/>
    <n v="2779"/>
    <s v="&lt; 100 $"/>
    <s v="Baixo (&lt; 100 $)"/>
    <s v="&lt; 4 anos"/>
    <s v="Intermediário (1-4 anos)"/>
    <n v="1"/>
    <s v="masculino"/>
    <s v="casado/viuvo"/>
    <s v="nenhum"/>
    <n v="3"/>
    <s v="carro ou outros-quitado"/>
    <n v="21"/>
    <s v="Jovem (18-25)"/>
    <s v="nenhum"/>
    <s v="aluguel"/>
    <n v="1"/>
    <s v="Func. Público/Qualificado"/>
    <n v="1"/>
    <s v="sim"/>
    <s v="sim"/>
    <n v="1"/>
  </r>
  <r>
    <n v="427"/>
    <x v="0"/>
    <s v="sem conta corrente"/>
    <s v="sem conta no banco"/>
    <n v="28"/>
    <s v="conta critica / dividas com terceiros"/>
    <s v="radio ou televisao"/>
    <n v="2743"/>
    <s v="&lt; 100 $"/>
    <s v="Baixo (&lt; 100 $)"/>
    <s v="&gt;= 7 anos"/>
    <s v="Muito Estável (&gt; 7 anos)"/>
    <n v="4"/>
    <s v="masculino"/>
    <s v="solteiro"/>
    <s v="nenhum"/>
    <n v="2"/>
    <s v="carro ou outros-quitado"/>
    <n v="29"/>
    <s v="Adulto (26-40)"/>
    <s v="nenhum"/>
    <s v="própria"/>
    <n v="2"/>
    <s v="Func. Público/Qualificado"/>
    <n v="1"/>
    <s v="não"/>
    <s v="sim"/>
    <n v="1"/>
  </r>
  <r>
    <n v="428"/>
    <x v="0"/>
    <s v="sem conta corrente"/>
    <s v="sem conta no banco"/>
    <n v="18"/>
    <s v="conta critica / dividas com terceiros"/>
    <s v="radio ou televisao"/>
    <n v="1149"/>
    <s v="&gt;= 1000 $"/>
    <s v="Muito alto (&gt;1000$)"/>
    <s v="&lt; 4 anos"/>
    <s v="Intermediário (1-4 anos)"/>
    <n v="4"/>
    <s v="masculino"/>
    <s v="solteiro"/>
    <s v="nenhum"/>
    <n v="3"/>
    <s v="imovel"/>
    <n v="46"/>
    <s v="Sénior (41-60)"/>
    <s v="nenhum"/>
    <s v="própria"/>
    <n v="2"/>
    <s v="Func. Público/Qualificado"/>
    <n v="1"/>
    <s v="não"/>
    <s v="sim"/>
    <n v="1"/>
  </r>
  <r>
    <n v="429"/>
    <x v="0"/>
    <s v="sem conta corrente"/>
    <s v="sem conta no banco"/>
    <n v="9"/>
    <s v="pgto em dia neste banco (em aberto)"/>
    <s v="moveis e equipamentos"/>
    <n v="1313"/>
    <s v="&lt; 100 $"/>
    <s v="Baixo (&lt; 100 $)"/>
    <s v="&gt;= 7 anos"/>
    <s v="Muito Estável (&gt; 7 anos)"/>
    <n v="1"/>
    <s v="masculino"/>
    <s v="solteiro"/>
    <s v="nenhum"/>
    <n v="4"/>
    <s v="carro ou outros-quitado"/>
    <n v="20"/>
    <s v="Jovem (18-25)"/>
    <s v="nenhum"/>
    <s v="própria"/>
    <n v="1"/>
    <s v="Func. Público/Qualificado"/>
    <n v="1"/>
    <s v="não"/>
    <s v="sim"/>
    <n v="1"/>
  </r>
  <r>
    <n v="430"/>
    <x v="1"/>
    <s v="&lt; 0 $"/>
    <s v="negativo/devedor"/>
    <n v="18"/>
    <s v="conta critica / dividas com terceiros"/>
    <s v="reparos"/>
    <n v="1190"/>
    <s v="&lt; 100 $"/>
    <s v="Baixo (&lt; 100 $)"/>
    <s v="desempregado"/>
    <s v="desempregado"/>
    <n v="2"/>
    <s v="feminino"/>
    <s v="divorciada/casada"/>
    <s v="nenhum"/>
    <n v="4"/>
    <s v="sem bens"/>
    <n v="55"/>
    <s v="Sénior (41-60)"/>
    <s v="nenhum"/>
    <s v="gratuita"/>
    <n v="3"/>
    <s v="Não qualificado/Desempregado"/>
    <n v="2"/>
    <s v="não"/>
    <s v="sim"/>
    <n v="2"/>
  </r>
  <r>
    <n v="431"/>
    <x v="0"/>
    <s v="sem conta corrente"/>
    <s v="sem conta no banco"/>
    <n v="5"/>
    <s v="pgto em dia neste banco (em aberto)"/>
    <s v="negocios"/>
    <n v="3448"/>
    <s v="&lt; 100 $"/>
    <s v="Baixo (&lt; 100 $)"/>
    <s v="&lt; 7 anos"/>
    <s v="Estável (4-7 anos)"/>
    <n v="1"/>
    <s v="masculino"/>
    <s v="solteiro"/>
    <s v="nenhum"/>
    <n v="4"/>
    <s v="imovel"/>
    <n v="74"/>
    <s v="Idoso (60+)"/>
    <s v="nenhum"/>
    <s v="própria"/>
    <n v="1"/>
    <s v="Empregado Comum"/>
    <n v="1"/>
    <s v="não"/>
    <s v="sim"/>
    <n v="1"/>
  </r>
  <r>
    <n v="432"/>
    <x v="1"/>
    <s v="&gt;= 0 &lt; 200 $"/>
    <s v="saldo baixo"/>
    <n v="24"/>
    <s v="pgto em dia neste banco (em aberto)"/>
    <s v="outros"/>
    <n v="11328"/>
    <s v="&lt; 100 $"/>
    <s v="Baixo (&lt; 100 $)"/>
    <s v="&lt; 4 anos"/>
    <s v="Intermediário (1-4 anos)"/>
    <n v="2"/>
    <s v="masculino"/>
    <s v="solteiro"/>
    <s v="codevedor"/>
    <n v="3"/>
    <s v="carro ou outros-quitado"/>
    <n v="29"/>
    <s v="Adulto (26-40)"/>
    <s v="banco"/>
    <s v="própria"/>
    <n v="2"/>
    <s v="Executivo/Empresário"/>
    <n v="1"/>
    <s v="sim"/>
    <s v="sim"/>
    <n v="2"/>
  </r>
  <r>
    <n v="433"/>
    <x v="0"/>
    <s v="&lt; 0 $"/>
    <s v="negativo/devedor"/>
    <n v="6"/>
    <s v="conta critica / dividas com terceiros"/>
    <s v="moveis e equipamentos"/>
    <n v="1872"/>
    <s v="&lt; 100 $"/>
    <s v="Baixo (&lt; 100 $)"/>
    <s v="desempregado"/>
    <s v="desempregado"/>
    <n v="4"/>
    <s v="masculino"/>
    <s v="solteiro"/>
    <s v="nenhum"/>
    <n v="4"/>
    <s v="sem bens"/>
    <n v="36"/>
    <s v="Adulto (26-40)"/>
    <s v="nenhum"/>
    <s v="gratuita"/>
    <n v="3"/>
    <s v="Executivo/Empresário"/>
    <n v="1"/>
    <s v="sim"/>
    <s v="sim"/>
    <n v="1"/>
  </r>
  <r>
    <n v="434"/>
    <x v="0"/>
    <s v="sem conta corrente"/>
    <s v="sem conta no banco"/>
    <n v="24"/>
    <s v="conta critica / dividas com terceiros"/>
    <s v="reparos"/>
    <n v="2058"/>
    <s v="&lt; 100 $"/>
    <s v="Baixo (&lt; 100 $)"/>
    <s v="&lt; 4 anos"/>
    <s v="Intermediário (1-4 anos)"/>
    <n v="4"/>
    <s v="masculino"/>
    <s v="divorciado"/>
    <s v="nenhum"/>
    <n v="2"/>
    <s v="imovel"/>
    <n v="33"/>
    <s v="Adulto (26-40)"/>
    <s v="nenhum"/>
    <s v="própria"/>
    <n v="2"/>
    <s v="Func. Público/Qualificado"/>
    <n v="1"/>
    <s v="sim"/>
    <s v="sim"/>
    <n v="1"/>
  </r>
  <r>
    <n v="435"/>
    <x v="0"/>
    <s v="&lt; 0 $"/>
    <s v="negativo/devedor"/>
    <n v="9"/>
    <s v="pgto em dia neste banco (em aberto)"/>
    <s v="moveis e equipamentos"/>
    <n v="2136"/>
    <s v="&lt; 100 $"/>
    <s v="Baixo (&lt; 100 $)"/>
    <s v="&lt; 4 anos"/>
    <s v="Intermediário (1-4 anos)"/>
    <n v="3"/>
    <s v="masculino"/>
    <s v="solteiro"/>
    <s v="nenhum"/>
    <n v="2"/>
    <s v="imovel"/>
    <n v="25"/>
    <s v="Adulto (26-40)"/>
    <s v="nenhum"/>
    <s v="própria"/>
    <n v="1"/>
    <s v="Func. Público/Qualificado"/>
    <n v="1"/>
    <s v="não"/>
    <s v="sim"/>
    <n v="1"/>
  </r>
  <r>
    <n v="436"/>
    <x v="1"/>
    <s v="&gt;= 0 &lt; 200 $"/>
    <s v="saldo baixo"/>
    <n v="12"/>
    <s v="pgto em dia neste banco (em aberto)"/>
    <s v="radio ou televisao"/>
    <n v="1484"/>
    <s v="sem poupança"/>
    <s v="sem poupança"/>
    <s v="&lt; 4 anos"/>
    <s v="Intermediário (1-4 anos)"/>
    <n v="2"/>
    <s v="masculino"/>
    <s v="casado/viuvo"/>
    <s v="nenhum"/>
    <n v="1"/>
    <s v="imovel"/>
    <n v="25"/>
    <s v="Adulto (26-40)"/>
    <s v="nenhum"/>
    <s v="própria"/>
    <n v="1"/>
    <s v="Func. Público/Qualificado"/>
    <n v="1"/>
    <s v="sim"/>
    <s v="sim"/>
    <n v="2"/>
  </r>
  <r>
    <n v="437"/>
    <x v="0"/>
    <s v="sem conta corrente"/>
    <s v="sem conta no banco"/>
    <n v="6"/>
    <s v="pgto em dia neste banco (em aberto)"/>
    <s v="reparos"/>
    <n v="660"/>
    <s v="&gt;= 500 &lt; 1000 $"/>
    <s v="Alto (500-1000 $)"/>
    <s v="&lt; 7 anos"/>
    <s v="Estável (4-7 anos)"/>
    <n v="2"/>
    <s v="masculino"/>
    <s v="casado/viuvo"/>
    <s v="nenhum"/>
    <n v="4"/>
    <s v="imovel"/>
    <n v="23"/>
    <s v="Jovem (18-25)"/>
    <s v="nenhum"/>
    <s v="aluguel"/>
    <n v="1"/>
    <s v="Empregado Comum"/>
    <n v="1"/>
    <s v="não"/>
    <s v="sim"/>
    <n v="1"/>
  </r>
  <r>
    <n v="438"/>
    <x v="0"/>
    <s v="sem conta corrente"/>
    <s v="sem conta no banco"/>
    <n v="24"/>
    <s v="conta critica / dividas com terceiros"/>
    <s v="carro novo"/>
    <n v="1287"/>
    <s v="&gt;= 1000 $"/>
    <s v="Muito alto (&gt;1000$)"/>
    <s v="&gt;= 7 anos"/>
    <s v="Muito Estável (&gt; 7 anos)"/>
    <n v="4"/>
    <s v="feminino"/>
    <s v="divorciada/casada"/>
    <s v="nenhum"/>
    <n v="4"/>
    <s v="imovel"/>
    <n v="37"/>
    <s v="Adulto (26-40)"/>
    <s v="nenhum"/>
    <s v="própria"/>
    <n v="2"/>
    <s v="Func. Público/Qualificado"/>
    <n v="1"/>
    <s v="sim"/>
    <s v="sim"/>
    <n v="1"/>
  </r>
  <r>
    <n v="439"/>
    <x v="0"/>
    <s v="&lt; 0 $"/>
    <s v="negativo/devedor"/>
    <n v="42"/>
    <s v="conta critica / dividas com terceiros"/>
    <s v="reparos"/>
    <n v="3394"/>
    <s v="&lt; 100 $"/>
    <s v="Baixo (&lt; 100 $)"/>
    <s v="desempregado"/>
    <s v="desempregado"/>
    <n v="4"/>
    <s v="masculino"/>
    <s v="solteiro"/>
    <s v="codevedor"/>
    <n v="4"/>
    <s v="carro ou outros-quitado"/>
    <n v="65"/>
    <s v="Idoso (60+)"/>
    <s v="nenhum"/>
    <s v="própria"/>
    <n v="2"/>
    <s v="Não qualificado/Desempregado"/>
    <n v="1"/>
    <s v="não"/>
    <s v="sim"/>
    <n v="1"/>
  </r>
  <r>
    <n v="440"/>
    <x v="1"/>
    <s v="&gt;= 200 $"/>
    <s v="saldo saudável"/>
    <n v="12"/>
    <s v="pgto em dia neste banco (quitado)"/>
    <s v="negocios"/>
    <n v="609"/>
    <s v="&lt; 100 $"/>
    <s v="Baixo (&lt; 100 $)"/>
    <s v="&lt; 1 ano"/>
    <s v="Iniciante (&lt; 1 ano)"/>
    <n v="4"/>
    <s v="feminino"/>
    <s v="divorciada/casada"/>
    <s v="nenhum"/>
    <n v="1"/>
    <s v="imovel"/>
    <n v="26"/>
    <s v="Adulto (26-40)"/>
    <s v="nenhum"/>
    <s v="própria"/>
    <n v="1"/>
    <s v="Não qualificado/Desempregado"/>
    <n v="1"/>
    <s v="não"/>
    <s v="sim"/>
    <n v="2"/>
  </r>
  <r>
    <n v="441"/>
    <x v="0"/>
    <s v="sem conta corrente"/>
    <s v="sem conta no banco"/>
    <n v="12"/>
    <s v="pgto em dia neste banco (em aberto)"/>
    <s v="carro novo"/>
    <n v="1884"/>
    <s v="&lt; 100 $"/>
    <s v="Baixo (&lt; 100 $)"/>
    <s v="&gt;= 7 anos"/>
    <s v="Muito Estável (&gt; 7 anos)"/>
    <n v="4"/>
    <s v="masculino"/>
    <s v="solteiro"/>
    <s v="nenhum"/>
    <n v="4"/>
    <s v="carro ou outros-quitado"/>
    <n v="39"/>
    <s v="Adulto (26-40)"/>
    <s v="nenhum"/>
    <s v="própria"/>
    <n v="1"/>
    <s v="Executivo/Empresário"/>
    <n v="1"/>
    <s v="sim"/>
    <s v="sim"/>
    <n v="1"/>
  </r>
  <r>
    <n v="442"/>
    <x v="0"/>
    <s v="&lt; 0 $"/>
    <s v="negativo/devedor"/>
    <n v="12"/>
    <s v="pgto em dia neste banco (em aberto)"/>
    <s v="moveis e equipamentos"/>
    <n v="1620"/>
    <s v="&lt; 100 $"/>
    <s v="Baixo (&lt; 100 $)"/>
    <s v="&lt; 4 anos"/>
    <s v="Intermediário (1-4 anos)"/>
    <n v="2"/>
    <s v="feminino"/>
    <s v="divorciada/casada"/>
    <s v="codevedor"/>
    <n v="3"/>
    <s v="poupança ou seguro de vida"/>
    <n v="30"/>
    <s v="Adulto (26-40)"/>
    <s v="nenhum"/>
    <s v="própria"/>
    <n v="1"/>
    <s v="Func. Público/Qualificado"/>
    <n v="1"/>
    <s v="não"/>
    <s v="sim"/>
    <n v="1"/>
  </r>
  <r>
    <n v="443"/>
    <x v="0"/>
    <s v="&gt;= 0 &lt; 200 $"/>
    <s v="saldo baixo"/>
    <n v="20"/>
    <s v="pgto em atraso no passado"/>
    <s v="outros"/>
    <n v="2629"/>
    <s v="&lt; 100 $"/>
    <s v="Baixo (&lt; 100 $)"/>
    <s v="&lt; 4 anos"/>
    <s v="Intermediário (1-4 anos)"/>
    <n v="2"/>
    <s v="masculino"/>
    <s v="solteiro"/>
    <s v="nenhum"/>
    <n v="3"/>
    <s v="carro ou outros-quitado"/>
    <n v="29"/>
    <s v="Adulto (26-40)"/>
    <s v="banco"/>
    <s v="própria"/>
    <n v="2"/>
    <s v="Func. Público/Qualificado"/>
    <n v="1"/>
    <s v="sim"/>
    <s v="sim"/>
    <n v="1"/>
  </r>
  <r>
    <n v="444"/>
    <x v="1"/>
    <s v="sem conta corrente"/>
    <s v="sem conta no banco"/>
    <n v="12"/>
    <s v="pgto em dia neste banco (em aberto)"/>
    <s v="educacao"/>
    <n v="719"/>
    <s v="&lt; 100 $"/>
    <s v="Baixo (&lt; 100 $)"/>
    <s v="&gt;= 7 anos"/>
    <s v="Muito Estável (&gt; 7 anos)"/>
    <n v="4"/>
    <s v="masculino"/>
    <s v="solteiro"/>
    <s v="nenhum"/>
    <n v="4"/>
    <s v="carro ou outros-quitado"/>
    <n v="41"/>
    <s v="Sénior (41-60)"/>
    <s v="banco"/>
    <s v="própria"/>
    <n v="1"/>
    <s v="Empregado Comum"/>
    <n v="2"/>
    <s v="não"/>
    <s v="sim"/>
    <n v="2"/>
  </r>
  <r>
    <n v="445"/>
    <x v="1"/>
    <s v="&gt;= 0 &lt; 200 $"/>
    <s v="saldo baixo"/>
    <n v="48"/>
    <s v="conta critica / dividas com terceiros"/>
    <s v="moveis e equipamentos"/>
    <n v="5096"/>
    <s v="&lt; 100 $"/>
    <s v="Baixo (&lt; 100 $)"/>
    <s v="&lt; 4 anos"/>
    <s v="Intermediário (1-4 anos)"/>
    <n v="2"/>
    <s v="feminino"/>
    <s v="divorciada/casada"/>
    <s v="nenhum"/>
    <n v="3"/>
    <s v="carro ou outros-quitado"/>
    <n v="30"/>
    <s v="Adulto (26-40)"/>
    <s v="nenhum"/>
    <s v="própria"/>
    <n v="1"/>
    <s v="Executivo/Empresário"/>
    <n v="1"/>
    <s v="sim"/>
    <s v="sim"/>
    <n v="2"/>
  </r>
  <r>
    <n v="446"/>
    <x v="0"/>
    <s v="sem conta corrente"/>
    <s v="sem conta no banco"/>
    <n v="9"/>
    <s v="conta critica / dividas com terceiros"/>
    <s v="educacao"/>
    <n v="1244"/>
    <s v="sem poupança"/>
    <s v="sem poupança"/>
    <s v="&gt;= 7 anos"/>
    <s v="Muito Estável (&gt; 7 anos)"/>
    <n v="4"/>
    <s v="feminino"/>
    <s v="divorciada/casada"/>
    <s v="nenhum"/>
    <n v="4"/>
    <s v="poupança ou seguro de vida"/>
    <n v="41"/>
    <s v="Sénior (41-60)"/>
    <s v="nenhum"/>
    <s v="aluguel"/>
    <n v="2"/>
    <s v="Empregado Comum"/>
    <n v="1"/>
    <s v="não"/>
    <s v="sim"/>
    <n v="1"/>
  </r>
  <r>
    <n v="447"/>
    <x v="1"/>
    <s v="&lt; 0 $"/>
    <s v="negativo/devedor"/>
    <n v="36"/>
    <s v="pgto em dia neste banco (em aberto)"/>
    <s v="carro novo"/>
    <n v="1842"/>
    <s v="&lt; 100 $"/>
    <s v="Baixo (&lt; 100 $)"/>
    <s v="&lt; 1 ano"/>
    <s v="Iniciante (&lt; 1 ano)"/>
    <n v="4"/>
    <s v="feminino"/>
    <s v="divorciada/casada"/>
    <s v="nenhum"/>
    <n v="4"/>
    <s v="carro ou outros-quitado"/>
    <n v="34"/>
    <s v="Adulto (26-40)"/>
    <s v="nenhum"/>
    <s v="própria"/>
    <n v="1"/>
    <s v="Func. Público/Qualificado"/>
    <n v="1"/>
    <s v="sim"/>
    <s v="sim"/>
    <n v="2"/>
  </r>
  <r>
    <n v="448"/>
    <x v="0"/>
    <s v="&gt;= 0 &lt; 200 $"/>
    <s v="saldo baixo"/>
    <n v="7"/>
    <s v="pgto em dia neste banco (em aberto)"/>
    <s v="radio ou televisao"/>
    <n v="2576"/>
    <s v="&lt; 100 $"/>
    <s v="Baixo (&lt; 100 $)"/>
    <s v="&lt; 4 anos"/>
    <s v="Intermediário (1-4 anos)"/>
    <n v="2"/>
    <s v="masculino"/>
    <s v="solteiro"/>
    <s v="garantidor"/>
    <n v="2"/>
    <s v="imovel"/>
    <n v="35"/>
    <s v="Adulto (26-40)"/>
    <s v="nenhum"/>
    <s v="própria"/>
    <n v="1"/>
    <s v="Func. Público/Qualificado"/>
    <n v="1"/>
    <s v="não"/>
    <s v="sim"/>
    <n v="1"/>
  </r>
  <r>
    <n v="449"/>
    <x v="0"/>
    <s v="&gt;= 200 $"/>
    <s v="saldo saudável"/>
    <n v="12"/>
    <s v="pgto em dia neste banco (em aberto)"/>
    <s v="moveis e equipamentos"/>
    <n v="1424"/>
    <s v="sem poupança"/>
    <s v="sem poupança"/>
    <s v="&gt;= 7 anos"/>
    <s v="Muito Estável (&gt; 7 anos)"/>
    <n v="3"/>
    <s v="feminino"/>
    <s v="divorciada/casada"/>
    <s v="nenhum"/>
    <n v="4"/>
    <s v="imovel"/>
    <n v="55"/>
    <s v="Sénior (41-60)"/>
    <s v="nenhum"/>
    <s v="própria"/>
    <n v="1"/>
    <s v="Executivo/Empresário"/>
    <n v="1"/>
    <s v="sim"/>
    <s v="sim"/>
    <n v="1"/>
  </r>
  <r>
    <n v="450"/>
    <x v="1"/>
    <s v="&gt;= 0 &lt; 200 $"/>
    <s v="saldo baixo"/>
    <n v="15"/>
    <s v="pgto em atraso no passado"/>
    <s v="reparos"/>
    <n v="1512"/>
    <s v="&gt;= 1000 $"/>
    <s v="Muito alto (&gt;1000$)"/>
    <s v="&lt; 4 anos"/>
    <s v="Intermediário (1-4 anos)"/>
    <n v="3"/>
    <s v="masculino"/>
    <s v="casado/viuvo"/>
    <s v="nenhum"/>
    <n v="3"/>
    <s v="poupança ou seguro de vida"/>
    <n v="61"/>
    <s v="Idoso (60+)"/>
    <s v="loja"/>
    <s v="própria"/>
    <n v="2"/>
    <s v="Func. Público/Qualificado"/>
    <n v="1"/>
    <s v="não"/>
    <s v="sim"/>
    <n v="2"/>
  </r>
  <r>
    <n v="451"/>
    <x v="0"/>
    <s v="sem conta corrente"/>
    <s v="sem conta no banco"/>
    <n v="36"/>
    <s v="conta critica / dividas com terceiros"/>
    <s v="carro usado"/>
    <n v="11054"/>
    <s v="sem poupança"/>
    <s v="sem poupança"/>
    <s v="&lt; 4 anos"/>
    <s v="Intermediário (1-4 anos)"/>
    <n v="4"/>
    <s v="masculino"/>
    <s v="solteiro"/>
    <s v="nenhum"/>
    <n v="2"/>
    <s v="carro ou outros-quitado"/>
    <n v="30"/>
    <s v="Adulto (26-40)"/>
    <s v="nenhum"/>
    <s v="própria"/>
    <n v="1"/>
    <s v="Executivo/Empresário"/>
    <n v="1"/>
    <s v="sim"/>
    <s v="sim"/>
    <n v="1"/>
  </r>
  <r>
    <n v="452"/>
    <x v="0"/>
    <s v="sem conta corrente"/>
    <s v="sem conta no banco"/>
    <n v="6"/>
    <s v="pgto em dia neste banco (em aberto)"/>
    <s v="radio ou televisao"/>
    <n v="518"/>
    <s v="&lt; 100 $"/>
    <s v="Baixo (&lt; 100 $)"/>
    <s v="&lt; 4 anos"/>
    <s v="Intermediário (1-4 anos)"/>
    <n v="3"/>
    <s v="feminino"/>
    <s v="divorciada/casada"/>
    <s v="nenhum"/>
    <n v="1"/>
    <s v="imovel"/>
    <n v="29"/>
    <s v="Adulto (26-40)"/>
    <s v="nenhum"/>
    <s v="própria"/>
    <n v="1"/>
    <s v="Func. Público/Qualificado"/>
    <n v="1"/>
    <s v="não"/>
    <s v="sim"/>
    <n v="1"/>
  </r>
  <r>
    <n v="453"/>
    <x v="0"/>
    <s v="sem conta corrente"/>
    <s v="sem conta no banco"/>
    <n v="12"/>
    <s v="nenhum/pgto em dia"/>
    <s v="moveis e equipamentos"/>
    <n v="2759"/>
    <s v="&lt; 100 $"/>
    <s v="Baixo (&lt; 100 $)"/>
    <s v="&gt;= 7 anos"/>
    <s v="Muito Estável (&gt; 7 anos)"/>
    <n v="2"/>
    <s v="masculino"/>
    <s v="solteiro"/>
    <s v="nenhum"/>
    <n v="4"/>
    <s v="poupança ou seguro de vida"/>
    <n v="34"/>
    <s v="Adulto (26-40)"/>
    <s v="nenhum"/>
    <s v="própria"/>
    <n v="2"/>
    <s v="Func. Público/Qualificado"/>
    <n v="1"/>
    <s v="não"/>
    <s v="sim"/>
    <n v="1"/>
  </r>
  <r>
    <n v="454"/>
    <x v="0"/>
    <s v="sem conta corrente"/>
    <s v="sem conta no banco"/>
    <n v="24"/>
    <s v="pgto em dia neste banco (em aberto)"/>
    <s v="carro usado"/>
    <n v="2670"/>
    <s v="&lt; 100 $"/>
    <s v="Baixo (&lt; 100 $)"/>
    <s v="&gt;= 7 anos"/>
    <s v="Muito Estável (&gt; 7 anos)"/>
    <n v="4"/>
    <s v="masculino"/>
    <s v="solteiro"/>
    <s v="nenhum"/>
    <n v="4"/>
    <s v="carro ou outros-quitado"/>
    <n v="35"/>
    <s v="Adulto (26-40)"/>
    <s v="nenhum"/>
    <s v="própria"/>
    <n v="1"/>
    <s v="Executivo/Empresário"/>
    <n v="1"/>
    <s v="sim"/>
    <s v="sim"/>
    <n v="1"/>
  </r>
  <r>
    <n v="455"/>
    <x v="1"/>
    <s v="&lt; 0 $"/>
    <s v="negativo/devedor"/>
    <n v="24"/>
    <s v="pgto em dia neste banco (em aberto)"/>
    <s v="carro novo"/>
    <n v="4817"/>
    <s v="&lt; 100 $"/>
    <s v="Baixo (&lt; 100 $)"/>
    <s v="&lt; 7 anos"/>
    <s v="Estável (4-7 anos)"/>
    <n v="2"/>
    <s v="masculino"/>
    <s v="solteiro"/>
    <s v="codevedor"/>
    <n v="3"/>
    <s v="poupança ou seguro de vida"/>
    <n v="31"/>
    <s v="Adulto (26-40)"/>
    <s v="nenhum"/>
    <s v="própria"/>
    <n v="1"/>
    <s v="Func. Público/Qualificado"/>
    <n v="1"/>
    <s v="sim"/>
    <s v="sim"/>
    <n v="2"/>
  </r>
  <r>
    <n v="456"/>
    <x v="0"/>
    <s v="sem conta corrente"/>
    <s v="sem conta no banco"/>
    <n v="24"/>
    <s v="pgto em dia neste banco (em aberto)"/>
    <s v="carro usado"/>
    <n v="2679"/>
    <s v="&lt; 100 $"/>
    <s v="Baixo (&lt; 100 $)"/>
    <s v="&lt; 1 ano"/>
    <s v="Iniciante (&lt; 1 ano)"/>
    <n v="4"/>
    <s v="feminino"/>
    <s v="divorciada/casada"/>
    <s v="nenhum"/>
    <n v="1"/>
    <s v="sem bens"/>
    <n v="29"/>
    <s v="Adulto (26-40)"/>
    <s v="nenhum"/>
    <s v="própria"/>
    <n v="1"/>
    <s v="Executivo/Empresário"/>
    <n v="1"/>
    <s v="sim"/>
    <s v="sim"/>
    <n v="1"/>
  </r>
  <r>
    <n v="457"/>
    <x v="0"/>
    <s v="&lt; 0 $"/>
    <s v="negativo/devedor"/>
    <n v="11"/>
    <s v="conta critica / dividas com terceiros"/>
    <s v="carro novo"/>
    <n v="3905"/>
    <s v="&lt; 100 $"/>
    <s v="Baixo (&lt; 100 $)"/>
    <s v="&lt; 4 anos"/>
    <s v="Intermediário (1-4 anos)"/>
    <n v="2"/>
    <s v="masculino"/>
    <s v="solteiro"/>
    <s v="nenhum"/>
    <n v="2"/>
    <s v="imovel"/>
    <n v="36"/>
    <s v="Adulto (26-40)"/>
    <s v="nenhum"/>
    <s v="aluguel"/>
    <n v="2"/>
    <s v="Func. Público/Qualificado"/>
    <n v="2"/>
    <s v="não"/>
    <s v="sim"/>
    <n v="1"/>
  </r>
  <r>
    <n v="458"/>
    <x v="1"/>
    <s v="&lt; 0 $"/>
    <s v="negativo/devedor"/>
    <n v="12"/>
    <s v="pgto em dia neste banco (em aberto)"/>
    <s v="carro usado"/>
    <n v="3386"/>
    <s v="&lt; 100 $"/>
    <s v="Baixo (&lt; 100 $)"/>
    <s v="&gt;= 7 anos"/>
    <s v="Muito Estável (&gt; 7 anos)"/>
    <n v="3"/>
    <s v="masculino"/>
    <s v="solteiro"/>
    <s v="nenhum"/>
    <n v="4"/>
    <s v="sem bens"/>
    <n v="35"/>
    <s v="Adulto (26-40)"/>
    <s v="nenhum"/>
    <s v="gratuita"/>
    <n v="1"/>
    <s v="Func. Público/Qualificado"/>
    <n v="1"/>
    <s v="sim"/>
    <s v="sim"/>
    <n v="2"/>
  </r>
  <r>
    <n v="459"/>
    <x v="0"/>
    <s v="&lt; 0 $"/>
    <s v="negativo/devedor"/>
    <n v="6"/>
    <s v="pgto em dia neste banco (em aberto)"/>
    <s v="eletrodomesticos"/>
    <n v="343"/>
    <s v="&lt; 100 $"/>
    <s v="Baixo (&lt; 100 $)"/>
    <s v="&lt; 1 ano"/>
    <s v="Iniciante (&lt; 1 ano)"/>
    <n v="4"/>
    <s v="feminino"/>
    <s v="divorciada/casada"/>
    <s v="nenhum"/>
    <n v="1"/>
    <s v="imovel"/>
    <n v="27"/>
    <s v="Adulto (26-40)"/>
    <s v="nenhum"/>
    <s v="própria"/>
    <n v="1"/>
    <s v="Func. Público/Qualificado"/>
    <n v="1"/>
    <s v="não"/>
    <s v="sim"/>
    <n v="1"/>
  </r>
  <r>
    <n v="460"/>
    <x v="0"/>
    <s v="sem conta corrente"/>
    <s v="sem conta no banco"/>
    <n v="18"/>
    <s v="pgto em dia neste banco (em aberto)"/>
    <s v="radio ou televisao"/>
    <n v="4594"/>
    <s v="&lt; 100 $"/>
    <s v="Baixo (&lt; 100 $)"/>
    <s v="&lt; 1 ano"/>
    <s v="Iniciante (&lt; 1 ano)"/>
    <n v="3"/>
    <s v="masculino"/>
    <s v="solteiro"/>
    <s v="nenhum"/>
    <n v="2"/>
    <s v="carro ou outros-quitado"/>
    <n v="32"/>
    <s v="Adulto (26-40)"/>
    <s v="nenhum"/>
    <s v="própria"/>
    <n v="1"/>
    <s v="Func. Público/Qualificado"/>
    <n v="1"/>
    <s v="sim"/>
    <s v="sim"/>
    <n v="1"/>
  </r>
  <r>
    <n v="461"/>
    <x v="0"/>
    <s v="&lt; 0 $"/>
    <s v="negativo/devedor"/>
    <n v="36"/>
    <s v="pgto em dia neste banco (em aberto)"/>
    <s v="moveis e equipamentos"/>
    <n v="3620"/>
    <s v="&lt; 100 $"/>
    <s v="Baixo (&lt; 100 $)"/>
    <s v="&lt; 4 anos"/>
    <s v="Intermediário (1-4 anos)"/>
    <n v="1"/>
    <s v="masculino"/>
    <s v="solteiro"/>
    <s v="garantidor"/>
    <n v="2"/>
    <s v="poupança ou seguro de vida"/>
    <n v="37"/>
    <s v="Adulto (26-40)"/>
    <s v="nenhum"/>
    <s v="própria"/>
    <n v="1"/>
    <s v="Func. Público/Qualificado"/>
    <n v="2"/>
    <s v="não"/>
    <s v="sim"/>
    <n v="1"/>
  </r>
  <r>
    <n v="462"/>
    <x v="0"/>
    <s v="&lt; 0 $"/>
    <s v="negativo/devedor"/>
    <n v="15"/>
    <s v="pgto em dia neste banco (em aberto)"/>
    <s v="carro novo"/>
    <n v="1721"/>
    <s v="&lt; 100 $"/>
    <s v="Baixo (&lt; 100 $)"/>
    <s v="&lt; 1 ano"/>
    <s v="Iniciante (&lt; 1 ano)"/>
    <n v="2"/>
    <s v="masculino"/>
    <s v="solteiro"/>
    <s v="nenhum"/>
    <n v="3"/>
    <s v="imovel"/>
    <n v="36"/>
    <s v="Adulto (26-40)"/>
    <s v="nenhum"/>
    <s v="própria"/>
    <n v="1"/>
    <s v="Func. Público/Qualificado"/>
    <n v="1"/>
    <s v="não"/>
    <s v="sim"/>
    <n v="1"/>
  </r>
  <r>
    <n v="463"/>
    <x v="0"/>
    <s v="&gt;= 0 &lt; 200 $"/>
    <s v="saldo baixo"/>
    <n v="12"/>
    <s v="pgto em dia neste banco (em aberto)"/>
    <s v="moveis e equipamentos"/>
    <n v="3017"/>
    <s v="&lt; 100 $"/>
    <s v="Baixo (&lt; 100 $)"/>
    <s v="&lt; 1 ano"/>
    <s v="Iniciante (&lt; 1 ano)"/>
    <n v="3"/>
    <s v="feminino"/>
    <s v="divorciada/casada"/>
    <s v="nenhum"/>
    <n v="1"/>
    <s v="imovel"/>
    <n v="34"/>
    <s v="Adulto (26-40)"/>
    <s v="nenhum"/>
    <s v="aluguel"/>
    <n v="1"/>
    <s v="Executivo/Empresário"/>
    <n v="1"/>
    <s v="não"/>
    <s v="sim"/>
    <n v="1"/>
  </r>
  <r>
    <n v="464"/>
    <x v="0"/>
    <s v="&gt;= 0 &lt; 200 $"/>
    <s v="saldo baixo"/>
    <n v="12"/>
    <s v="pgto em dia neste banco (em aberto)"/>
    <s v="reciclagem profissional"/>
    <n v="754"/>
    <s v="sem poupança"/>
    <s v="sem poupança"/>
    <s v="&gt;= 7 anos"/>
    <s v="Muito Estável (&gt; 7 anos)"/>
    <n v="4"/>
    <s v="masculino"/>
    <s v="solteiro"/>
    <s v="nenhum"/>
    <n v="4"/>
    <s v="poupança ou seguro de vida"/>
    <n v="38"/>
    <s v="Adulto (26-40)"/>
    <s v="nenhum"/>
    <s v="própria"/>
    <n v="2"/>
    <s v="Func. Público/Qualificado"/>
    <n v="1"/>
    <s v="não"/>
    <s v="sim"/>
    <n v="1"/>
  </r>
  <r>
    <n v="465"/>
    <x v="0"/>
    <s v="sem conta corrente"/>
    <s v="sem conta no banco"/>
    <n v="18"/>
    <s v="pgto em dia neste banco (em aberto)"/>
    <s v="negocios"/>
    <n v="1950"/>
    <s v="&lt; 100 $"/>
    <s v="Baixo (&lt; 100 $)"/>
    <s v="&lt; 7 anos"/>
    <s v="Estável (4-7 anos)"/>
    <n v="4"/>
    <s v="masculino"/>
    <s v="solteiro"/>
    <s v="nenhum"/>
    <n v="1"/>
    <s v="carro ou outros-quitado"/>
    <n v="34"/>
    <s v="Adulto (26-40)"/>
    <s v="loja"/>
    <s v="própria"/>
    <n v="2"/>
    <s v="Func. Público/Qualificado"/>
    <n v="1"/>
    <s v="sim"/>
    <s v="sim"/>
    <n v="1"/>
  </r>
  <r>
    <n v="466"/>
    <x v="0"/>
    <s v="&lt; 0 $"/>
    <s v="negativo/devedor"/>
    <n v="24"/>
    <s v="pgto em dia neste banco (em aberto)"/>
    <s v="carro usado"/>
    <n v="2924"/>
    <s v="&lt; 100 $"/>
    <s v="Baixo (&lt; 100 $)"/>
    <s v="&lt; 4 anos"/>
    <s v="Intermediário (1-4 anos)"/>
    <n v="3"/>
    <s v="masculino"/>
    <s v="solteiro"/>
    <s v="garantidor"/>
    <n v="4"/>
    <s v="sem bens"/>
    <n v="63"/>
    <s v="Idoso (60+)"/>
    <s v="banco"/>
    <s v="própria"/>
    <n v="1"/>
    <s v="Func. Público/Qualificado"/>
    <n v="2"/>
    <s v="sim"/>
    <s v="sim"/>
    <n v="1"/>
  </r>
  <r>
    <n v="467"/>
    <x v="1"/>
    <s v="&lt; 0 $"/>
    <s v="negativo/devedor"/>
    <n v="24"/>
    <s v="pgto em atraso no passado"/>
    <s v="radio ou televisao"/>
    <n v="1659"/>
    <s v="&lt; 100 $"/>
    <s v="Baixo (&lt; 100 $)"/>
    <s v="&lt; 1 ano"/>
    <s v="Iniciante (&lt; 1 ano)"/>
    <n v="4"/>
    <s v="feminino"/>
    <s v="divorciada/casada"/>
    <s v="nenhum"/>
    <n v="2"/>
    <s v="carro ou outros-quitado"/>
    <n v="29"/>
    <s v="Adulto (26-40)"/>
    <s v="nenhum"/>
    <s v="aluguel"/>
    <n v="1"/>
    <s v="Empregado Comum"/>
    <n v="1"/>
    <s v="sim"/>
    <s v="sim"/>
    <n v="2"/>
  </r>
  <r>
    <n v="468"/>
    <x v="0"/>
    <s v="sem conta corrente"/>
    <s v="sem conta no banco"/>
    <n v="48"/>
    <s v="pgto em atraso no passado"/>
    <s v="radio ou televisao"/>
    <n v="7238"/>
    <s v="sem poupança"/>
    <s v="sem poupança"/>
    <s v="&gt;= 7 anos"/>
    <s v="Muito Estável (&gt; 7 anos)"/>
    <n v="3"/>
    <s v="masculino"/>
    <s v="solteiro"/>
    <s v="nenhum"/>
    <n v="3"/>
    <s v="carro ou outros-quitado"/>
    <n v="32"/>
    <s v="Adulto (26-40)"/>
    <s v="banco"/>
    <s v="própria"/>
    <n v="2"/>
    <s v="Func. Público/Qualificado"/>
    <n v="2"/>
    <s v="não"/>
    <s v="sim"/>
    <n v="1"/>
  </r>
  <r>
    <n v="469"/>
    <x v="0"/>
    <s v="sem conta corrente"/>
    <s v="sem conta no banco"/>
    <n v="33"/>
    <s v="pgto em atraso no passado"/>
    <s v="negocios"/>
    <n v="2764"/>
    <s v="&lt; 100 $"/>
    <s v="Baixo (&lt; 100 $)"/>
    <s v="&lt; 4 anos"/>
    <s v="Intermediário (1-4 anos)"/>
    <n v="2"/>
    <s v="feminino"/>
    <s v="divorciada/casada"/>
    <s v="nenhum"/>
    <n v="2"/>
    <s v="carro ou outros-quitado"/>
    <n v="26"/>
    <s v="Adulto (26-40)"/>
    <s v="nenhum"/>
    <s v="própria"/>
    <n v="2"/>
    <s v="Func. Público/Qualificado"/>
    <n v="1"/>
    <s v="sim"/>
    <s v="sim"/>
    <n v="1"/>
  </r>
  <r>
    <n v="470"/>
    <x v="0"/>
    <s v="sem conta corrente"/>
    <s v="sem conta no banco"/>
    <n v="24"/>
    <s v="pgto em atraso no passado"/>
    <s v="carro usado"/>
    <n v="4679"/>
    <s v="&lt; 100 $"/>
    <s v="Baixo (&lt; 100 $)"/>
    <s v="&lt; 7 anos"/>
    <s v="Estável (4-7 anos)"/>
    <n v="3"/>
    <s v="masculino"/>
    <s v="solteiro"/>
    <s v="nenhum"/>
    <n v="3"/>
    <s v="carro ou outros-quitado"/>
    <n v="35"/>
    <s v="Adulto (26-40)"/>
    <s v="nenhum"/>
    <s v="própria"/>
    <n v="2"/>
    <s v="Empregado Comum"/>
    <n v="1"/>
    <s v="sim"/>
    <s v="sim"/>
    <n v="1"/>
  </r>
  <r>
    <n v="471"/>
    <x v="1"/>
    <s v="&gt;= 0 &lt; 200 $"/>
    <s v="saldo baixo"/>
    <n v="24"/>
    <s v="pgto em dia neste banco (em aberto)"/>
    <s v="radio ou televisao"/>
    <n v="3092"/>
    <s v="&gt;= 100 &lt; 500 $"/>
    <s v="Médio (100-500$)"/>
    <s v="&lt; 1 ano"/>
    <s v="Iniciante (&lt; 1 ano)"/>
    <n v="3"/>
    <s v="masculino"/>
    <s v="casado/viuvo"/>
    <s v="nenhum"/>
    <n v="2"/>
    <s v="carro ou outros-quitado"/>
    <n v="22"/>
    <s v="Jovem (18-25)"/>
    <s v="nenhum"/>
    <s v="aluguel"/>
    <n v="1"/>
    <s v="Func. Público/Qualificado"/>
    <n v="1"/>
    <s v="sim"/>
    <s v="sim"/>
    <n v="2"/>
  </r>
  <r>
    <n v="472"/>
    <x v="1"/>
    <s v="&lt; 0 $"/>
    <s v="negativo/devedor"/>
    <n v="6"/>
    <s v="pgto em dia neste banco (em aberto)"/>
    <s v="educacao"/>
    <n v="448"/>
    <s v="&lt; 100 $"/>
    <s v="Baixo (&lt; 100 $)"/>
    <s v="&lt; 1 ano"/>
    <s v="Iniciante (&lt; 1 ano)"/>
    <n v="4"/>
    <s v="feminino"/>
    <s v="divorciada/casada"/>
    <s v="nenhum"/>
    <n v="4"/>
    <s v="poupança ou seguro de vida"/>
    <n v="23"/>
    <s v="Jovem (18-25)"/>
    <s v="nenhum"/>
    <s v="própria"/>
    <n v="1"/>
    <s v="Func. Público/Qualificado"/>
    <n v="1"/>
    <s v="não"/>
    <s v="sim"/>
    <n v="2"/>
  </r>
  <r>
    <n v="473"/>
    <x v="1"/>
    <s v="&lt; 0 $"/>
    <s v="negativo/devedor"/>
    <n v="9"/>
    <s v="pgto em dia neste banco (em aberto)"/>
    <s v="carro novo"/>
    <n v="654"/>
    <s v="&lt; 100 $"/>
    <s v="Baixo (&lt; 100 $)"/>
    <s v="&lt; 4 anos"/>
    <s v="Intermediário (1-4 anos)"/>
    <n v="4"/>
    <s v="masculino"/>
    <s v="solteiro"/>
    <s v="nenhum"/>
    <n v="3"/>
    <s v="carro ou outros-quitado"/>
    <n v="28"/>
    <s v="Adulto (26-40)"/>
    <s v="nenhum"/>
    <s v="própria"/>
    <n v="1"/>
    <s v="Empregado Comum"/>
    <n v="1"/>
    <s v="não"/>
    <s v="sim"/>
    <n v="2"/>
  </r>
  <r>
    <n v="474"/>
    <x v="0"/>
    <s v="sem conta corrente"/>
    <s v="sem conta no banco"/>
    <n v="6"/>
    <s v="pgto em dia neste banco (em aberto)"/>
    <s v="reciclagem profissional"/>
    <n v="1238"/>
    <s v="sem poupança"/>
    <s v="sem poupança"/>
    <s v="desempregado"/>
    <s v="desempregado"/>
    <n v="4"/>
    <s v="masculino"/>
    <s v="solteiro"/>
    <s v="nenhum"/>
    <n v="4"/>
    <s v="poupança ou seguro de vida"/>
    <n v="36"/>
    <s v="Adulto (26-40)"/>
    <s v="nenhum"/>
    <s v="própria"/>
    <n v="1"/>
    <s v="Executivo/Empresário"/>
    <n v="2"/>
    <s v="sim"/>
    <s v="sim"/>
    <n v="1"/>
  </r>
  <r>
    <n v="475"/>
    <x v="1"/>
    <s v="&gt;= 0 &lt; 200 $"/>
    <s v="saldo baixo"/>
    <n v="18"/>
    <s v="conta critica / dividas com terceiros"/>
    <s v="radio ou televisao"/>
    <n v="1245"/>
    <s v="&lt; 100 $"/>
    <s v="Baixo (&lt; 100 $)"/>
    <s v="&lt; 4 anos"/>
    <s v="Intermediário (1-4 anos)"/>
    <n v="4"/>
    <s v="masculino"/>
    <s v="casado/viuvo"/>
    <s v="nenhum"/>
    <n v="2"/>
    <s v="carro ou outros-quitado"/>
    <n v="33"/>
    <s v="Adulto (26-40)"/>
    <s v="nenhum"/>
    <s v="própria"/>
    <n v="1"/>
    <s v="Func. Público/Qualificado"/>
    <n v="1"/>
    <s v="não"/>
    <s v="sim"/>
    <n v="2"/>
  </r>
  <r>
    <n v="476"/>
    <x v="1"/>
    <s v="&lt; 0 $"/>
    <s v="negativo/devedor"/>
    <n v="18"/>
    <s v="nenhum/pgto em dia"/>
    <s v="moveis e equipamentos"/>
    <n v="3114"/>
    <s v="&lt; 100 $"/>
    <s v="Baixo (&lt; 100 $)"/>
    <s v="&lt; 1 ano"/>
    <s v="Iniciante (&lt; 1 ano)"/>
    <n v="1"/>
    <s v="feminino"/>
    <s v="divorciada/casada"/>
    <s v="nenhum"/>
    <n v="4"/>
    <s v="poupança ou seguro de vida"/>
    <n v="26"/>
    <s v="Adulto (26-40)"/>
    <s v="nenhum"/>
    <s v="aluguel"/>
    <n v="1"/>
    <s v="Func. Público/Qualificado"/>
    <n v="1"/>
    <s v="não"/>
    <s v="sim"/>
    <n v="2"/>
  </r>
  <r>
    <n v="477"/>
    <x v="0"/>
    <s v="sem conta corrente"/>
    <s v="sem conta no banco"/>
    <n v="39"/>
    <s v="pgto em dia neste banco (em aberto)"/>
    <s v="carro usado"/>
    <n v="2569"/>
    <s v="&gt;= 500 &lt; 1000 $"/>
    <s v="Alto (500-1000 $)"/>
    <s v="&lt; 4 anos"/>
    <s v="Intermediário (1-4 anos)"/>
    <n v="4"/>
    <s v="masculino"/>
    <s v="solteiro"/>
    <s v="nenhum"/>
    <n v="4"/>
    <s v="carro ou outros-quitado"/>
    <n v="24"/>
    <s v="Jovem (18-25)"/>
    <s v="nenhum"/>
    <s v="própria"/>
    <n v="1"/>
    <s v="Func. Público/Qualificado"/>
    <n v="1"/>
    <s v="não"/>
    <s v="sim"/>
    <n v="1"/>
  </r>
  <r>
    <n v="478"/>
    <x v="0"/>
    <s v="&gt;= 200 $"/>
    <s v="saldo saudável"/>
    <n v="24"/>
    <s v="pgto em dia neste banco (em aberto)"/>
    <s v="radio ou televisao"/>
    <n v="5152"/>
    <s v="&lt; 100 $"/>
    <s v="Baixo (&lt; 100 $)"/>
    <s v="&lt; 7 anos"/>
    <s v="Estável (4-7 anos)"/>
    <n v="4"/>
    <s v="masculino"/>
    <s v="solteiro"/>
    <s v="nenhum"/>
    <n v="2"/>
    <s v="carro ou outros-quitado"/>
    <n v="25"/>
    <s v="Adulto (26-40)"/>
    <s v="banco"/>
    <s v="própria"/>
    <n v="1"/>
    <s v="Func. Público/Qualificado"/>
    <n v="1"/>
    <s v="não"/>
    <s v="sim"/>
    <n v="1"/>
  </r>
  <r>
    <n v="479"/>
    <x v="0"/>
    <s v="&gt;= 0 &lt; 200 $"/>
    <s v="saldo baixo"/>
    <n v="12"/>
    <s v="pgto em dia neste banco (em aberto)"/>
    <s v="negocios"/>
    <n v="1037"/>
    <s v="&gt;= 100 &lt; 500 $"/>
    <s v="Médio (100-500$)"/>
    <s v="&lt; 7 anos"/>
    <s v="Estável (4-7 anos)"/>
    <n v="3"/>
    <s v="masculino"/>
    <s v="solteiro"/>
    <s v="nenhum"/>
    <n v="4"/>
    <s v="imovel"/>
    <n v="39"/>
    <s v="Adulto (26-40)"/>
    <s v="nenhum"/>
    <s v="própria"/>
    <n v="1"/>
    <s v="Empregado Comum"/>
    <n v="1"/>
    <s v="não"/>
    <s v="sim"/>
    <n v="1"/>
  </r>
  <r>
    <n v="480"/>
    <x v="0"/>
    <s v="&lt; 0 $"/>
    <s v="negativo/devedor"/>
    <n v="15"/>
    <s v="conta critica / dividas com terceiros"/>
    <s v="moveis e equipamentos"/>
    <n v="1478"/>
    <s v="&lt; 100 $"/>
    <s v="Baixo (&lt; 100 $)"/>
    <s v="&gt;= 7 anos"/>
    <s v="Muito Estável (&gt; 7 anos)"/>
    <n v="4"/>
    <s v="masculino"/>
    <s v="solteiro"/>
    <s v="nenhum"/>
    <n v="4"/>
    <s v="carro ou outros-quitado"/>
    <n v="44"/>
    <s v="Sénior (41-60)"/>
    <s v="nenhum"/>
    <s v="própria"/>
    <n v="2"/>
    <s v="Func. Público/Qualificado"/>
    <n v="2"/>
    <s v="sim"/>
    <s v="sim"/>
    <n v="1"/>
  </r>
  <r>
    <n v="481"/>
    <x v="0"/>
    <s v="&gt;= 0 &lt; 200 $"/>
    <s v="saldo baixo"/>
    <n v="12"/>
    <s v="conta critica / dividas com terceiros"/>
    <s v="radio ou televisao"/>
    <n v="3573"/>
    <s v="&lt; 100 $"/>
    <s v="Baixo (&lt; 100 $)"/>
    <s v="&lt; 4 anos"/>
    <s v="Intermediário (1-4 anos)"/>
    <n v="1"/>
    <s v="feminino"/>
    <s v="divorciada/casada"/>
    <s v="nenhum"/>
    <n v="1"/>
    <s v="imovel"/>
    <n v="23"/>
    <s v="Jovem (18-25)"/>
    <s v="nenhum"/>
    <s v="própria"/>
    <n v="1"/>
    <s v="Empregado Comum"/>
    <n v="1"/>
    <s v="não"/>
    <s v="sim"/>
    <n v="1"/>
  </r>
  <r>
    <n v="482"/>
    <x v="0"/>
    <s v="&gt;= 0 &lt; 200 $"/>
    <s v="saldo baixo"/>
    <n v="24"/>
    <s v="pgto em dia neste banco (em aberto)"/>
    <s v="carro novo"/>
    <n v="1201"/>
    <s v="&lt; 100 $"/>
    <s v="Baixo (&lt; 100 $)"/>
    <s v="&lt; 1 ano"/>
    <s v="Iniciante (&lt; 1 ano)"/>
    <n v="4"/>
    <s v="masculino"/>
    <s v="solteiro"/>
    <s v="nenhum"/>
    <n v="1"/>
    <s v="poupança ou seguro de vida"/>
    <n v="26"/>
    <s v="Adulto (26-40)"/>
    <s v="nenhum"/>
    <s v="própria"/>
    <n v="1"/>
    <s v="Func. Público/Qualificado"/>
    <n v="1"/>
    <s v="não"/>
    <s v="sim"/>
    <n v="1"/>
  </r>
  <r>
    <n v="483"/>
    <x v="0"/>
    <s v="&lt; 0 $"/>
    <s v="negativo/devedor"/>
    <n v="30"/>
    <s v="pgto em dia neste banco (em aberto)"/>
    <s v="moveis e equipamentos"/>
    <n v="3622"/>
    <s v="&gt;= 1000 $"/>
    <s v="Muito alto (&gt;1000$)"/>
    <s v="&gt;= 7 anos"/>
    <s v="Muito Estável (&gt; 7 anos)"/>
    <n v="4"/>
    <s v="feminino"/>
    <s v="divorciada/casada"/>
    <s v="nenhum"/>
    <n v="4"/>
    <s v="poupança ou seguro de vida"/>
    <n v="57"/>
    <s v="Sénior (41-60)"/>
    <s v="nenhum"/>
    <s v="aluguel"/>
    <n v="2"/>
    <s v="Func. Público/Qualificado"/>
    <n v="1"/>
    <s v="sim"/>
    <s v="sim"/>
    <n v="1"/>
  </r>
  <r>
    <n v="484"/>
    <x v="0"/>
    <s v="sem conta corrente"/>
    <s v="sem conta no banco"/>
    <n v="15"/>
    <s v="pgto em atraso no passado"/>
    <s v="moveis e equipamentos"/>
    <n v="960"/>
    <s v="&gt;= 1000 $"/>
    <s v="Muito alto (&gt;1000$)"/>
    <s v="&lt; 7 anos"/>
    <s v="Estável (4-7 anos)"/>
    <n v="3"/>
    <s v="feminino"/>
    <s v="divorciada/casada"/>
    <s v="nenhum"/>
    <n v="2"/>
    <s v="poupança ou seguro de vida"/>
    <n v="30"/>
    <s v="Adulto (26-40)"/>
    <s v="nenhum"/>
    <s v="própria"/>
    <n v="2"/>
    <s v="Func. Público/Qualificado"/>
    <n v="1"/>
    <s v="não"/>
    <s v="sim"/>
    <n v="1"/>
  </r>
  <r>
    <n v="485"/>
    <x v="0"/>
    <s v="sem conta corrente"/>
    <s v="sem conta no banco"/>
    <n v="12"/>
    <s v="conta critica / dividas com terceiros"/>
    <s v="carro novo"/>
    <n v="1163"/>
    <s v="&gt;= 500 &lt; 1000 $"/>
    <s v="Alto (500-1000 $)"/>
    <s v="&lt; 4 anos"/>
    <s v="Intermediário (1-4 anos)"/>
    <n v="4"/>
    <s v="masculino"/>
    <s v="solteiro"/>
    <s v="nenhum"/>
    <n v="4"/>
    <s v="imovel"/>
    <n v="44"/>
    <s v="Sénior (41-60)"/>
    <s v="nenhum"/>
    <s v="própria"/>
    <n v="1"/>
    <s v="Func. Público/Qualificado"/>
    <n v="1"/>
    <s v="sim"/>
    <s v="sim"/>
    <n v="1"/>
  </r>
  <r>
    <n v="486"/>
    <x v="1"/>
    <s v="&gt;= 0 &lt; 200 $"/>
    <s v="saldo baixo"/>
    <n v="6"/>
    <s v="pgto em atraso no passado"/>
    <s v="carro novo"/>
    <n v="1209"/>
    <s v="&lt; 100 $"/>
    <s v="Baixo (&lt; 100 $)"/>
    <s v="desempregado"/>
    <s v="desempregado"/>
    <n v="4"/>
    <s v="masculino"/>
    <s v="solteiro"/>
    <s v="nenhum"/>
    <n v="4"/>
    <s v="poupança ou seguro de vida"/>
    <n v="47"/>
    <s v="Sénior (41-60)"/>
    <s v="nenhum"/>
    <s v="própria"/>
    <n v="1"/>
    <s v="Executivo/Empresário"/>
    <n v="1"/>
    <s v="sim"/>
    <s v="sim"/>
    <n v="2"/>
  </r>
  <r>
    <n v="487"/>
    <x v="0"/>
    <s v="sem conta corrente"/>
    <s v="sem conta no banco"/>
    <n v="12"/>
    <s v="pgto em dia neste banco (em aberto)"/>
    <s v="radio ou televisao"/>
    <n v="3077"/>
    <s v="&lt; 100 $"/>
    <s v="Baixo (&lt; 100 $)"/>
    <s v="&lt; 4 anos"/>
    <s v="Intermediário (1-4 anos)"/>
    <n v="2"/>
    <s v="masculino"/>
    <s v="solteiro"/>
    <s v="nenhum"/>
    <n v="4"/>
    <s v="carro ou outros-quitado"/>
    <n v="52"/>
    <s v="Sénior (41-60)"/>
    <s v="nenhum"/>
    <s v="própria"/>
    <n v="1"/>
    <s v="Func. Público/Qualificado"/>
    <n v="1"/>
    <s v="sim"/>
    <s v="sim"/>
    <n v="1"/>
  </r>
  <r>
    <n v="488"/>
    <x v="0"/>
    <s v="sem conta corrente"/>
    <s v="sem conta no banco"/>
    <n v="24"/>
    <s v="pgto em dia neste banco (em aberto)"/>
    <s v="carro novo"/>
    <n v="3757"/>
    <s v="&lt; 100 $"/>
    <s v="Baixo (&lt; 100 $)"/>
    <s v="&gt;= 7 anos"/>
    <s v="Muito Estável (&gt; 7 anos)"/>
    <n v="4"/>
    <s v="feminino"/>
    <s v="divorciada/casada"/>
    <s v="codevedor"/>
    <n v="4"/>
    <s v="sem bens"/>
    <n v="62"/>
    <s v="Idoso (60+)"/>
    <s v="nenhum"/>
    <s v="gratuita"/>
    <n v="1"/>
    <s v="Func. Público/Qualificado"/>
    <n v="1"/>
    <s v="sim"/>
    <s v="sim"/>
    <n v="1"/>
  </r>
  <r>
    <n v="489"/>
    <x v="0"/>
    <s v="sem conta corrente"/>
    <s v="sem conta no banco"/>
    <n v="10"/>
    <s v="pgto em dia neste banco (em aberto)"/>
    <s v="carro novo"/>
    <n v="1418"/>
    <s v="&gt;= 100 &lt; 500 $"/>
    <s v="Médio (100-500$)"/>
    <s v="&lt; 4 anos"/>
    <s v="Intermediário (1-4 anos)"/>
    <n v="3"/>
    <s v="masculino"/>
    <s v="solteiro"/>
    <s v="nenhum"/>
    <n v="2"/>
    <s v="imovel"/>
    <n v="35"/>
    <s v="Adulto (26-40)"/>
    <s v="nenhum"/>
    <s v="aluguel"/>
    <n v="1"/>
    <s v="Empregado Comum"/>
    <n v="1"/>
    <s v="não"/>
    <s v="não"/>
    <n v="1"/>
  </r>
  <r>
    <n v="490"/>
    <x v="0"/>
    <s v="sem conta corrente"/>
    <s v="sem conta no banco"/>
    <n v="6"/>
    <s v="pgto em dia neste banco (em aberto)"/>
    <s v="carro novo"/>
    <n v="3518"/>
    <s v="&lt; 100 $"/>
    <s v="Baixo (&lt; 100 $)"/>
    <s v="&lt; 4 anos"/>
    <s v="Intermediário (1-4 anos)"/>
    <n v="2"/>
    <s v="masculino"/>
    <s v="solteiro"/>
    <s v="garantidor"/>
    <n v="3"/>
    <s v="poupança ou seguro de vida"/>
    <n v="26"/>
    <s v="Adulto (26-40)"/>
    <s v="nenhum"/>
    <s v="aluguel"/>
    <n v="1"/>
    <s v="Func. Público/Qualificado"/>
    <n v="1"/>
    <s v="não"/>
    <s v="sim"/>
    <n v="1"/>
  </r>
  <r>
    <n v="491"/>
    <x v="0"/>
    <s v="sem conta corrente"/>
    <s v="sem conta no banco"/>
    <n v="12"/>
    <s v="conta critica / dividas com terceiros"/>
    <s v="radio ou televisao"/>
    <n v="1934"/>
    <s v="&lt; 100 $"/>
    <s v="Baixo (&lt; 100 $)"/>
    <s v="&gt;= 7 anos"/>
    <s v="Muito Estável (&gt; 7 anos)"/>
    <n v="2"/>
    <s v="masculino"/>
    <s v="solteiro"/>
    <s v="nenhum"/>
    <n v="2"/>
    <s v="sem bens"/>
    <n v="26"/>
    <s v="Adulto (26-40)"/>
    <s v="nenhum"/>
    <s v="própria"/>
    <n v="2"/>
    <s v="Func. Público/Qualificado"/>
    <n v="1"/>
    <s v="não"/>
    <s v="sim"/>
    <n v="1"/>
  </r>
  <r>
    <n v="492"/>
    <x v="1"/>
    <s v="&gt;= 0 &lt; 200 $"/>
    <s v="saldo baixo"/>
    <n v="27"/>
    <s v="nenhum/pgto em dia"/>
    <s v="negocios"/>
    <n v="8318"/>
    <s v="&lt; 100 $"/>
    <s v="Baixo (&lt; 100 $)"/>
    <s v="&gt;= 7 anos"/>
    <s v="Muito Estável (&gt; 7 anos)"/>
    <n v="2"/>
    <s v="feminino"/>
    <s v="divorciada/casada"/>
    <s v="nenhum"/>
    <n v="4"/>
    <s v="sem bens"/>
    <n v="42"/>
    <s v="Sénior (41-60)"/>
    <s v="nenhum"/>
    <s v="gratuita"/>
    <n v="2"/>
    <s v="Executivo/Empresário"/>
    <n v="1"/>
    <s v="sim"/>
    <s v="sim"/>
    <n v="2"/>
  </r>
  <r>
    <n v="493"/>
    <x v="0"/>
    <s v="sem conta corrente"/>
    <s v="sem conta no banco"/>
    <n v="6"/>
    <s v="conta critica / dividas com terceiros"/>
    <s v="radio ou televisao"/>
    <n v="1237"/>
    <s v="&gt;= 100 &lt; 500 $"/>
    <s v="Médio (100-500$)"/>
    <s v="&lt; 4 anos"/>
    <s v="Intermediário (1-4 anos)"/>
    <n v="1"/>
    <s v="feminino"/>
    <s v="divorciada/casada"/>
    <s v="nenhum"/>
    <n v="1"/>
    <s v="poupança ou seguro de vida"/>
    <n v="27"/>
    <s v="Adulto (26-40)"/>
    <s v="nenhum"/>
    <s v="própria"/>
    <n v="2"/>
    <s v="Func. Público/Qualificado"/>
    <n v="1"/>
    <s v="não"/>
    <s v="sim"/>
    <n v="1"/>
  </r>
  <r>
    <n v="494"/>
    <x v="0"/>
    <s v="&gt;= 0 &lt; 200 $"/>
    <s v="saldo baixo"/>
    <n v="6"/>
    <s v="pgto em dia neste banco (em aberto)"/>
    <s v="radio ou televisao"/>
    <n v="368"/>
    <s v="sem poupança"/>
    <s v="sem poupança"/>
    <s v="&gt;= 7 anos"/>
    <s v="Muito Estável (&gt; 7 anos)"/>
    <n v="4"/>
    <s v="masculino"/>
    <s v="solteiro"/>
    <s v="nenhum"/>
    <n v="4"/>
    <s v="poupança ou seguro de vida"/>
    <n v="38"/>
    <s v="Adulto (26-40)"/>
    <s v="nenhum"/>
    <s v="própria"/>
    <n v="1"/>
    <s v="Func. Público/Qualificado"/>
    <n v="1"/>
    <s v="não"/>
    <s v="sim"/>
    <n v="1"/>
  </r>
  <r>
    <n v="495"/>
    <x v="0"/>
    <s v="&lt; 0 $"/>
    <s v="negativo/devedor"/>
    <n v="12"/>
    <s v="conta critica / dividas com terceiros"/>
    <s v="carro novo"/>
    <n v="2122"/>
    <s v="&lt; 100 $"/>
    <s v="Baixo (&lt; 100 $)"/>
    <s v="&lt; 4 anos"/>
    <s v="Intermediário (1-4 anos)"/>
    <n v="3"/>
    <s v="masculino"/>
    <s v="solteiro"/>
    <s v="nenhum"/>
    <n v="2"/>
    <s v="imovel"/>
    <n v="39"/>
    <s v="Adulto (26-40)"/>
    <s v="nenhum"/>
    <s v="aluguel"/>
    <n v="2"/>
    <s v="Empregado Comum"/>
    <n v="2"/>
    <s v="não"/>
    <s v="não"/>
    <n v="1"/>
  </r>
  <r>
    <n v="496"/>
    <x v="1"/>
    <s v="&lt; 0 $"/>
    <s v="negativo/devedor"/>
    <n v="24"/>
    <s v="pgto em dia neste banco (em aberto)"/>
    <s v="moveis e equipamentos"/>
    <n v="2996"/>
    <s v="sem poupança"/>
    <s v="sem poupança"/>
    <s v="&lt; 4 anos"/>
    <s v="Intermediário (1-4 anos)"/>
    <n v="2"/>
    <s v="masculino"/>
    <s v="casado/viuvo"/>
    <s v="nenhum"/>
    <n v="4"/>
    <s v="carro ou outros-quitado"/>
    <n v="20"/>
    <s v="Jovem (18-25)"/>
    <s v="nenhum"/>
    <s v="própria"/>
    <n v="1"/>
    <s v="Func. Público/Qualificado"/>
    <n v="1"/>
    <s v="não"/>
    <s v="sim"/>
    <n v="2"/>
  </r>
  <r>
    <n v="497"/>
    <x v="1"/>
    <s v="&gt;= 0 &lt; 200 $"/>
    <s v="saldo baixo"/>
    <n v="36"/>
    <s v="pgto em dia neste banco (em aberto)"/>
    <s v="moveis e equipamentos"/>
    <n v="9034"/>
    <s v="&gt;= 100 &lt; 500 $"/>
    <s v="Médio (100-500$)"/>
    <s v="&lt; 1 ano"/>
    <s v="Iniciante (&lt; 1 ano)"/>
    <n v="4"/>
    <s v="masculino"/>
    <s v="solteiro"/>
    <s v="codevedor"/>
    <n v="1"/>
    <s v="sem bens"/>
    <n v="29"/>
    <s v="Adulto (26-40)"/>
    <s v="nenhum"/>
    <s v="aluguel"/>
    <n v="1"/>
    <s v="Executivo/Empresário"/>
    <n v="1"/>
    <s v="sim"/>
    <s v="sim"/>
    <n v="2"/>
  </r>
  <r>
    <n v="498"/>
    <x v="0"/>
    <s v="sem conta corrente"/>
    <s v="sem conta no banco"/>
    <n v="24"/>
    <s v="conta critica / dividas com terceiros"/>
    <s v="moveis e equipamentos"/>
    <n v="1585"/>
    <s v="&lt; 100 $"/>
    <s v="Baixo (&lt; 100 $)"/>
    <s v="&lt; 7 anos"/>
    <s v="Estável (4-7 anos)"/>
    <n v="4"/>
    <s v="masculino"/>
    <s v="solteiro"/>
    <s v="nenhum"/>
    <n v="3"/>
    <s v="poupança ou seguro de vida"/>
    <n v="40"/>
    <s v="Sénior (41-60)"/>
    <s v="nenhum"/>
    <s v="própria"/>
    <n v="2"/>
    <s v="Func. Público/Qualificado"/>
    <n v="1"/>
    <s v="não"/>
    <s v="sim"/>
    <n v="1"/>
  </r>
  <r>
    <n v="499"/>
    <x v="0"/>
    <s v="&gt;= 0 &lt; 200 $"/>
    <s v="saldo baixo"/>
    <n v="18"/>
    <s v="pgto em dia neste banco (em aberto)"/>
    <s v="radio ou televisao"/>
    <n v="1301"/>
    <s v="&lt; 100 $"/>
    <s v="Baixo (&lt; 100 $)"/>
    <s v="&gt;= 7 anos"/>
    <s v="Muito Estável (&gt; 7 anos)"/>
    <n v="4"/>
    <s v="masculino"/>
    <s v="casado/viuvo"/>
    <s v="garantidor"/>
    <n v="2"/>
    <s v="imovel"/>
    <n v="32"/>
    <s v="Adulto (26-40)"/>
    <s v="nenhum"/>
    <s v="própria"/>
    <n v="1"/>
    <s v="Empregado Comum"/>
    <n v="1"/>
    <s v="não"/>
    <s v="sim"/>
    <n v="1"/>
  </r>
  <r>
    <n v="500"/>
    <x v="0"/>
    <s v="&gt;= 200 $"/>
    <s v="saldo saudável"/>
    <n v="6"/>
    <s v="conta critica / dividas com terceiros"/>
    <s v="carro novo"/>
    <n v="1323"/>
    <s v="&gt;= 100 &lt; 500 $"/>
    <s v="Médio (100-500$)"/>
    <s v="&gt;= 7 anos"/>
    <s v="Muito Estável (&gt; 7 anos)"/>
    <n v="2"/>
    <s v="masculino"/>
    <s v="divorciado"/>
    <s v="nenhum"/>
    <n v="4"/>
    <s v="carro ou outros-quitado"/>
    <n v="28"/>
    <s v="Adulto (26-40)"/>
    <s v="nenhum"/>
    <s v="própria"/>
    <n v="2"/>
    <s v="Func. Público/Qualificado"/>
    <n v="2"/>
    <s v="sim"/>
    <s v="sim"/>
    <n v="1"/>
  </r>
  <r>
    <n v="501"/>
    <x v="1"/>
    <s v="&lt; 0 $"/>
    <s v="negativo/devedor"/>
    <n v="24"/>
    <s v="pgto em dia neste banco (em aberto)"/>
    <s v="carro novo"/>
    <n v="3123"/>
    <s v="&lt; 100 $"/>
    <s v="Baixo (&lt; 100 $)"/>
    <s v="&lt; 1 ano"/>
    <s v="Iniciante (&lt; 1 ano)"/>
    <n v="4"/>
    <s v="feminino"/>
    <s v="divorciada/casada"/>
    <s v="nenhum"/>
    <n v="1"/>
    <s v="poupança ou seguro de vida"/>
    <n v="27"/>
    <s v="Adulto (26-40)"/>
    <s v="nenhum"/>
    <s v="própria"/>
    <n v="1"/>
    <s v="Func. Público/Qualificado"/>
    <n v="1"/>
    <s v="não"/>
    <s v="sim"/>
    <n v="2"/>
  </r>
  <r>
    <n v="502"/>
    <x v="0"/>
    <s v="&lt; 0 $"/>
    <s v="negativo/devedor"/>
    <n v="36"/>
    <s v="pgto em dia neste banco (em aberto)"/>
    <s v="carro usado"/>
    <n v="5493"/>
    <s v="&lt; 100 $"/>
    <s v="Baixo (&lt; 100 $)"/>
    <s v="&gt;= 7 anos"/>
    <s v="Muito Estável (&gt; 7 anos)"/>
    <n v="2"/>
    <s v="masculino"/>
    <s v="solteiro"/>
    <s v="nenhum"/>
    <n v="4"/>
    <s v="sem bens"/>
    <n v="42"/>
    <s v="Sénior (41-60)"/>
    <s v="nenhum"/>
    <s v="gratuita"/>
    <n v="1"/>
    <s v="Func. Público/Qualificado"/>
    <n v="2"/>
    <s v="não"/>
    <s v="sim"/>
    <n v="1"/>
  </r>
  <r>
    <n v="503"/>
    <x v="0"/>
    <s v="&gt;= 200 $"/>
    <s v="saldo saudável"/>
    <n v="9"/>
    <s v="pgto em dia neste banco (em aberto)"/>
    <s v="radio ou televisao"/>
    <n v="1126"/>
    <s v="&gt;= 100 &lt; 500 $"/>
    <s v="Médio (100-500$)"/>
    <s v="&gt;= 7 anos"/>
    <s v="Muito Estável (&gt; 7 anos)"/>
    <n v="2"/>
    <s v="masculino"/>
    <s v="divorciado"/>
    <s v="nenhum"/>
    <n v="4"/>
    <s v="imovel"/>
    <n v="49"/>
    <s v="Sénior (41-60)"/>
    <s v="nenhum"/>
    <s v="própria"/>
    <n v="1"/>
    <s v="Func. Público/Qualificado"/>
    <n v="1"/>
    <s v="não"/>
    <s v="sim"/>
    <n v="1"/>
  </r>
  <r>
    <n v="504"/>
    <x v="1"/>
    <s v="&gt;= 0 &lt; 200 $"/>
    <s v="saldo baixo"/>
    <n v="24"/>
    <s v="conta critica / dividas com terceiros"/>
    <s v="radio ou televisao"/>
    <n v="1216"/>
    <s v="&gt;= 100 &lt; 500 $"/>
    <s v="Médio (100-500$)"/>
    <s v="&lt; 1 ano"/>
    <s v="Iniciante (&lt; 1 ano)"/>
    <n v="4"/>
    <s v="masculino"/>
    <s v="solteiro"/>
    <s v="nenhum"/>
    <n v="4"/>
    <s v="sem bens"/>
    <n v="38"/>
    <s v="Adulto (26-40)"/>
    <s v="banco"/>
    <s v="própria"/>
    <n v="2"/>
    <s v="Func. Público/Qualificado"/>
    <n v="2"/>
    <s v="não"/>
    <s v="sim"/>
    <n v="2"/>
  </r>
  <r>
    <n v="505"/>
    <x v="1"/>
    <s v="&lt; 0 $"/>
    <s v="negativo/devedor"/>
    <n v="24"/>
    <s v="pgto em dia neste banco (em aberto)"/>
    <s v="carro novo"/>
    <n v="1207"/>
    <s v="&lt; 100 $"/>
    <s v="Baixo (&lt; 100 $)"/>
    <s v="&lt; 1 ano"/>
    <s v="Iniciante (&lt; 1 ano)"/>
    <n v="4"/>
    <s v="feminino"/>
    <s v="divorciada/casada"/>
    <s v="nenhum"/>
    <n v="4"/>
    <s v="poupança ou seguro de vida"/>
    <n v="24"/>
    <s v="Jovem (18-25)"/>
    <s v="nenhum"/>
    <s v="aluguel"/>
    <n v="1"/>
    <s v="Func. Público/Qualificado"/>
    <n v="1"/>
    <s v="não"/>
    <s v="sim"/>
    <n v="2"/>
  </r>
  <r>
    <n v="506"/>
    <x v="1"/>
    <s v="sem conta corrente"/>
    <s v="sem conta no banco"/>
    <n v="10"/>
    <s v="pgto em dia neste banco (em aberto)"/>
    <s v="carro novo"/>
    <n v="1309"/>
    <s v="sem poupança"/>
    <s v="sem poupança"/>
    <s v="&lt; 4 anos"/>
    <s v="Intermediário (1-4 anos)"/>
    <n v="4"/>
    <s v="masculino"/>
    <s v="solteiro"/>
    <s v="garantidor"/>
    <n v="4"/>
    <s v="poupança ou seguro de vida"/>
    <n v="27"/>
    <s v="Adulto (26-40)"/>
    <s v="nenhum"/>
    <s v="própria"/>
    <n v="1"/>
    <s v="Empregado Comum"/>
    <n v="1"/>
    <s v="não"/>
    <s v="sim"/>
    <n v="2"/>
  </r>
  <r>
    <n v="507"/>
    <x v="0"/>
    <s v="&gt;= 200 $"/>
    <s v="saldo saudável"/>
    <n v="15"/>
    <s v="conta critica / dividas com terceiros"/>
    <s v="carro usado"/>
    <n v="2360"/>
    <s v="&gt;= 500 &lt; 1000 $"/>
    <s v="Alto (500-1000 $)"/>
    <s v="&lt; 4 anos"/>
    <s v="Intermediário (1-4 anos)"/>
    <n v="2"/>
    <s v="masculino"/>
    <s v="solteiro"/>
    <s v="nenhum"/>
    <n v="2"/>
    <s v="carro ou outros-quitado"/>
    <n v="36"/>
    <s v="Adulto (26-40)"/>
    <s v="nenhum"/>
    <s v="própria"/>
    <n v="1"/>
    <s v="Func. Público/Qualificado"/>
    <n v="1"/>
    <s v="sim"/>
    <s v="sim"/>
    <n v="1"/>
  </r>
  <r>
    <n v="508"/>
    <x v="1"/>
    <s v="&gt;= 0 &lt; 200 $"/>
    <s v="saldo baixo"/>
    <n v="15"/>
    <s v="pgto em dia neste banco (quitado)"/>
    <s v="carro novo"/>
    <n v="6850"/>
    <s v="&gt;= 100 &lt; 500 $"/>
    <s v="Médio (100-500$)"/>
    <s v="desempregado"/>
    <s v="desempregado"/>
    <n v="1"/>
    <s v="masculino"/>
    <s v="solteiro"/>
    <s v="nenhum"/>
    <n v="2"/>
    <s v="poupança ou seguro de vida"/>
    <n v="34"/>
    <s v="Adulto (26-40)"/>
    <s v="nenhum"/>
    <s v="própria"/>
    <n v="1"/>
    <s v="Executivo/Empresário"/>
    <n v="2"/>
    <s v="sim"/>
    <s v="sim"/>
    <n v="2"/>
  </r>
  <r>
    <n v="509"/>
    <x v="0"/>
    <s v="sem conta corrente"/>
    <s v="sem conta no banco"/>
    <n v="24"/>
    <s v="pgto em dia neste banco (em aberto)"/>
    <s v="radio ou televisao"/>
    <n v="1413"/>
    <s v="&lt; 100 $"/>
    <s v="Baixo (&lt; 100 $)"/>
    <s v="&lt; 4 anos"/>
    <s v="Intermediário (1-4 anos)"/>
    <n v="4"/>
    <s v="masculino"/>
    <s v="casado/viuvo"/>
    <s v="nenhum"/>
    <n v="2"/>
    <s v="poupança ou seguro de vida"/>
    <n v="28"/>
    <s v="Adulto (26-40)"/>
    <s v="nenhum"/>
    <s v="própria"/>
    <n v="1"/>
    <s v="Func. Público/Qualificado"/>
    <n v="1"/>
    <s v="não"/>
    <s v="sim"/>
    <n v="1"/>
  </r>
  <r>
    <n v="510"/>
    <x v="0"/>
    <s v="sem conta corrente"/>
    <s v="sem conta no banco"/>
    <n v="39"/>
    <s v="pgto em dia neste banco (em aberto)"/>
    <s v="carro usado"/>
    <n v="8588"/>
    <s v="&gt;= 100 &lt; 500 $"/>
    <s v="Médio (100-500$)"/>
    <s v="&gt;= 7 anos"/>
    <s v="Muito Estável (&gt; 7 anos)"/>
    <n v="4"/>
    <s v="masculino"/>
    <s v="solteiro"/>
    <s v="nenhum"/>
    <n v="2"/>
    <s v="carro ou outros-quitado"/>
    <n v="45"/>
    <s v="Sénior (41-60)"/>
    <s v="nenhum"/>
    <s v="própria"/>
    <n v="1"/>
    <s v="Executivo/Empresário"/>
    <n v="1"/>
    <s v="sim"/>
    <s v="sim"/>
    <n v="1"/>
  </r>
  <r>
    <n v="511"/>
    <x v="1"/>
    <s v="&lt; 0 $"/>
    <s v="negativo/devedor"/>
    <n v="12"/>
    <s v="pgto em dia neste banco (em aberto)"/>
    <s v="carro novo"/>
    <n v="759"/>
    <s v="&lt; 100 $"/>
    <s v="Baixo (&lt; 100 $)"/>
    <s v="&lt; 7 anos"/>
    <s v="Estável (4-7 anos)"/>
    <n v="4"/>
    <s v="masculino"/>
    <s v="solteiro"/>
    <s v="nenhum"/>
    <n v="2"/>
    <s v="imovel"/>
    <n v="26"/>
    <s v="Adulto (26-40)"/>
    <s v="nenhum"/>
    <s v="própria"/>
    <n v="1"/>
    <s v="Func. Público/Qualificado"/>
    <n v="1"/>
    <s v="não"/>
    <s v="sim"/>
    <n v="2"/>
  </r>
  <r>
    <n v="512"/>
    <x v="0"/>
    <s v="sem conta corrente"/>
    <s v="sem conta no banco"/>
    <n v="36"/>
    <s v="pgto em dia neste banco (em aberto)"/>
    <s v="carro usado"/>
    <n v="4686"/>
    <s v="&lt; 100 $"/>
    <s v="Baixo (&lt; 100 $)"/>
    <s v="&lt; 4 anos"/>
    <s v="Intermediário (1-4 anos)"/>
    <n v="2"/>
    <s v="masculino"/>
    <s v="solteiro"/>
    <s v="nenhum"/>
    <n v="2"/>
    <s v="sem bens"/>
    <n v="32"/>
    <s v="Adulto (26-40)"/>
    <s v="nenhum"/>
    <s v="gratuita"/>
    <n v="1"/>
    <s v="Executivo/Empresário"/>
    <n v="1"/>
    <s v="sim"/>
    <s v="sim"/>
    <n v="1"/>
  </r>
  <r>
    <n v="513"/>
    <x v="0"/>
    <s v="&gt;= 200 $"/>
    <s v="saldo saudável"/>
    <n v="15"/>
    <s v="pgto em dia neste banco (em aberto)"/>
    <s v="negocios"/>
    <n v="2687"/>
    <s v="&lt; 100 $"/>
    <s v="Baixo (&lt; 100 $)"/>
    <s v="&lt; 7 anos"/>
    <s v="Estável (4-7 anos)"/>
    <n v="2"/>
    <s v="masculino"/>
    <s v="solteiro"/>
    <s v="nenhum"/>
    <n v="4"/>
    <s v="poupança ou seguro de vida"/>
    <n v="26"/>
    <s v="Adulto (26-40)"/>
    <s v="nenhum"/>
    <s v="aluguel"/>
    <n v="1"/>
    <s v="Func. Público/Qualificado"/>
    <n v="1"/>
    <s v="sim"/>
    <s v="sim"/>
    <n v="1"/>
  </r>
  <r>
    <n v="514"/>
    <x v="0"/>
    <s v="&gt;= 0 &lt; 200 $"/>
    <s v="saldo baixo"/>
    <n v="12"/>
    <s v="pgto em atraso no passado"/>
    <s v="radio ou televisao"/>
    <n v="585"/>
    <s v="&lt; 100 $"/>
    <s v="Baixo (&lt; 100 $)"/>
    <s v="&lt; 4 anos"/>
    <s v="Intermediário (1-4 anos)"/>
    <n v="4"/>
    <s v="masculino"/>
    <s v="casado/viuvo"/>
    <s v="codevedor"/>
    <n v="4"/>
    <s v="imovel"/>
    <n v="20"/>
    <s v="Jovem (18-25)"/>
    <s v="nenhum"/>
    <s v="aluguel"/>
    <n v="2"/>
    <s v="Func. Público/Qualificado"/>
    <n v="1"/>
    <s v="não"/>
    <s v="sim"/>
    <n v="1"/>
  </r>
  <r>
    <n v="515"/>
    <x v="0"/>
    <s v="sem conta corrente"/>
    <s v="sem conta no banco"/>
    <n v="24"/>
    <s v="pgto em dia neste banco (em aberto)"/>
    <s v="carro novo"/>
    <n v="2255"/>
    <s v="sem poupança"/>
    <s v="sem poupança"/>
    <s v="&lt; 1 ano"/>
    <s v="Iniciante (&lt; 1 ano)"/>
    <n v="4"/>
    <s v="masculino"/>
    <s v="solteiro"/>
    <s v="nenhum"/>
    <n v="1"/>
    <s v="poupança ou seguro de vida"/>
    <n v="54"/>
    <s v="Sénior (41-60)"/>
    <s v="nenhum"/>
    <s v="própria"/>
    <n v="1"/>
    <s v="Func. Público/Qualificado"/>
    <n v="1"/>
    <s v="não"/>
    <s v="sim"/>
    <n v="1"/>
  </r>
  <r>
    <n v="516"/>
    <x v="0"/>
    <s v="&lt; 0 $"/>
    <s v="negativo/devedor"/>
    <n v="6"/>
    <s v="conta critica / dividas com terceiros"/>
    <s v="carro novo"/>
    <n v="609"/>
    <s v="&lt; 100 $"/>
    <s v="Baixo (&lt; 100 $)"/>
    <s v="&lt; 7 anos"/>
    <s v="Estável (4-7 anos)"/>
    <n v="4"/>
    <s v="feminino"/>
    <s v="divorciada/casada"/>
    <s v="nenhum"/>
    <n v="3"/>
    <s v="poupança ou seguro de vida"/>
    <n v="37"/>
    <s v="Adulto (26-40)"/>
    <s v="nenhum"/>
    <s v="própria"/>
    <n v="2"/>
    <s v="Func. Público/Qualificado"/>
    <n v="1"/>
    <s v="não"/>
    <s v="não"/>
    <n v="1"/>
  </r>
  <r>
    <n v="517"/>
    <x v="0"/>
    <s v="&lt; 0 $"/>
    <s v="negativo/devedor"/>
    <n v="6"/>
    <s v="conta critica / dividas com terceiros"/>
    <s v="carro novo"/>
    <n v="1361"/>
    <s v="&lt; 100 $"/>
    <s v="Baixo (&lt; 100 $)"/>
    <s v="&lt; 1 ano"/>
    <s v="Iniciante (&lt; 1 ano)"/>
    <n v="2"/>
    <s v="masculino"/>
    <s v="solteiro"/>
    <s v="nenhum"/>
    <n v="4"/>
    <s v="imovel"/>
    <n v="40"/>
    <s v="Sénior (41-60)"/>
    <s v="nenhum"/>
    <s v="própria"/>
    <n v="1"/>
    <s v="Empregado Comum"/>
    <n v="2"/>
    <s v="não"/>
    <s v="não"/>
    <n v="1"/>
  </r>
  <r>
    <n v="518"/>
    <x v="1"/>
    <s v="sem conta corrente"/>
    <s v="sem conta no banco"/>
    <n v="36"/>
    <s v="conta critica / dividas com terceiros"/>
    <s v="moveis e equipamentos"/>
    <n v="7127"/>
    <s v="&lt; 100 $"/>
    <s v="Baixo (&lt; 100 $)"/>
    <s v="&lt; 1 ano"/>
    <s v="Iniciante (&lt; 1 ano)"/>
    <n v="2"/>
    <s v="feminino"/>
    <s v="divorciada/casada"/>
    <s v="nenhum"/>
    <n v="4"/>
    <s v="poupança ou seguro de vida"/>
    <n v="23"/>
    <s v="Jovem (18-25)"/>
    <s v="nenhum"/>
    <s v="aluguel"/>
    <n v="2"/>
    <s v="Func. Público/Qualificado"/>
    <n v="1"/>
    <s v="sim"/>
    <s v="sim"/>
    <n v="2"/>
  </r>
  <r>
    <n v="519"/>
    <x v="0"/>
    <s v="&lt; 0 $"/>
    <s v="negativo/devedor"/>
    <n v="6"/>
    <s v="pgto em dia neste banco (em aberto)"/>
    <s v="carro novo"/>
    <n v="1203"/>
    <s v="&gt;= 100 &lt; 500 $"/>
    <s v="Médio (100-500$)"/>
    <s v="&gt;= 7 anos"/>
    <s v="Muito Estável (&gt; 7 anos)"/>
    <n v="3"/>
    <s v="masculino"/>
    <s v="solteiro"/>
    <s v="nenhum"/>
    <n v="2"/>
    <s v="poupança ou seguro de vida"/>
    <n v="43"/>
    <s v="Sénior (41-60)"/>
    <s v="nenhum"/>
    <s v="própria"/>
    <n v="1"/>
    <s v="Func. Público/Qualificado"/>
    <n v="1"/>
    <s v="sim"/>
    <s v="sim"/>
    <n v="1"/>
  </r>
  <r>
    <n v="520"/>
    <x v="0"/>
    <s v="sem conta corrente"/>
    <s v="sem conta no banco"/>
    <n v="6"/>
    <s v="conta critica / dividas com terceiros"/>
    <s v="radio ou televisao"/>
    <n v="700"/>
    <s v="sem poupança"/>
    <s v="sem poupança"/>
    <s v="&gt;= 7 anos"/>
    <s v="Muito Estável (&gt; 7 anos)"/>
    <n v="4"/>
    <s v="masculino"/>
    <s v="solteiro"/>
    <s v="nenhum"/>
    <n v="4"/>
    <s v="sem bens"/>
    <n v="36"/>
    <s v="Adulto (26-40)"/>
    <s v="nenhum"/>
    <s v="gratuita"/>
    <n v="2"/>
    <s v="Func. Público/Qualificado"/>
    <n v="1"/>
    <s v="não"/>
    <s v="sim"/>
    <n v="1"/>
  </r>
  <r>
    <n v="521"/>
    <x v="0"/>
    <s v="sem conta corrente"/>
    <s v="sem conta no banco"/>
    <n v="24"/>
    <s v="conta critica / dividas com terceiros"/>
    <s v="reparos"/>
    <n v="5507"/>
    <s v="&lt; 100 $"/>
    <s v="Baixo (&lt; 100 $)"/>
    <s v="&gt;= 7 anos"/>
    <s v="Muito Estável (&gt; 7 anos)"/>
    <n v="3"/>
    <s v="masculino"/>
    <s v="solteiro"/>
    <s v="nenhum"/>
    <n v="4"/>
    <s v="sem bens"/>
    <n v="44"/>
    <s v="Sénior (41-60)"/>
    <s v="nenhum"/>
    <s v="gratuita"/>
    <n v="2"/>
    <s v="Func. Público/Qualificado"/>
    <n v="1"/>
    <s v="não"/>
    <s v="sim"/>
    <n v="1"/>
  </r>
  <r>
    <n v="522"/>
    <x v="1"/>
    <s v="&lt; 0 $"/>
    <s v="negativo/devedor"/>
    <n v="18"/>
    <s v="pgto em dia neste banco (em aberto)"/>
    <s v="radio ou televisao"/>
    <n v="3190"/>
    <s v="&lt; 100 $"/>
    <s v="Baixo (&lt; 100 $)"/>
    <s v="&lt; 4 anos"/>
    <s v="Intermediário (1-4 anos)"/>
    <n v="2"/>
    <s v="feminino"/>
    <s v="divorciada/casada"/>
    <s v="nenhum"/>
    <n v="2"/>
    <s v="imovel"/>
    <n v="24"/>
    <s v="Jovem (18-25)"/>
    <s v="nenhum"/>
    <s v="própria"/>
    <n v="1"/>
    <s v="Func. Público/Qualificado"/>
    <n v="1"/>
    <s v="não"/>
    <s v="sim"/>
    <n v="2"/>
  </r>
  <r>
    <n v="523"/>
    <x v="1"/>
    <s v="&lt; 0 $"/>
    <s v="negativo/devedor"/>
    <n v="48"/>
    <s v="nenhum/pgto em dia"/>
    <s v="moveis e equipamentos"/>
    <n v="7119"/>
    <s v="&lt; 100 $"/>
    <s v="Baixo (&lt; 100 $)"/>
    <s v="&lt; 4 anos"/>
    <s v="Intermediário (1-4 anos)"/>
    <n v="3"/>
    <s v="masculino"/>
    <s v="solteiro"/>
    <s v="nenhum"/>
    <n v="4"/>
    <s v="sem bens"/>
    <n v="53"/>
    <s v="Sénior (41-60)"/>
    <s v="nenhum"/>
    <s v="gratuita"/>
    <n v="2"/>
    <s v="Func. Público/Qualificado"/>
    <n v="2"/>
    <s v="não"/>
    <s v="sim"/>
    <n v="2"/>
  </r>
  <r>
    <n v="524"/>
    <x v="0"/>
    <s v="sem conta corrente"/>
    <s v="sem conta no banco"/>
    <n v="24"/>
    <s v="pgto em dia neste banco (em aberto)"/>
    <s v="carro usado"/>
    <n v="3488"/>
    <s v="&gt;= 100 &lt; 500 $"/>
    <s v="Médio (100-500$)"/>
    <s v="&lt; 7 anos"/>
    <s v="Estável (4-7 anos)"/>
    <n v="3"/>
    <s v="feminino"/>
    <s v="divorciada/casada"/>
    <s v="nenhum"/>
    <n v="4"/>
    <s v="carro ou outros-quitado"/>
    <n v="23"/>
    <s v="Jovem (18-25)"/>
    <s v="nenhum"/>
    <s v="própria"/>
    <n v="1"/>
    <s v="Func. Público/Qualificado"/>
    <n v="1"/>
    <s v="não"/>
    <s v="sim"/>
    <n v="1"/>
  </r>
  <r>
    <n v="525"/>
    <x v="0"/>
    <s v="&gt;= 0 &lt; 200 $"/>
    <s v="saldo baixo"/>
    <n v="18"/>
    <s v="pgto em dia neste banco (em aberto)"/>
    <s v="radio ou televisao"/>
    <n v="1113"/>
    <s v="&lt; 100 $"/>
    <s v="Baixo (&lt; 100 $)"/>
    <s v="&lt; 4 anos"/>
    <s v="Intermediário (1-4 anos)"/>
    <n v="4"/>
    <s v="feminino"/>
    <s v="divorciada/casada"/>
    <s v="garantidor"/>
    <n v="4"/>
    <s v="imovel"/>
    <n v="26"/>
    <s v="Adulto (26-40)"/>
    <s v="nenhum"/>
    <s v="própria"/>
    <n v="1"/>
    <s v="Empregado Comum"/>
    <n v="2"/>
    <s v="não"/>
    <s v="sim"/>
    <n v="1"/>
  </r>
  <r>
    <n v="526"/>
    <x v="0"/>
    <s v="&gt;= 0 &lt; 200 $"/>
    <s v="saldo baixo"/>
    <n v="26"/>
    <s v="pgto em dia neste banco (em aberto)"/>
    <s v="carro usado"/>
    <n v="7966"/>
    <s v="&lt; 100 $"/>
    <s v="Baixo (&lt; 100 $)"/>
    <s v="&lt; 1 ano"/>
    <s v="Iniciante (&lt; 1 ano)"/>
    <n v="2"/>
    <s v="masculino"/>
    <s v="solteiro"/>
    <s v="nenhum"/>
    <n v="3"/>
    <s v="carro ou outros-quitado"/>
    <n v="30"/>
    <s v="Adulto (26-40)"/>
    <s v="nenhum"/>
    <s v="própria"/>
    <n v="2"/>
    <s v="Func. Público/Qualificado"/>
    <n v="1"/>
    <s v="não"/>
    <s v="sim"/>
    <n v="1"/>
  </r>
  <r>
    <n v="527"/>
    <x v="0"/>
    <s v="sem conta corrente"/>
    <s v="sem conta no banco"/>
    <n v="15"/>
    <s v="conta critica / dividas com terceiros"/>
    <s v="educacao"/>
    <n v="1532"/>
    <s v="&gt;= 100 &lt; 500 $"/>
    <s v="Médio (100-500$)"/>
    <s v="&lt; 4 anos"/>
    <s v="Intermediário (1-4 anos)"/>
    <n v="4"/>
    <s v="feminino"/>
    <s v="divorciada/casada"/>
    <s v="nenhum"/>
    <n v="3"/>
    <s v="carro ou outros-quitado"/>
    <n v="31"/>
    <s v="Adulto (26-40)"/>
    <s v="nenhum"/>
    <s v="própria"/>
    <n v="1"/>
    <s v="Func. Público/Qualificado"/>
    <n v="1"/>
    <s v="não"/>
    <s v="sim"/>
    <n v="1"/>
  </r>
  <r>
    <n v="528"/>
    <x v="0"/>
    <s v="sem conta corrente"/>
    <s v="sem conta no banco"/>
    <n v="4"/>
    <s v="conta critica / dividas com terceiros"/>
    <s v="radio ou televisao"/>
    <n v="1503"/>
    <s v="&lt; 100 $"/>
    <s v="Baixo (&lt; 100 $)"/>
    <s v="&lt; 7 anos"/>
    <s v="Estável (4-7 anos)"/>
    <n v="2"/>
    <s v="masculino"/>
    <s v="solteiro"/>
    <s v="nenhum"/>
    <n v="1"/>
    <s v="imovel"/>
    <n v="42"/>
    <s v="Sénior (41-60)"/>
    <s v="nenhum"/>
    <s v="própria"/>
    <n v="2"/>
    <s v="Empregado Comum"/>
    <n v="2"/>
    <s v="não"/>
    <s v="sim"/>
    <n v="1"/>
  </r>
  <r>
    <n v="529"/>
    <x v="1"/>
    <s v="&lt; 0 $"/>
    <s v="negativo/devedor"/>
    <n v="36"/>
    <s v="pgto em dia neste banco (em aberto)"/>
    <s v="radio ou televisao"/>
    <n v="2302"/>
    <s v="&lt; 100 $"/>
    <s v="Baixo (&lt; 100 $)"/>
    <s v="&lt; 4 anos"/>
    <s v="Intermediário (1-4 anos)"/>
    <n v="4"/>
    <s v="masculino"/>
    <s v="divorciado"/>
    <s v="nenhum"/>
    <n v="4"/>
    <s v="carro ou outros-quitado"/>
    <n v="31"/>
    <s v="Adulto (26-40)"/>
    <s v="nenhum"/>
    <s v="aluguel"/>
    <n v="1"/>
    <s v="Func. Público/Qualificado"/>
    <n v="1"/>
    <s v="não"/>
    <s v="sim"/>
    <n v="2"/>
  </r>
  <r>
    <n v="530"/>
    <x v="0"/>
    <s v="&lt; 0 $"/>
    <s v="negativo/devedor"/>
    <n v="6"/>
    <s v="pgto em dia neste banco (em aberto)"/>
    <s v="carro novo"/>
    <n v="662"/>
    <s v="&lt; 100 $"/>
    <s v="Baixo (&lt; 100 $)"/>
    <s v="&lt; 1 ano"/>
    <s v="Iniciante (&lt; 1 ano)"/>
    <n v="3"/>
    <s v="masculino"/>
    <s v="solteiro"/>
    <s v="nenhum"/>
    <n v="4"/>
    <s v="imovel"/>
    <n v="41"/>
    <s v="Sénior (41-60)"/>
    <s v="nenhum"/>
    <s v="própria"/>
    <n v="1"/>
    <s v="Empregado Comum"/>
    <n v="2"/>
    <s v="sim"/>
    <s v="sim"/>
    <n v="1"/>
  </r>
  <r>
    <n v="531"/>
    <x v="0"/>
    <s v="&gt;= 0 &lt; 200 $"/>
    <s v="saldo baixo"/>
    <n v="36"/>
    <s v="pgto em dia neste banco (em aberto)"/>
    <s v="educacao"/>
    <n v="2273"/>
    <s v="&lt; 100 $"/>
    <s v="Baixo (&lt; 100 $)"/>
    <s v="&lt; 7 anos"/>
    <s v="Estável (4-7 anos)"/>
    <n v="3"/>
    <s v="masculino"/>
    <s v="solteiro"/>
    <s v="nenhum"/>
    <n v="1"/>
    <s v="carro ou outros-quitado"/>
    <n v="32"/>
    <s v="Adulto (26-40)"/>
    <s v="nenhum"/>
    <s v="própria"/>
    <n v="2"/>
    <s v="Func. Público/Qualificado"/>
    <n v="2"/>
    <s v="não"/>
    <s v="sim"/>
    <n v="1"/>
  </r>
  <r>
    <n v="532"/>
    <x v="1"/>
    <s v="&gt;= 0 &lt; 200 $"/>
    <s v="saldo baixo"/>
    <n v="15"/>
    <s v="pgto em dia neste banco (em aberto)"/>
    <s v="carro novo"/>
    <n v="2631"/>
    <s v="&gt;= 100 &lt; 500 $"/>
    <s v="Médio (100-500$)"/>
    <s v="&lt; 4 anos"/>
    <s v="Intermediário (1-4 anos)"/>
    <n v="2"/>
    <s v="feminino"/>
    <s v="divorciada/casada"/>
    <s v="nenhum"/>
    <n v="4"/>
    <s v="carro ou outros-quitado"/>
    <n v="28"/>
    <s v="Adulto (26-40)"/>
    <s v="nenhum"/>
    <s v="aluguel"/>
    <n v="2"/>
    <s v="Func. Público/Qualificado"/>
    <n v="1"/>
    <s v="sim"/>
    <s v="sim"/>
    <n v="2"/>
  </r>
  <r>
    <n v="533"/>
    <x v="0"/>
    <s v="sem conta corrente"/>
    <s v="sem conta no banco"/>
    <n v="12"/>
    <s v="pgto em atraso no passado"/>
    <s v="carro usado"/>
    <n v="1503"/>
    <s v="&lt; 100 $"/>
    <s v="Baixo (&lt; 100 $)"/>
    <s v="&lt; 4 anos"/>
    <s v="Intermediário (1-4 anos)"/>
    <n v="4"/>
    <s v="masculino"/>
    <s v="casado/viuvo"/>
    <s v="nenhum"/>
    <n v="4"/>
    <s v="imovel"/>
    <n v="41"/>
    <s v="Sénior (41-60)"/>
    <s v="nenhum"/>
    <s v="aluguel"/>
    <n v="1"/>
    <s v="Func. Público/Qualificado"/>
    <n v="1"/>
    <s v="não"/>
    <s v="sim"/>
    <n v="1"/>
  </r>
  <r>
    <n v="534"/>
    <x v="0"/>
    <s v="sem conta corrente"/>
    <s v="sem conta no banco"/>
    <n v="24"/>
    <s v="pgto em dia neste banco (em aberto)"/>
    <s v="radio ou televisao"/>
    <n v="1311"/>
    <s v="&gt;= 100 &lt; 500 $"/>
    <s v="Médio (100-500$)"/>
    <s v="&lt; 7 anos"/>
    <s v="Estável (4-7 anos)"/>
    <n v="4"/>
    <s v="masculino"/>
    <s v="casado/viuvo"/>
    <s v="nenhum"/>
    <n v="3"/>
    <s v="poupança ou seguro de vida"/>
    <n v="26"/>
    <s v="Adulto (26-40)"/>
    <s v="nenhum"/>
    <s v="própria"/>
    <n v="1"/>
    <s v="Func. Público/Qualificado"/>
    <n v="1"/>
    <s v="sim"/>
    <s v="sim"/>
    <n v="1"/>
  </r>
  <r>
    <n v="535"/>
    <x v="0"/>
    <s v="sem conta corrente"/>
    <s v="sem conta no banco"/>
    <n v="24"/>
    <s v="pgto em dia neste banco (em aberto)"/>
    <s v="radio ou televisao"/>
    <n v="3105"/>
    <s v="sem poupança"/>
    <s v="sem poupança"/>
    <s v="&lt; 1 ano"/>
    <s v="Iniciante (&lt; 1 ano)"/>
    <n v="4"/>
    <s v="masculino"/>
    <s v="solteiro"/>
    <s v="nenhum"/>
    <n v="2"/>
    <s v="carro ou outros-quitado"/>
    <n v="25"/>
    <s v="Adulto (26-40)"/>
    <s v="nenhum"/>
    <s v="própria"/>
    <n v="2"/>
    <s v="Func. Público/Qualificado"/>
    <n v="1"/>
    <s v="não"/>
    <s v="sim"/>
    <n v="1"/>
  </r>
  <r>
    <n v="536"/>
    <x v="1"/>
    <s v="&gt;= 200 $"/>
    <s v="saldo saudável"/>
    <n v="21"/>
    <s v="conta critica / dividas com terceiros"/>
    <s v="educacao"/>
    <n v="2319"/>
    <s v="&lt; 100 $"/>
    <s v="Baixo (&lt; 100 $)"/>
    <s v="&lt; 1 ano"/>
    <s v="Iniciante (&lt; 1 ano)"/>
    <n v="2"/>
    <s v="masculino"/>
    <s v="divorciado"/>
    <s v="nenhum"/>
    <n v="1"/>
    <s v="carro ou outros-quitado"/>
    <n v="33"/>
    <s v="Adulto (26-40)"/>
    <s v="nenhum"/>
    <s v="aluguel"/>
    <n v="1"/>
    <s v="Func. Público/Qualificado"/>
    <n v="1"/>
    <s v="não"/>
    <s v="sim"/>
    <n v="2"/>
  </r>
  <r>
    <n v="537"/>
    <x v="0"/>
    <s v="&lt; 0 $"/>
    <s v="negativo/devedor"/>
    <n v="6"/>
    <s v="pgto em dia neste banco (em aberto)"/>
    <s v="carro novo"/>
    <n v="1374"/>
    <s v="sem poupança"/>
    <s v="sem poupança"/>
    <s v="desempregado"/>
    <s v="desempregado"/>
    <n v="4"/>
    <s v="feminino"/>
    <s v="divorciada/casada"/>
    <s v="nenhum"/>
    <n v="3"/>
    <s v="poupança ou seguro de vida"/>
    <n v="75"/>
    <s v="Idoso (60+)"/>
    <s v="nenhum"/>
    <s v="própria"/>
    <n v="1"/>
    <s v="Executivo/Empresário"/>
    <n v="1"/>
    <s v="sim"/>
    <s v="sim"/>
    <n v="1"/>
  </r>
  <r>
    <n v="538"/>
    <x v="0"/>
    <s v="&gt;= 0 &lt; 200 $"/>
    <s v="saldo baixo"/>
    <n v="18"/>
    <s v="conta critica / dividas com terceiros"/>
    <s v="moveis e equipamentos"/>
    <n v="3612"/>
    <s v="&lt; 100 $"/>
    <s v="Baixo (&lt; 100 $)"/>
    <s v="&gt;= 7 anos"/>
    <s v="Muito Estável (&gt; 7 anos)"/>
    <n v="3"/>
    <s v="feminino"/>
    <s v="divorciada/casada"/>
    <s v="nenhum"/>
    <n v="4"/>
    <s v="poupança ou seguro de vida"/>
    <n v="37"/>
    <s v="Adulto (26-40)"/>
    <s v="nenhum"/>
    <s v="própria"/>
    <n v="1"/>
    <s v="Func. Público/Qualificado"/>
    <n v="1"/>
    <s v="sim"/>
    <s v="sim"/>
    <n v="1"/>
  </r>
  <r>
    <n v="539"/>
    <x v="1"/>
    <s v="&lt; 0 $"/>
    <s v="negativo/devedor"/>
    <n v="48"/>
    <s v="pgto em dia neste banco (em aberto)"/>
    <s v="carro novo"/>
    <n v="7763"/>
    <s v="&lt; 100 $"/>
    <s v="Baixo (&lt; 100 $)"/>
    <s v="&gt;= 7 anos"/>
    <s v="Muito Estável (&gt; 7 anos)"/>
    <n v="4"/>
    <s v="masculino"/>
    <s v="solteiro"/>
    <s v="nenhum"/>
    <n v="4"/>
    <s v="sem bens"/>
    <n v="42"/>
    <s v="Sénior (41-60)"/>
    <s v="banco"/>
    <s v="gratuita"/>
    <n v="1"/>
    <s v="Executivo/Empresário"/>
    <n v="1"/>
    <s v="não"/>
    <s v="sim"/>
    <n v="2"/>
  </r>
  <r>
    <n v="540"/>
    <x v="0"/>
    <s v="&gt;= 200 $"/>
    <s v="saldo saudável"/>
    <n v="18"/>
    <s v="pgto em dia neste banco (em aberto)"/>
    <s v="moveis e equipamentos"/>
    <n v="3049"/>
    <s v="&lt; 100 $"/>
    <s v="Baixo (&lt; 100 $)"/>
    <s v="&lt; 1 ano"/>
    <s v="Iniciante (&lt; 1 ano)"/>
    <n v="1"/>
    <s v="feminino"/>
    <s v="divorciada/casada"/>
    <s v="nenhum"/>
    <n v="1"/>
    <s v="poupança ou seguro de vida"/>
    <n v="45"/>
    <s v="Sénior (41-60)"/>
    <s v="loja"/>
    <s v="própria"/>
    <n v="1"/>
    <s v="Empregado Comum"/>
    <n v="1"/>
    <s v="não"/>
    <s v="sim"/>
    <n v="1"/>
  </r>
  <r>
    <n v="541"/>
    <x v="1"/>
    <s v="&gt;= 0 &lt; 200 $"/>
    <s v="saldo baixo"/>
    <n v="12"/>
    <s v="pgto em dia neste banco (em aberto)"/>
    <s v="radio ou televisao"/>
    <n v="1534"/>
    <s v="&lt; 100 $"/>
    <s v="Baixo (&lt; 100 $)"/>
    <s v="&lt; 1 ano"/>
    <s v="Iniciante (&lt; 1 ano)"/>
    <n v="1"/>
    <s v="masculino"/>
    <s v="casado/viuvo"/>
    <s v="nenhum"/>
    <n v="1"/>
    <s v="imovel"/>
    <n v="23"/>
    <s v="Jovem (18-25)"/>
    <s v="nenhum"/>
    <s v="aluguel"/>
    <n v="1"/>
    <s v="Func. Público/Qualificado"/>
    <n v="1"/>
    <s v="não"/>
    <s v="sim"/>
    <n v="2"/>
  </r>
  <r>
    <n v="542"/>
    <x v="0"/>
    <s v="sem conta corrente"/>
    <s v="sem conta no banco"/>
    <n v="24"/>
    <s v="pgto em atraso no passado"/>
    <s v="carro novo"/>
    <n v="2032"/>
    <s v="&lt; 100 $"/>
    <s v="Baixo (&lt; 100 $)"/>
    <s v="&gt;= 7 anos"/>
    <s v="Muito Estável (&gt; 7 anos)"/>
    <n v="4"/>
    <s v="masculino"/>
    <s v="solteiro"/>
    <s v="nenhum"/>
    <n v="4"/>
    <s v="sem bens"/>
    <n v="60"/>
    <s v="Idoso (60+)"/>
    <s v="nenhum"/>
    <s v="gratuita"/>
    <n v="2"/>
    <s v="Func. Público/Qualificado"/>
    <n v="1"/>
    <s v="sim"/>
    <s v="sim"/>
    <n v="1"/>
  </r>
  <r>
    <n v="543"/>
    <x v="1"/>
    <s v="&lt; 0 $"/>
    <s v="negativo/devedor"/>
    <n v="30"/>
    <s v="pgto em dia neste banco (em aberto)"/>
    <s v="moveis e equipamentos"/>
    <n v="6350"/>
    <s v="sem poupança"/>
    <s v="sem poupança"/>
    <s v="&gt;= 7 anos"/>
    <s v="Muito Estável (&gt; 7 anos)"/>
    <n v="4"/>
    <s v="masculino"/>
    <s v="solteiro"/>
    <s v="nenhum"/>
    <n v="4"/>
    <s v="poupança ou seguro de vida"/>
    <n v="31"/>
    <s v="Adulto (26-40)"/>
    <s v="nenhum"/>
    <s v="própria"/>
    <n v="1"/>
    <s v="Func. Público/Qualificado"/>
    <n v="1"/>
    <s v="não"/>
    <s v="sim"/>
    <n v="2"/>
  </r>
  <r>
    <n v="544"/>
    <x v="1"/>
    <s v="&gt;= 200 $"/>
    <s v="saldo saudável"/>
    <n v="18"/>
    <s v="pgto em dia neste banco (em aberto)"/>
    <s v="moveis e equipamentos"/>
    <n v="2864"/>
    <s v="&lt; 100 $"/>
    <s v="Baixo (&lt; 100 $)"/>
    <s v="&lt; 4 anos"/>
    <s v="Intermediário (1-4 anos)"/>
    <n v="2"/>
    <s v="masculino"/>
    <s v="solteiro"/>
    <s v="nenhum"/>
    <n v="1"/>
    <s v="imovel"/>
    <n v="34"/>
    <s v="Adulto (26-40)"/>
    <s v="nenhum"/>
    <s v="própria"/>
    <n v="1"/>
    <s v="Empregado Comum"/>
    <n v="2"/>
    <s v="não"/>
    <s v="sim"/>
    <n v="2"/>
  </r>
  <r>
    <n v="545"/>
    <x v="0"/>
    <s v="sem conta corrente"/>
    <s v="sem conta no banco"/>
    <n v="12"/>
    <s v="conta critica / dividas com terceiros"/>
    <s v="carro novo"/>
    <n v="1255"/>
    <s v="&lt; 100 $"/>
    <s v="Baixo (&lt; 100 $)"/>
    <s v="&gt;= 7 anos"/>
    <s v="Muito Estável (&gt; 7 anos)"/>
    <n v="4"/>
    <s v="masculino"/>
    <s v="solteiro"/>
    <s v="nenhum"/>
    <n v="4"/>
    <s v="imovel"/>
    <n v="61"/>
    <s v="Idoso (60+)"/>
    <s v="nenhum"/>
    <s v="própria"/>
    <n v="2"/>
    <s v="Empregado Comum"/>
    <n v="1"/>
    <s v="não"/>
    <s v="sim"/>
    <n v="1"/>
  </r>
  <r>
    <n v="546"/>
    <x v="1"/>
    <s v="&lt; 0 $"/>
    <s v="negativo/devedor"/>
    <n v="24"/>
    <s v="pgto em atraso no passado"/>
    <s v="carro novo"/>
    <n v="1333"/>
    <s v="&lt; 100 $"/>
    <s v="Baixo (&lt; 100 $)"/>
    <s v="desempregado"/>
    <s v="desempregado"/>
    <n v="4"/>
    <s v="masculino"/>
    <s v="solteiro"/>
    <s v="nenhum"/>
    <n v="2"/>
    <s v="imovel"/>
    <n v="43"/>
    <s v="Sénior (41-60)"/>
    <s v="nenhum"/>
    <s v="gratuita"/>
    <n v="2"/>
    <s v="Func. Público/Qualificado"/>
    <n v="2"/>
    <s v="não"/>
    <s v="sim"/>
    <n v="2"/>
  </r>
  <r>
    <n v="547"/>
    <x v="0"/>
    <s v="sem conta corrente"/>
    <s v="sem conta no banco"/>
    <n v="24"/>
    <s v="conta critica / dividas com terceiros"/>
    <s v="carro novo"/>
    <n v="2022"/>
    <s v="&lt; 100 $"/>
    <s v="Baixo (&lt; 100 $)"/>
    <s v="&lt; 4 anos"/>
    <s v="Intermediário (1-4 anos)"/>
    <n v="4"/>
    <s v="feminino"/>
    <s v="divorciada/casada"/>
    <s v="nenhum"/>
    <n v="4"/>
    <s v="carro ou outros-quitado"/>
    <n v="37"/>
    <s v="Adulto (26-40)"/>
    <s v="nenhum"/>
    <s v="própria"/>
    <n v="1"/>
    <s v="Func. Público/Qualificado"/>
    <n v="1"/>
    <s v="sim"/>
    <s v="sim"/>
    <n v="1"/>
  </r>
  <r>
    <n v="548"/>
    <x v="0"/>
    <s v="sem conta corrente"/>
    <s v="sem conta no banco"/>
    <n v="24"/>
    <s v="pgto em dia neste banco (em aberto)"/>
    <s v="radio ou televisao"/>
    <n v="1552"/>
    <s v="&lt; 100 $"/>
    <s v="Baixo (&lt; 100 $)"/>
    <s v="&lt; 7 anos"/>
    <s v="Estável (4-7 anos)"/>
    <n v="3"/>
    <s v="masculino"/>
    <s v="solteiro"/>
    <s v="nenhum"/>
    <n v="1"/>
    <s v="carro ou outros-quitado"/>
    <n v="32"/>
    <s v="Adulto (26-40)"/>
    <s v="banco"/>
    <s v="própria"/>
    <n v="1"/>
    <s v="Func. Público/Qualificado"/>
    <n v="2"/>
    <s v="não"/>
    <s v="sim"/>
    <n v="1"/>
  </r>
  <r>
    <n v="549"/>
    <x v="1"/>
    <s v="&lt; 0 $"/>
    <s v="negativo/devedor"/>
    <n v="12"/>
    <s v="pgto em dia neste banco (quitado)"/>
    <s v="radio ou televisao"/>
    <n v="626"/>
    <s v="&lt; 100 $"/>
    <s v="Baixo (&lt; 100 $)"/>
    <s v="&lt; 4 anos"/>
    <s v="Intermediário (1-4 anos)"/>
    <n v="4"/>
    <s v="feminino"/>
    <s v="divorciada/casada"/>
    <s v="nenhum"/>
    <n v="4"/>
    <s v="imovel"/>
    <n v="24"/>
    <s v="Jovem (18-25)"/>
    <s v="banco"/>
    <s v="própria"/>
    <n v="1"/>
    <s v="Empregado Comum"/>
    <n v="1"/>
    <s v="não"/>
    <s v="sim"/>
    <n v="2"/>
  </r>
  <r>
    <n v="550"/>
    <x v="0"/>
    <s v="sem conta corrente"/>
    <s v="sem conta no banco"/>
    <n v="48"/>
    <s v="conta critica / dividas com terceiros"/>
    <s v="carro usado"/>
    <n v="8858"/>
    <s v="sem poupança"/>
    <s v="sem poupança"/>
    <s v="&lt; 7 anos"/>
    <s v="Estável (4-7 anos)"/>
    <n v="2"/>
    <s v="masculino"/>
    <s v="solteiro"/>
    <s v="nenhum"/>
    <n v="1"/>
    <s v="sem bens"/>
    <n v="35"/>
    <s v="Adulto (26-40)"/>
    <s v="nenhum"/>
    <s v="gratuita"/>
    <n v="2"/>
    <s v="Func. Público/Qualificado"/>
    <n v="1"/>
    <s v="sim"/>
    <s v="sim"/>
    <n v="1"/>
  </r>
  <r>
    <n v="551"/>
    <x v="0"/>
    <s v="sem conta corrente"/>
    <s v="sem conta no banco"/>
    <n v="12"/>
    <s v="conta critica / dividas com terceiros"/>
    <s v="reparos"/>
    <n v="996"/>
    <s v="sem poupança"/>
    <s v="sem poupança"/>
    <s v="&lt; 7 anos"/>
    <s v="Estável (4-7 anos)"/>
    <n v="4"/>
    <s v="feminino"/>
    <s v="divorciada/casada"/>
    <s v="nenhum"/>
    <n v="4"/>
    <s v="imovel"/>
    <n v="23"/>
    <s v="Jovem (18-25)"/>
    <s v="nenhum"/>
    <s v="própria"/>
    <n v="2"/>
    <s v="Func. Público/Qualificado"/>
    <n v="1"/>
    <s v="não"/>
    <s v="sim"/>
    <n v="1"/>
  </r>
  <r>
    <n v="552"/>
    <x v="0"/>
    <s v="sem conta corrente"/>
    <s v="sem conta no banco"/>
    <n v="6"/>
    <s v="pgto em dia neste banco (quitado)"/>
    <s v="radio ou televisao"/>
    <n v="1750"/>
    <s v="&gt;= 500 &lt; 1000 $"/>
    <s v="Alto (500-1000 $)"/>
    <s v="&gt;= 7 anos"/>
    <s v="Muito Estável (&gt; 7 anos)"/>
    <n v="2"/>
    <s v="masculino"/>
    <s v="solteiro"/>
    <s v="nenhum"/>
    <n v="4"/>
    <s v="poupança ou seguro de vida"/>
    <n v="45"/>
    <s v="Sénior (41-60)"/>
    <s v="banco"/>
    <s v="própria"/>
    <n v="1"/>
    <s v="Empregado Comum"/>
    <n v="2"/>
    <s v="não"/>
    <s v="sim"/>
    <n v="1"/>
  </r>
  <r>
    <n v="553"/>
    <x v="1"/>
    <s v="&lt; 0 $"/>
    <s v="negativo/devedor"/>
    <n v="48"/>
    <s v="pgto em dia neste banco (em aberto)"/>
    <s v="radio ou televisao"/>
    <n v="6999"/>
    <s v="&lt; 100 $"/>
    <s v="Baixo (&lt; 100 $)"/>
    <s v="&lt; 7 anos"/>
    <s v="Estável (4-7 anos)"/>
    <n v="1"/>
    <s v="masculino"/>
    <s v="casado/viuvo"/>
    <s v="garantidor"/>
    <n v="1"/>
    <s v="imovel"/>
    <n v="34"/>
    <s v="Adulto (26-40)"/>
    <s v="nenhum"/>
    <s v="própria"/>
    <n v="2"/>
    <s v="Func. Público/Qualificado"/>
    <n v="1"/>
    <s v="sim"/>
    <s v="sim"/>
    <n v="2"/>
  </r>
  <r>
    <n v="554"/>
    <x v="0"/>
    <s v="&gt;= 0 &lt; 200 $"/>
    <s v="saldo baixo"/>
    <n v="12"/>
    <s v="conta critica / dividas com terceiros"/>
    <s v="carro novo"/>
    <n v="1995"/>
    <s v="&gt;= 100 &lt; 500 $"/>
    <s v="Médio (100-500$)"/>
    <s v="&lt; 1 ano"/>
    <s v="Iniciante (&lt; 1 ano)"/>
    <n v="4"/>
    <s v="masculino"/>
    <s v="solteiro"/>
    <s v="nenhum"/>
    <n v="1"/>
    <s v="carro ou outros-quitado"/>
    <n v="27"/>
    <s v="Adulto (26-40)"/>
    <s v="nenhum"/>
    <s v="própria"/>
    <n v="1"/>
    <s v="Func. Público/Qualificado"/>
    <n v="1"/>
    <s v="não"/>
    <s v="sim"/>
    <n v="1"/>
  </r>
  <r>
    <n v="555"/>
    <x v="0"/>
    <s v="&gt;= 0 &lt; 200 $"/>
    <s v="saldo baixo"/>
    <n v="9"/>
    <s v="pgto em dia neste banco (em aberto)"/>
    <s v="educacao"/>
    <n v="1199"/>
    <s v="&lt; 100 $"/>
    <s v="Baixo (&lt; 100 $)"/>
    <s v="&lt; 7 anos"/>
    <s v="Estável (4-7 anos)"/>
    <n v="4"/>
    <s v="feminino"/>
    <s v="divorciada/casada"/>
    <s v="nenhum"/>
    <n v="4"/>
    <s v="poupança ou seguro de vida"/>
    <n v="67"/>
    <s v="Idoso (60+)"/>
    <s v="nenhum"/>
    <s v="própria"/>
    <n v="2"/>
    <s v="Executivo/Empresário"/>
    <n v="1"/>
    <s v="sim"/>
    <s v="sim"/>
    <n v="1"/>
  </r>
  <r>
    <n v="556"/>
    <x v="1"/>
    <s v="&gt;= 0 &lt; 200 $"/>
    <s v="saldo baixo"/>
    <n v="12"/>
    <s v="pgto em dia neste banco (em aberto)"/>
    <s v="radio ou televisao"/>
    <n v="1331"/>
    <s v="&lt; 100 $"/>
    <s v="Baixo (&lt; 100 $)"/>
    <s v="&lt; 1 ano"/>
    <s v="Iniciante (&lt; 1 ano)"/>
    <n v="2"/>
    <s v="masculino"/>
    <s v="solteiro"/>
    <s v="nenhum"/>
    <n v="1"/>
    <s v="carro ou outros-quitado"/>
    <n v="22"/>
    <s v="Jovem (18-25)"/>
    <s v="loja"/>
    <s v="própria"/>
    <n v="1"/>
    <s v="Func. Público/Qualificado"/>
    <n v="1"/>
    <s v="não"/>
    <s v="sim"/>
    <n v="2"/>
  </r>
  <r>
    <n v="557"/>
    <x v="1"/>
    <s v="&gt;= 0 &lt; 200 $"/>
    <s v="saldo baixo"/>
    <n v="18"/>
    <s v="nenhum/pgto em dia"/>
    <s v="carro novo"/>
    <n v="2278"/>
    <s v="&gt;= 100 &lt; 500 $"/>
    <s v="Médio (100-500$)"/>
    <s v="&lt; 1 ano"/>
    <s v="Iniciante (&lt; 1 ano)"/>
    <n v="3"/>
    <s v="feminino"/>
    <s v="divorciada/casada"/>
    <s v="nenhum"/>
    <n v="3"/>
    <s v="carro ou outros-quitado"/>
    <n v="28"/>
    <s v="Adulto (26-40)"/>
    <s v="nenhum"/>
    <s v="própria"/>
    <n v="2"/>
    <s v="Func. Público/Qualificado"/>
    <n v="1"/>
    <s v="não"/>
    <s v="sim"/>
    <n v="2"/>
  </r>
  <r>
    <n v="558"/>
    <x v="1"/>
    <s v="sem conta corrente"/>
    <s v="sem conta no banco"/>
    <n v="21"/>
    <s v="nenhum/pgto em dia"/>
    <s v="carro novo"/>
    <n v="5003"/>
    <s v="sem poupança"/>
    <s v="sem poupança"/>
    <s v="&lt; 4 anos"/>
    <s v="Intermediário (1-4 anos)"/>
    <n v="1"/>
    <s v="feminino"/>
    <s v="divorciada/casada"/>
    <s v="nenhum"/>
    <n v="4"/>
    <s v="poupança ou seguro de vida"/>
    <n v="29"/>
    <s v="Adulto (26-40)"/>
    <s v="banco"/>
    <s v="própria"/>
    <n v="2"/>
    <s v="Func. Público/Qualificado"/>
    <n v="1"/>
    <s v="sim"/>
    <s v="sim"/>
    <n v="2"/>
  </r>
  <r>
    <n v="559"/>
    <x v="1"/>
    <s v="&lt; 0 $"/>
    <s v="negativo/devedor"/>
    <n v="24"/>
    <s v="pgto em dia neste banco (quitado)"/>
    <s v="moveis e equipamentos"/>
    <n v="3552"/>
    <s v="&lt; 100 $"/>
    <s v="Baixo (&lt; 100 $)"/>
    <s v="&lt; 7 anos"/>
    <s v="Estável (4-7 anos)"/>
    <n v="3"/>
    <s v="masculino"/>
    <s v="solteiro"/>
    <s v="nenhum"/>
    <n v="4"/>
    <s v="carro ou outros-quitado"/>
    <n v="27"/>
    <s v="Adulto (26-40)"/>
    <s v="banco"/>
    <s v="própria"/>
    <n v="1"/>
    <s v="Func. Público/Qualificado"/>
    <n v="1"/>
    <s v="não"/>
    <s v="sim"/>
    <n v="2"/>
  </r>
  <r>
    <n v="560"/>
    <x v="1"/>
    <s v="&gt;= 0 &lt; 200 $"/>
    <s v="saldo baixo"/>
    <n v="18"/>
    <s v="conta critica / dividas com terceiros"/>
    <s v="moveis e equipamentos"/>
    <n v="1928"/>
    <s v="&lt; 100 $"/>
    <s v="Baixo (&lt; 100 $)"/>
    <s v="&lt; 1 ano"/>
    <s v="Iniciante (&lt; 1 ano)"/>
    <n v="2"/>
    <s v="masculino"/>
    <s v="solteiro"/>
    <s v="nenhum"/>
    <n v="2"/>
    <s v="imovel"/>
    <n v="31"/>
    <s v="Adulto (26-40)"/>
    <s v="nenhum"/>
    <s v="própria"/>
    <n v="2"/>
    <s v="Empregado Comum"/>
    <n v="1"/>
    <s v="não"/>
    <s v="sim"/>
    <n v="2"/>
  </r>
  <r>
    <n v="561"/>
    <x v="0"/>
    <s v="&lt; 0 $"/>
    <s v="negativo/devedor"/>
    <n v="24"/>
    <s v="pgto em dia neste banco (em aberto)"/>
    <s v="carro usado"/>
    <n v="2964"/>
    <s v="sem poupança"/>
    <s v="sem poupança"/>
    <s v="&gt;= 7 anos"/>
    <s v="Muito Estável (&gt; 7 anos)"/>
    <n v="4"/>
    <s v="masculino"/>
    <s v="solteiro"/>
    <s v="nenhum"/>
    <n v="4"/>
    <s v="sem bens"/>
    <n v="49"/>
    <s v="Sénior (41-60)"/>
    <s v="banco"/>
    <s v="gratuita"/>
    <n v="1"/>
    <s v="Func. Público/Qualificado"/>
    <n v="2"/>
    <s v="sim"/>
    <s v="sim"/>
    <n v="1"/>
  </r>
  <r>
    <n v="562"/>
    <x v="1"/>
    <s v="&lt; 0 $"/>
    <s v="negativo/devedor"/>
    <n v="24"/>
    <s v="pgto em dia neste banco (quitado)"/>
    <s v="radio ou televisao"/>
    <n v="1546"/>
    <s v="&lt; 100 $"/>
    <s v="Baixo (&lt; 100 $)"/>
    <s v="&lt; 7 anos"/>
    <s v="Estável (4-7 anos)"/>
    <n v="4"/>
    <s v="masculino"/>
    <s v="solteiro"/>
    <s v="garantidor"/>
    <n v="4"/>
    <s v="carro ou outros-quitado"/>
    <n v="24"/>
    <s v="Jovem (18-25)"/>
    <s v="banco"/>
    <s v="aluguel"/>
    <n v="1"/>
    <s v="Empregado Comum"/>
    <n v="1"/>
    <s v="não"/>
    <s v="sim"/>
    <n v="2"/>
  </r>
  <r>
    <n v="563"/>
    <x v="0"/>
    <s v="&gt;= 200 $"/>
    <s v="saldo saudável"/>
    <n v="6"/>
    <s v="pgto em atraso no passado"/>
    <s v="radio ou televisao"/>
    <n v="683"/>
    <s v="&lt; 100 $"/>
    <s v="Baixo (&lt; 100 $)"/>
    <s v="&lt; 1 ano"/>
    <s v="Iniciante (&lt; 1 ano)"/>
    <n v="2"/>
    <s v="feminino"/>
    <s v="divorciada/casada"/>
    <s v="nenhum"/>
    <n v="1"/>
    <s v="poupança ou seguro de vida"/>
    <n v="29"/>
    <s v="Adulto (26-40)"/>
    <s v="banco"/>
    <s v="própria"/>
    <n v="1"/>
    <s v="Func. Público/Qualificado"/>
    <n v="1"/>
    <s v="não"/>
    <s v="sim"/>
    <n v="1"/>
  </r>
  <r>
    <n v="564"/>
    <x v="1"/>
    <s v="&gt;= 0 &lt; 200 $"/>
    <s v="saldo baixo"/>
    <n v="36"/>
    <s v="pgto em dia neste banco (em aberto)"/>
    <s v="carro novo"/>
    <n v="12389"/>
    <s v="sem poupança"/>
    <s v="sem poupança"/>
    <s v="&lt; 4 anos"/>
    <s v="Intermediário (1-4 anos)"/>
    <n v="1"/>
    <s v="masculino"/>
    <s v="solteiro"/>
    <s v="nenhum"/>
    <n v="4"/>
    <s v="sem bens"/>
    <n v="37"/>
    <s v="Adulto (26-40)"/>
    <s v="nenhum"/>
    <s v="gratuita"/>
    <n v="1"/>
    <s v="Func. Público/Qualificado"/>
    <n v="1"/>
    <s v="sim"/>
    <s v="sim"/>
    <n v="2"/>
  </r>
  <r>
    <n v="565"/>
    <x v="0"/>
    <s v="&gt;= 0 &lt; 200 $"/>
    <s v="saldo baixo"/>
    <n v="24"/>
    <s v="pgto em atraso no passado"/>
    <s v="negocios"/>
    <n v="4712"/>
    <s v="sem poupança"/>
    <s v="sem poupança"/>
    <s v="&lt; 4 anos"/>
    <s v="Intermediário (1-4 anos)"/>
    <n v="4"/>
    <s v="masculino"/>
    <s v="solteiro"/>
    <s v="nenhum"/>
    <n v="2"/>
    <s v="poupança ou seguro de vida"/>
    <n v="37"/>
    <s v="Adulto (26-40)"/>
    <s v="banco"/>
    <s v="própria"/>
    <n v="2"/>
    <s v="Executivo/Empresário"/>
    <n v="1"/>
    <s v="sim"/>
    <s v="sim"/>
    <n v="1"/>
  </r>
  <r>
    <n v="566"/>
    <x v="0"/>
    <s v="&gt;= 0 &lt; 200 $"/>
    <s v="saldo baixo"/>
    <n v="24"/>
    <s v="pgto em atraso no passado"/>
    <s v="radio ou televisao"/>
    <n v="1553"/>
    <s v="&gt;= 100 &lt; 500 $"/>
    <s v="Médio (100-500$)"/>
    <s v="&lt; 7 anos"/>
    <s v="Estável (4-7 anos)"/>
    <n v="3"/>
    <s v="feminino"/>
    <s v="divorciada/casada"/>
    <s v="nenhum"/>
    <n v="2"/>
    <s v="poupança ou seguro de vida"/>
    <n v="23"/>
    <s v="Jovem (18-25)"/>
    <s v="nenhum"/>
    <s v="aluguel"/>
    <n v="2"/>
    <s v="Func. Público/Qualificado"/>
    <n v="1"/>
    <s v="sim"/>
    <s v="sim"/>
    <n v="1"/>
  </r>
  <r>
    <n v="567"/>
    <x v="1"/>
    <s v="&lt; 0 $"/>
    <s v="negativo/devedor"/>
    <n v="12"/>
    <s v="pgto em dia neste banco (em aberto)"/>
    <s v="carro novo"/>
    <n v="1372"/>
    <s v="&lt; 100 $"/>
    <s v="Baixo (&lt; 100 $)"/>
    <s v="&lt; 7 anos"/>
    <s v="Estável (4-7 anos)"/>
    <n v="2"/>
    <s v="masculino"/>
    <s v="divorciado"/>
    <s v="nenhum"/>
    <n v="3"/>
    <s v="carro ou outros-quitado"/>
    <n v="36"/>
    <s v="Adulto (26-40)"/>
    <s v="nenhum"/>
    <s v="própria"/>
    <n v="1"/>
    <s v="Func. Público/Qualificado"/>
    <n v="1"/>
    <s v="não"/>
    <s v="sim"/>
    <n v="2"/>
  </r>
  <r>
    <n v="568"/>
    <x v="0"/>
    <s v="sem conta corrente"/>
    <s v="sem conta no banco"/>
    <n v="24"/>
    <s v="conta critica / dividas com terceiros"/>
    <s v="radio ou televisao"/>
    <n v="2578"/>
    <s v="&gt;= 1000 $"/>
    <s v="Muito alto (&gt;1000$)"/>
    <s v="&gt;= 7 anos"/>
    <s v="Muito Estável (&gt; 7 anos)"/>
    <n v="2"/>
    <s v="masculino"/>
    <s v="solteiro"/>
    <s v="nenhum"/>
    <n v="2"/>
    <s v="carro ou outros-quitado"/>
    <n v="34"/>
    <s v="Adulto (26-40)"/>
    <s v="nenhum"/>
    <s v="própria"/>
    <n v="1"/>
    <s v="Func. Público/Qualificado"/>
    <n v="1"/>
    <s v="não"/>
    <s v="sim"/>
    <n v="1"/>
  </r>
  <r>
    <n v="569"/>
    <x v="0"/>
    <s v="&gt;= 0 &lt; 200 $"/>
    <s v="saldo baixo"/>
    <n v="48"/>
    <s v="pgto em dia neste banco (em aberto)"/>
    <s v="radio ou televisao"/>
    <n v="3979"/>
    <s v="sem poupança"/>
    <s v="sem poupança"/>
    <s v="&lt; 7 anos"/>
    <s v="Estável (4-7 anos)"/>
    <n v="4"/>
    <s v="masculino"/>
    <s v="solteiro"/>
    <s v="nenhum"/>
    <n v="1"/>
    <s v="carro ou outros-quitado"/>
    <n v="41"/>
    <s v="Sénior (41-60)"/>
    <s v="nenhum"/>
    <s v="própria"/>
    <n v="2"/>
    <s v="Func. Público/Qualificado"/>
    <n v="2"/>
    <s v="sim"/>
    <s v="sim"/>
    <n v="1"/>
  </r>
  <r>
    <n v="570"/>
    <x v="1"/>
    <s v="&lt; 0 $"/>
    <s v="negativo/devedor"/>
    <n v="48"/>
    <s v="pgto em dia neste banco (em aberto)"/>
    <s v="radio ou televisao"/>
    <n v="6758"/>
    <s v="&lt; 100 $"/>
    <s v="Baixo (&lt; 100 $)"/>
    <s v="&lt; 4 anos"/>
    <s v="Intermediário (1-4 anos)"/>
    <n v="3"/>
    <s v="feminino"/>
    <s v="divorciada/casada"/>
    <s v="nenhum"/>
    <n v="2"/>
    <s v="carro ou outros-quitado"/>
    <n v="31"/>
    <s v="Adulto (26-40)"/>
    <s v="nenhum"/>
    <s v="própria"/>
    <n v="1"/>
    <s v="Func. Público/Qualificado"/>
    <n v="1"/>
    <s v="sim"/>
    <s v="sim"/>
    <n v="2"/>
  </r>
  <r>
    <n v="571"/>
    <x v="1"/>
    <s v="&lt; 0 $"/>
    <s v="negativo/devedor"/>
    <n v="24"/>
    <s v="pgto em dia neste banco (em aberto)"/>
    <s v="moveis e equipamentos"/>
    <n v="3234"/>
    <s v="&lt; 100 $"/>
    <s v="Baixo (&lt; 100 $)"/>
    <s v="&lt; 1 ano"/>
    <s v="Iniciante (&lt; 1 ano)"/>
    <n v="4"/>
    <s v="feminino"/>
    <s v="divorciada/casada"/>
    <s v="nenhum"/>
    <n v="4"/>
    <s v="imovel"/>
    <n v="23"/>
    <s v="Jovem (18-25)"/>
    <s v="nenhum"/>
    <s v="aluguel"/>
    <n v="1"/>
    <s v="Empregado Comum"/>
    <n v="1"/>
    <s v="sim"/>
    <s v="sim"/>
    <n v="2"/>
  </r>
  <r>
    <n v="572"/>
    <x v="0"/>
    <s v="sem conta corrente"/>
    <s v="sem conta no banco"/>
    <n v="30"/>
    <s v="conta critica / dividas com terceiros"/>
    <s v="radio ou televisao"/>
    <n v="5954"/>
    <s v="&lt; 100 $"/>
    <s v="Baixo (&lt; 100 $)"/>
    <s v="&lt; 7 anos"/>
    <s v="Estável (4-7 anos)"/>
    <n v="3"/>
    <s v="masculino"/>
    <s v="solteiro"/>
    <s v="codevedor"/>
    <n v="2"/>
    <s v="carro ou outros-quitado"/>
    <n v="38"/>
    <s v="Adulto (26-40)"/>
    <s v="nenhum"/>
    <s v="própria"/>
    <n v="1"/>
    <s v="Func. Público/Qualificado"/>
    <n v="1"/>
    <s v="não"/>
    <s v="sim"/>
    <n v="1"/>
  </r>
  <r>
    <n v="573"/>
    <x v="0"/>
    <s v="sem conta corrente"/>
    <s v="sem conta no banco"/>
    <n v="24"/>
    <s v="pgto em dia neste banco (em aberto)"/>
    <s v="carro usado"/>
    <n v="5433"/>
    <s v="sem poupança"/>
    <s v="sem poupança"/>
    <s v="desempregado"/>
    <s v="desempregado"/>
    <n v="2"/>
    <s v="feminino"/>
    <s v="divorciada/casada"/>
    <s v="nenhum"/>
    <n v="4"/>
    <s v="poupança ou seguro de vida"/>
    <n v="26"/>
    <s v="Adulto (26-40)"/>
    <s v="nenhum"/>
    <s v="aluguel"/>
    <n v="1"/>
    <s v="Executivo/Empresário"/>
    <n v="1"/>
    <s v="sim"/>
    <s v="sim"/>
    <n v="1"/>
  </r>
  <r>
    <n v="574"/>
    <x v="0"/>
    <s v="&lt; 0 $"/>
    <s v="negativo/devedor"/>
    <n v="15"/>
    <s v="pgto em dia neste banco (em aberto)"/>
    <s v="negocios"/>
    <n v="806"/>
    <s v="&lt; 100 $"/>
    <s v="Baixo (&lt; 100 $)"/>
    <s v="&lt; 4 anos"/>
    <s v="Intermediário (1-4 anos)"/>
    <n v="4"/>
    <s v="feminino"/>
    <s v="divorciada/casada"/>
    <s v="nenhum"/>
    <n v="4"/>
    <s v="poupança ou seguro de vida"/>
    <n v="22"/>
    <s v="Jovem (18-25)"/>
    <s v="nenhum"/>
    <s v="própria"/>
    <n v="1"/>
    <s v="Empregado Comum"/>
    <n v="1"/>
    <s v="não"/>
    <s v="sim"/>
    <n v="1"/>
  </r>
  <r>
    <n v="575"/>
    <x v="0"/>
    <s v="&gt;= 0 &lt; 200 $"/>
    <s v="saldo baixo"/>
    <n v="9"/>
    <s v="pgto em dia neste banco (em aberto)"/>
    <s v="radio ou televisao"/>
    <n v="1082"/>
    <s v="&lt; 100 $"/>
    <s v="Baixo (&lt; 100 $)"/>
    <s v="&gt;= 7 anos"/>
    <s v="Muito Estável (&gt; 7 anos)"/>
    <n v="4"/>
    <s v="masculino"/>
    <s v="solteiro"/>
    <s v="nenhum"/>
    <n v="4"/>
    <s v="carro ou outros-quitado"/>
    <n v="27"/>
    <s v="Adulto (26-40)"/>
    <s v="nenhum"/>
    <s v="própria"/>
    <n v="2"/>
    <s v="Empregado Comum"/>
    <n v="1"/>
    <s v="não"/>
    <s v="sim"/>
    <n v="1"/>
  </r>
  <r>
    <n v="576"/>
    <x v="0"/>
    <s v="sem conta corrente"/>
    <s v="sem conta no banco"/>
    <n v="15"/>
    <s v="conta critica / dividas com terceiros"/>
    <s v="moveis e equipamentos"/>
    <n v="2788"/>
    <s v="&lt; 100 $"/>
    <s v="Baixo (&lt; 100 $)"/>
    <s v="&lt; 7 anos"/>
    <s v="Estável (4-7 anos)"/>
    <n v="2"/>
    <s v="feminino"/>
    <s v="divorciada/casada"/>
    <s v="codevedor"/>
    <n v="3"/>
    <s v="carro ou outros-quitado"/>
    <n v="24"/>
    <s v="Jovem (18-25)"/>
    <s v="banco"/>
    <s v="própria"/>
    <n v="2"/>
    <s v="Func. Público/Qualificado"/>
    <n v="1"/>
    <s v="não"/>
    <s v="sim"/>
    <n v="1"/>
  </r>
  <r>
    <n v="577"/>
    <x v="0"/>
    <s v="&gt;= 0 &lt; 200 $"/>
    <s v="saldo baixo"/>
    <n v="12"/>
    <s v="pgto em dia neste banco (em aberto)"/>
    <s v="radio ou televisao"/>
    <n v="2930"/>
    <s v="&lt; 100 $"/>
    <s v="Baixo (&lt; 100 $)"/>
    <s v="&lt; 7 anos"/>
    <s v="Estável (4-7 anos)"/>
    <n v="2"/>
    <s v="feminino"/>
    <s v="divorciada/casada"/>
    <s v="nenhum"/>
    <n v="1"/>
    <s v="imovel"/>
    <n v="27"/>
    <s v="Adulto (26-40)"/>
    <s v="nenhum"/>
    <s v="própria"/>
    <n v="1"/>
    <s v="Func. Público/Qualificado"/>
    <n v="1"/>
    <s v="não"/>
    <s v="sim"/>
    <n v="1"/>
  </r>
  <r>
    <n v="578"/>
    <x v="0"/>
    <s v="sem conta corrente"/>
    <s v="sem conta no banco"/>
    <n v="24"/>
    <s v="conta critica / dividas com terceiros"/>
    <s v="educacao"/>
    <n v="1927"/>
    <s v="sem poupança"/>
    <s v="sem poupança"/>
    <s v="&lt; 4 anos"/>
    <s v="Intermediário (1-4 anos)"/>
    <n v="3"/>
    <s v="feminino"/>
    <s v="divorciada/casada"/>
    <s v="nenhum"/>
    <n v="2"/>
    <s v="carro ou outros-quitado"/>
    <n v="33"/>
    <s v="Adulto (26-40)"/>
    <s v="nenhum"/>
    <s v="própria"/>
    <n v="2"/>
    <s v="Func. Público/Qualificado"/>
    <n v="1"/>
    <s v="sim"/>
    <s v="sim"/>
    <n v="1"/>
  </r>
  <r>
    <n v="579"/>
    <x v="1"/>
    <s v="&gt;= 0 &lt; 200 $"/>
    <s v="saldo baixo"/>
    <n v="36"/>
    <s v="conta critica / dividas com terceiros"/>
    <s v="carro novo"/>
    <n v="2820"/>
    <s v="&lt; 100 $"/>
    <s v="Baixo (&lt; 100 $)"/>
    <s v="&lt; 1 ano"/>
    <s v="Iniciante (&lt; 1 ano)"/>
    <n v="4"/>
    <s v="masculino"/>
    <s v="divorciado"/>
    <s v="nenhum"/>
    <n v="4"/>
    <s v="carro ou outros-quitado"/>
    <n v="27"/>
    <s v="Adulto (26-40)"/>
    <s v="nenhum"/>
    <s v="própria"/>
    <n v="2"/>
    <s v="Func. Público/Qualificado"/>
    <n v="1"/>
    <s v="não"/>
    <s v="sim"/>
    <n v="2"/>
  </r>
  <r>
    <n v="580"/>
    <x v="0"/>
    <s v="sem conta corrente"/>
    <s v="sem conta no banco"/>
    <n v="24"/>
    <s v="pgto em dia neste banco (em aberto)"/>
    <s v="reciclagem profissional"/>
    <n v="937"/>
    <s v="&lt; 100 $"/>
    <s v="Baixo (&lt; 100 $)"/>
    <s v="&lt; 1 ano"/>
    <s v="Iniciante (&lt; 1 ano)"/>
    <n v="4"/>
    <s v="masculino"/>
    <s v="casado/viuvo"/>
    <s v="nenhum"/>
    <n v="3"/>
    <s v="carro ou outros-quitado"/>
    <n v="27"/>
    <s v="Adulto (26-40)"/>
    <s v="nenhum"/>
    <s v="própria"/>
    <n v="2"/>
    <s v="Empregado Comum"/>
    <n v="1"/>
    <s v="não"/>
    <s v="sim"/>
    <n v="1"/>
  </r>
  <r>
    <n v="581"/>
    <x v="1"/>
    <s v="&gt;= 0 &lt; 200 $"/>
    <s v="saldo baixo"/>
    <n v="18"/>
    <s v="conta critica / dividas com terceiros"/>
    <s v="carro novo"/>
    <n v="1056"/>
    <s v="&lt; 100 $"/>
    <s v="Baixo (&lt; 100 $)"/>
    <s v="&gt;= 7 anos"/>
    <s v="Muito Estável (&gt; 7 anos)"/>
    <n v="3"/>
    <s v="masculino"/>
    <s v="solteiro"/>
    <s v="garantidor"/>
    <n v="3"/>
    <s v="imovel"/>
    <n v="30"/>
    <s v="Adulto (26-40)"/>
    <s v="banco"/>
    <s v="própria"/>
    <n v="2"/>
    <s v="Func. Público/Qualificado"/>
    <n v="1"/>
    <s v="não"/>
    <s v="sim"/>
    <n v="2"/>
  </r>
  <r>
    <n v="582"/>
    <x v="0"/>
    <s v="&gt;= 0 &lt; 200 $"/>
    <s v="saldo baixo"/>
    <n v="12"/>
    <s v="conta critica / dividas com terceiros"/>
    <s v="carro novo"/>
    <n v="3124"/>
    <s v="&lt; 100 $"/>
    <s v="Baixo (&lt; 100 $)"/>
    <s v="&lt; 1 ano"/>
    <s v="Iniciante (&lt; 1 ano)"/>
    <n v="1"/>
    <s v="masculino"/>
    <s v="solteiro"/>
    <s v="nenhum"/>
    <n v="3"/>
    <s v="imovel"/>
    <n v="49"/>
    <s v="Sénior (41-60)"/>
    <s v="banco"/>
    <s v="própria"/>
    <n v="2"/>
    <s v="Empregado Comum"/>
    <n v="2"/>
    <s v="não"/>
    <s v="sim"/>
    <n v="1"/>
  </r>
  <r>
    <n v="583"/>
    <x v="0"/>
    <s v="sem conta corrente"/>
    <s v="sem conta no banco"/>
    <n v="9"/>
    <s v="pgto em dia neste banco (em aberto)"/>
    <s v="moveis e equipamentos"/>
    <n v="1388"/>
    <s v="&lt; 100 $"/>
    <s v="Baixo (&lt; 100 $)"/>
    <s v="&lt; 4 anos"/>
    <s v="Intermediário (1-4 anos)"/>
    <n v="4"/>
    <s v="feminino"/>
    <s v="divorciada/casada"/>
    <s v="nenhum"/>
    <n v="2"/>
    <s v="imovel"/>
    <n v="26"/>
    <s v="Adulto (26-40)"/>
    <s v="nenhum"/>
    <s v="aluguel"/>
    <n v="1"/>
    <s v="Func. Público/Qualificado"/>
    <n v="1"/>
    <s v="não"/>
    <s v="sim"/>
    <n v="1"/>
  </r>
  <r>
    <n v="584"/>
    <x v="1"/>
    <s v="&gt;= 0 &lt; 200 $"/>
    <s v="saldo baixo"/>
    <n v="36"/>
    <s v="pgto em dia neste banco (em aberto)"/>
    <s v="reparos"/>
    <n v="2384"/>
    <s v="&lt; 100 $"/>
    <s v="Baixo (&lt; 100 $)"/>
    <s v="&lt; 1 ano"/>
    <s v="Iniciante (&lt; 1 ano)"/>
    <n v="4"/>
    <s v="masculino"/>
    <s v="solteiro"/>
    <s v="nenhum"/>
    <n v="1"/>
    <s v="sem bens"/>
    <n v="33"/>
    <s v="Adulto (26-40)"/>
    <s v="nenhum"/>
    <s v="aluguel"/>
    <n v="1"/>
    <s v="Empregado Comum"/>
    <n v="1"/>
    <s v="não"/>
    <s v="sim"/>
    <n v="2"/>
  </r>
  <r>
    <n v="585"/>
    <x v="0"/>
    <s v="sem conta corrente"/>
    <s v="sem conta no banco"/>
    <n v="12"/>
    <s v="pgto em dia neste banco (em aberto)"/>
    <s v="carro novo"/>
    <n v="2133"/>
    <s v="sem poupança"/>
    <s v="sem poupança"/>
    <s v="&gt;= 7 anos"/>
    <s v="Muito Estável (&gt; 7 anos)"/>
    <n v="4"/>
    <s v="feminino"/>
    <s v="divorciada/casada"/>
    <s v="nenhum"/>
    <n v="4"/>
    <s v="sem bens"/>
    <n v="52"/>
    <s v="Sénior (41-60)"/>
    <s v="nenhum"/>
    <s v="gratuita"/>
    <n v="1"/>
    <s v="Executivo/Empresário"/>
    <n v="1"/>
    <s v="sim"/>
    <s v="sim"/>
    <n v="1"/>
  </r>
  <r>
    <n v="586"/>
    <x v="1"/>
    <s v="&lt; 0 $"/>
    <s v="negativo/devedor"/>
    <n v="18"/>
    <s v="pgto em dia neste banco (em aberto)"/>
    <s v="moveis e equipamentos"/>
    <n v="2039"/>
    <s v="&lt; 100 $"/>
    <s v="Baixo (&lt; 100 $)"/>
    <s v="&lt; 4 anos"/>
    <s v="Intermediário (1-4 anos)"/>
    <n v="1"/>
    <s v="feminino"/>
    <s v="divorciada/casada"/>
    <s v="nenhum"/>
    <n v="4"/>
    <s v="imovel"/>
    <n v="20"/>
    <s v="Jovem (18-25)"/>
    <s v="banco"/>
    <s v="aluguel"/>
    <n v="1"/>
    <s v="Func. Público/Qualificado"/>
    <n v="1"/>
    <s v="não"/>
    <s v="sim"/>
    <n v="2"/>
  </r>
  <r>
    <n v="587"/>
    <x v="0"/>
    <s v="&lt; 0 $"/>
    <s v="negativo/devedor"/>
    <n v="9"/>
    <s v="conta critica / dividas com terceiros"/>
    <s v="carro novo"/>
    <n v="2799"/>
    <s v="&lt; 100 $"/>
    <s v="Baixo (&lt; 100 $)"/>
    <s v="&lt; 4 anos"/>
    <s v="Intermediário (1-4 anos)"/>
    <n v="2"/>
    <s v="masculino"/>
    <s v="solteiro"/>
    <s v="nenhum"/>
    <n v="2"/>
    <s v="imovel"/>
    <n v="36"/>
    <s v="Adulto (26-40)"/>
    <s v="nenhum"/>
    <s v="aluguel"/>
    <n v="2"/>
    <s v="Func. Público/Qualificado"/>
    <n v="2"/>
    <s v="não"/>
    <s v="sim"/>
    <n v="1"/>
  </r>
  <r>
    <n v="588"/>
    <x v="0"/>
    <s v="&lt; 0 $"/>
    <s v="negativo/devedor"/>
    <n v="12"/>
    <s v="pgto em dia neste banco (em aberto)"/>
    <s v="moveis e equipamentos"/>
    <n v="1289"/>
    <s v="&lt; 100 $"/>
    <s v="Baixo (&lt; 100 $)"/>
    <s v="&lt; 4 anos"/>
    <s v="Intermediário (1-4 anos)"/>
    <n v="4"/>
    <s v="masculino"/>
    <s v="solteiro"/>
    <s v="garantidor"/>
    <n v="1"/>
    <s v="poupança ou seguro de vida"/>
    <n v="21"/>
    <s v="Jovem (18-25)"/>
    <s v="nenhum"/>
    <s v="própria"/>
    <n v="1"/>
    <s v="Empregado Comum"/>
    <n v="1"/>
    <s v="não"/>
    <s v="sim"/>
    <n v="1"/>
  </r>
  <r>
    <n v="589"/>
    <x v="1"/>
    <s v="&lt; 0 $"/>
    <s v="negativo/devedor"/>
    <n v="18"/>
    <s v="pgto em dia neste banco (em aberto)"/>
    <s v="eletrodomesticos"/>
    <n v="1217"/>
    <s v="&lt; 100 $"/>
    <s v="Baixo (&lt; 100 $)"/>
    <s v="&lt; 4 anos"/>
    <s v="Intermediário (1-4 anos)"/>
    <n v="4"/>
    <s v="masculino"/>
    <s v="casado/viuvo"/>
    <s v="nenhum"/>
    <n v="3"/>
    <s v="imovel"/>
    <n v="47"/>
    <s v="Sénior (41-60)"/>
    <s v="nenhum"/>
    <s v="própria"/>
    <n v="1"/>
    <s v="Empregado Comum"/>
    <n v="1"/>
    <s v="sim"/>
    <s v="sim"/>
    <n v="2"/>
  </r>
  <r>
    <n v="590"/>
    <x v="1"/>
    <s v="&lt; 0 $"/>
    <s v="negativo/devedor"/>
    <n v="12"/>
    <s v="conta critica / dividas com terceiros"/>
    <s v="moveis e equipamentos"/>
    <n v="2246"/>
    <s v="&lt; 100 $"/>
    <s v="Baixo (&lt; 100 $)"/>
    <s v="&gt;= 7 anos"/>
    <s v="Muito Estável (&gt; 7 anos)"/>
    <n v="3"/>
    <s v="masculino"/>
    <s v="solteiro"/>
    <s v="nenhum"/>
    <n v="3"/>
    <s v="poupança ou seguro de vida"/>
    <n v="60"/>
    <s v="Idoso (60+)"/>
    <s v="nenhum"/>
    <s v="própria"/>
    <n v="2"/>
    <s v="Func. Público/Qualificado"/>
    <n v="1"/>
    <s v="não"/>
    <s v="sim"/>
    <n v="2"/>
  </r>
  <r>
    <n v="591"/>
    <x v="0"/>
    <s v="&lt; 0 $"/>
    <s v="negativo/devedor"/>
    <n v="12"/>
    <s v="conta critica / dividas com terceiros"/>
    <s v="radio ou televisao"/>
    <n v="385"/>
    <s v="&lt; 100 $"/>
    <s v="Baixo (&lt; 100 $)"/>
    <s v="&lt; 7 anos"/>
    <s v="Estável (4-7 anos)"/>
    <n v="4"/>
    <s v="feminino"/>
    <s v="divorciada/casada"/>
    <s v="nenhum"/>
    <n v="3"/>
    <s v="imovel"/>
    <n v="58"/>
    <s v="Sénior (41-60)"/>
    <s v="nenhum"/>
    <s v="própria"/>
    <n v="4"/>
    <s v="Empregado Comum"/>
    <n v="1"/>
    <s v="sim"/>
    <s v="sim"/>
    <n v="1"/>
  </r>
  <r>
    <n v="592"/>
    <x v="0"/>
    <s v="&gt;= 0 &lt; 200 $"/>
    <s v="saldo baixo"/>
    <n v="24"/>
    <s v="pgto em atraso no passado"/>
    <s v="carro novo"/>
    <n v="1965"/>
    <s v="sem poupança"/>
    <s v="sem poupança"/>
    <s v="&lt; 4 anos"/>
    <s v="Intermediário (1-4 anos)"/>
    <n v="4"/>
    <s v="feminino"/>
    <s v="divorciada/casada"/>
    <s v="nenhum"/>
    <n v="4"/>
    <s v="carro ou outros-quitado"/>
    <n v="42"/>
    <s v="Sénior (41-60)"/>
    <s v="nenhum"/>
    <s v="aluguel"/>
    <n v="2"/>
    <s v="Func. Público/Qualificado"/>
    <n v="1"/>
    <s v="sim"/>
    <s v="sim"/>
    <n v="1"/>
  </r>
  <r>
    <n v="593"/>
    <x v="0"/>
    <s v="sem conta corrente"/>
    <s v="sem conta no banco"/>
    <n v="21"/>
    <s v="pgto em dia neste banco (em aberto)"/>
    <s v="negocios"/>
    <n v="1572"/>
    <s v="&gt;= 1000 $"/>
    <s v="Muito alto (&gt;1000$)"/>
    <s v="&gt;= 7 anos"/>
    <s v="Muito Estável (&gt; 7 anos)"/>
    <n v="4"/>
    <s v="feminino"/>
    <s v="divorciada/casada"/>
    <s v="nenhum"/>
    <n v="4"/>
    <s v="imovel"/>
    <n v="36"/>
    <s v="Adulto (26-40)"/>
    <s v="banco"/>
    <s v="própria"/>
    <n v="1"/>
    <s v="Empregado Comum"/>
    <n v="1"/>
    <s v="não"/>
    <s v="sim"/>
    <n v="1"/>
  </r>
  <r>
    <n v="594"/>
    <x v="1"/>
    <s v="&gt;= 0 &lt; 200 $"/>
    <s v="saldo baixo"/>
    <n v="24"/>
    <s v="pgto em dia neste banco (em aberto)"/>
    <s v="carro novo"/>
    <n v="2718"/>
    <s v="&lt; 100 $"/>
    <s v="Baixo (&lt; 100 $)"/>
    <s v="&lt; 4 anos"/>
    <s v="Intermediário (1-4 anos)"/>
    <n v="3"/>
    <s v="feminino"/>
    <s v="divorciada/casada"/>
    <s v="nenhum"/>
    <n v="4"/>
    <s v="poupança ou seguro de vida"/>
    <n v="20"/>
    <s v="Jovem (18-25)"/>
    <s v="nenhum"/>
    <s v="aluguel"/>
    <n v="1"/>
    <s v="Empregado Comum"/>
    <n v="1"/>
    <s v="sim"/>
    <s v="sim"/>
    <n v="2"/>
  </r>
  <r>
    <n v="595"/>
    <x v="1"/>
    <s v="&lt; 0 $"/>
    <s v="negativo/devedor"/>
    <n v="24"/>
    <s v="pgto em dia neste banco (quitado)"/>
    <s v="outros"/>
    <n v="1358"/>
    <s v="sem poupança"/>
    <s v="sem poupança"/>
    <s v="&gt;= 7 anos"/>
    <s v="Muito Estável (&gt; 7 anos)"/>
    <n v="4"/>
    <s v="masculino"/>
    <s v="solteiro"/>
    <s v="nenhum"/>
    <n v="3"/>
    <s v="carro ou outros-quitado"/>
    <n v="40"/>
    <s v="Sénior (41-60)"/>
    <s v="loja"/>
    <s v="própria"/>
    <n v="1"/>
    <s v="Executivo/Empresário"/>
    <n v="1"/>
    <s v="sim"/>
    <s v="sim"/>
    <n v="2"/>
  </r>
  <r>
    <n v="596"/>
    <x v="1"/>
    <s v="&gt;= 0 &lt; 200 $"/>
    <s v="saldo baixo"/>
    <n v="6"/>
    <s v="pgto em dia neste banco (quitado)"/>
    <s v="carro novo"/>
    <n v="931"/>
    <s v="&gt;= 100 &lt; 500 $"/>
    <s v="Médio (100-500$)"/>
    <s v="&lt; 1 ano"/>
    <s v="Iniciante (&lt; 1 ano)"/>
    <n v="1"/>
    <s v="feminino"/>
    <s v="divorciada/casada"/>
    <s v="nenhum"/>
    <n v="1"/>
    <s v="poupança ou seguro de vida"/>
    <n v="32"/>
    <s v="Adulto (26-40)"/>
    <s v="loja"/>
    <s v="própria"/>
    <n v="1"/>
    <s v="Empregado Comum"/>
    <n v="1"/>
    <s v="não"/>
    <s v="sim"/>
    <n v="2"/>
  </r>
  <r>
    <n v="597"/>
    <x v="1"/>
    <s v="&lt; 0 $"/>
    <s v="negativo/devedor"/>
    <n v="24"/>
    <s v="pgto em dia neste banco (em aberto)"/>
    <s v="carro novo"/>
    <n v="1442"/>
    <s v="&lt; 100 $"/>
    <s v="Baixo (&lt; 100 $)"/>
    <s v="&lt; 7 anos"/>
    <s v="Estável (4-7 anos)"/>
    <n v="4"/>
    <s v="feminino"/>
    <s v="divorciada/casada"/>
    <s v="nenhum"/>
    <n v="4"/>
    <s v="carro ou outros-quitado"/>
    <n v="23"/>
    <s v="Jovem (18-25)"/>
    <s v="nenhum"/>
    <s v="aluguel"/>
    <n v="2"/>
    <s v="Func. Público/Qualificado"/>
    <n v="1"/>
    <s v="não"/>
    <s v="sim"/>
    <n v="2"/>
  </r>
  <r>
    <n v="598"/>
    <x v="1"/>
    <s v="&gt;= 0 &lt; 200 $"/>
    <s v="saldo baixo"/>
    <n v="24"/>
    <s v="nenhum/pgto em dia"/>
    <s v="negocios"/>
    <n v="4241"/>
    <s v="&lt; 100 $"/>
    <s v="Baixo (&lt; 100 $)"/>
    <s v="&lt; 4 anos"/>
    <s v="Intermediário (1-4 anos)"/>
    <n v="1"/>
    <s v="masculino"/>
    <s v="solteiro"/>
    <s v="nenhum"/>
    <n v="4"/>
    <s v="imovel"/>
    <n v="36"/>
    <s v="Adulto (26-40)"/>
    <s v="nenhum"/>
    <s v="própria"/>
    <n v="3"/>
    <s v="Empregado Comum"/>
    <n v="1"/>
    <s v="sim"/>
    <s v="sim"/>
    <n v="2"/>
  </r>
  <r>
    <n v="599"/>
    <x v="1"/>
    <s v="sem conta corrente"/>
    <s v="sem conta no banco"/>
    <n v="18"/>
    <s v="conta critica / dividas com terceiros"/>
    <s v="carro novo"/>
    <n v="2775"/>
    <s v="&lt; 100 $"/>
    <s v="Baixo (&lt; 100 $)"/>
    <s v="&lt; 7 anos"/>
    <s v="Estável (4-7 anos)"/>
    <n v="2"/>
    <s v="masculino"/>
    <s v="solteiro"/>
    <s v="nenhum"/>
    <n v="2"/>
    <s v="poupança ou seguro de vida"/>
    <n v="31"/>
    <s v="Adulto (26-40)"/>
    <s v="banco"/>
    <s v="própria"/>
    <n v="2"/>
    <s v="Func. Público/Qualificado"/>
    <n v="1"/>
    <s v="não"/>
    <s v="sim"/>
    <n v="2"/>
  </r>
  <r>
    <n v="600"/>
    <x v="0"/>
    <s v="sem conta corrente"/>
    <s v="sem conta no banco"/>
    <n v="24"/>
    <s v="pgto em atraso no passado"/>
    <s v="negocios"/>
    <n v="3863"/>
    <s v="&lt; 100 $"/>
    <s v="Baixo (&lt; 100 $)"/>
    <s v="&lt; 4 anos"/>
    <s v="Intermediário (1-4 anos)"/>
    <n v="1"/>
    <s v="masculino"/>
    <s v="solteiro"/>
    <s v="nenhum"/>
    <n v="2"/>
    <s v="sem bens"/>
    <n v="32"/>
    <s v="Adulto (26-40)"/>
    <s v="nenhum"/>
    <s v="gratuita"/>
    <n v="1"/>
    <s v="Func. Público/Qualificado"/>
    <n v="1"/>
    <s v="não"/>
    <s v="sim"/>
    <n v="1"/>
  </r>
  <r>
    <n v="601"/>
    <x v="0"/>
    <s v="&gt;= 0 &lt; 200 $"/>
    <s v="saldo baixo"/>
    <n v="7"/>
    <s v="pgto em dia neste banco (em aberto)"/>
    <s v="radio ou televisao"/>
    <n v="2329"/>
    <s v="&lt; 100 $"/>
    <s v="Baixo (&lt; 100 $)"/>
    <s v="&lt; 1 ano"/>
    <s v="Iniciante (&lt; 1 ano)"/>
    <n v="1"/>
    <s v="feminino"/>
    <s v="divorciada/casada"/>
    <s v="garantidor"/>
    <n v="1"/>
    <s v="imovel"/>
    <n v="45"/>
    <s v="Sénior (41-60)"/>
    <s v="nenhum"/>
    <s v="própria"/>
    <n v="1"/>
    <s v="Func. Público/Qualificado"/>
    <n v="1"/>
    <s v="não"/>
    <s v="sim"/>
    <n v="1"/>
  </r>
  <r>
    <n v="602"/>
    <x v="1"/>
    <s v="&gt;= 0 &lt; 200 $"/>
    <s v="saldo baixo"/>
    <n v="9"/>
    <s v="pgto em dia neste banco (em aberto)"/>
    <s v="moveis e equipamentos"/>
    <n v="918"/>
    <s v="&lt; 100 $"/>
    <s v="Baixo (&lt; 100 $)"/>
    <s v="&lt; 4 anos"/>
    <s v="Intermediário (1-4 anos)"/>
    <n v="4"/>
    <s v="feminino"/>
    <s v="divorciada/casada"/>
    <s v="nenhum"/>
    <n v="1"/>
    <s v="poupança ou seguro de vida"/>
    <n v="30"/>
    <s v="Adulto (26-40)"/>
    <s v="nenhum"/>
    <s v="própria"/>
    <n v="1"/>
    <s v="Func. Público/Qualificado"/>
    <n v="1"/>
    <s v="não"/>
    <s v="sim"/>
    <n v="2"/>
  </r>
  <r>
    <n v="603"/>
    <x v="1"/>
    <s v="&gt;= 0 &lt; 200 $"/>
    <s v="saldo baixo"/>
    <n v="24"/>
    <s v="pgto em dia neste banco (quitado)"/>
    <s v="educacao"/>
    <n v="1837"/>
    <s v="&lt; 100 $"/>
    <s v="Baixo (&lt; 100 $)"/>
    <s v="&lt; 7 anos"/>
    <s v="Estável (4-7 anos)"/>
    <n v="4"/>
    <s v="feminino"/>
    <s v="divorciada/casada"/>
    <s v="nenhum"/>
    <n v="4"/>
    <s v="sem bens"/>
    <n v="34"/>
    <s v="Adulto (26-40)"/>
    <s v="banco"/>
    <s v="gratuita"/>
    <n v="1"/>
    <s v="Empregado Comum"/>
    <n v="1"/>
    <s v="não"/>
    <s v="sim"/>
    <n v="2"/>
  </r>
  <r>
    <n v="604"/>
    <x v="1"/>
    <s v="sem conta corrente"/>
    <s v="sem conta no banco"/>
    <n v="36"/>
    <s v="pgto em dia neste banco (em aberto)"/>
    <s v="moveis e equipamentos"/>
    <n v="3349"/>
    <s v="&lt; 100 $"/>
    <s v="Baixo (&lt; 100 $)"/>
    <s v="&lt; 4 anos"/>
    <s v="Intermediário (1-4 anos)"/>
    <n v="4"/>
    <s v="feminino"/>
    <s v="divorciada/casada"/>
    <s v="nenhum"/>
    <n v="2"/>
    <s v="carro ou outros-quitado"/>
    <n v="28"/>
    <s v="Adulto (26-40)"/>
    <s v="nenhum"/>
    <s v="própria"/>
    <n v="1"/>
    <s v="Executivo/Empresário"/>
    <n v="1"/>
    <s v="sim"/>
    <s v="sim"/>
    <n v="2"/>
  </r>
  <r>
    <n v="605"/>
    <x v="0"/>
    <s v="&gt;= 200 $"/>
    <s v="saldo saudável"/>
    <n v="10"/>
    <s v="pgto em dia neste banco (em aberto)"/>
    <s v="moveis e equipamentos"/>
    <n v="1275"/>
    <s v="&lt; 100 $"/>
    <s v="Baixo (&lt; 100 $)"/>
    <s v="&lt; 1 ano"/>
    <s v="Iniciante (&lt; 1 ano)"/>
    <n v="4"/>
    <s v="feminino"/>
    <s v="divorciada/casada"/>
    <s v="nenhum"/>
    <n v="2"/>
    <s v="poupança ou seguro de vida"/>
    <n v="23"/>
    <s v="Jovem (18-25)"/>
    <s v="nenhum"/>
    <s v="própria"/>
    <n v="1"/>
    <s v="Func. Público/Qualificado"/>
    <n v="1"/>
    <s v="não"/>
    <s v="sim"/>
    <n v="1"/>
  </r>
  <r>
    <n v="606"/>
    <x v="0"/>
    <s v="&lt; 0 $"/>
    <s v="negativo/devedor"/>
    <n v="24"/>
    <s v="pgto em dia neste banco (quitado)"/>
    <s v="moveis e equipamentos"/>
    <n v="2828"/>
    <s v="&gt;= 500 &lt; 1000 $"/>
    <s v="Alto (500-1000 $)"/>
    <s v="&lt; 4 anos"/>
    <s v="Intermediário (1-4 anos)"/>
    <n v="4"/>
    <s v="masculino"/>
    <s v="solteiro"/>
    <s v="nenhum"/>
    <n v="4"/>
    <s v="imovel"/>
    <n v="22"/>
    <s v="Jovem (18-25)"/>
    <s v="loja"/>
    <s v="própria"/>
    <n v="1"/>
    <s v="Func. Público/Qualificado"/>
    <n v="1"/>
    <s v="sim"/>
    <s v="sim"/>
    <n v="1"/>
  </r>
  <r>
    <n v="607"/>
    <x v="0"/>
    <s v="sem conta corrente"/>
    <s v="sem conta no banco"/>
    <n v="24"/>
    <s v="conta critica / dividas com terceiros"/>
    <s v="negocios"/>
    <n v="4526"/>
    <s v="&lt; 100 $"/>
    <s v="Baixo (&lt; 100 $)"/>
    <s v="&lt; 4 anos"/>
    <s v="Intermediário (1-4 anos)"/>
    <n v="3"/>
    <s v="masculino"/>
    <s v="solteiro"/>
    <s v="nenhum"/>
    <n v="2"/>
    <s v="imovel"/>
    <n v="74"/>
    <s v="Idoso (60+)"/>
    <s v="nenhum"/>
    <s v="própria"/>
    <n v="1"/>
    <s v="Executivo/Empresário"/>
    <n v="1"/>
    <s v="sim"/>
    <s v="sim"/>
    <n v="1"/>
  </r>
  <r>
    <n v="608"/>
    <x v="1"/>
    <s v="&gt;= 0 &lt; 200 $"/>
    <s v="saldo baixo"/>
    <n v="36"/>
    <s v="pgto em dia neste banco (em aberto)"/>
    <s v="radio ou televisao"/>
    <n v="2671"/>
    <s v="&gt;= 100 &lt; 500 $"/>
    <s v="Médio (100-500$)"/>
    <s v="&lt; 4 anos"/>
    <s v="Intermediário (1-4 anos)"/>
    <n v="4"/>
    <s v="feminino"/>
    <s v="divorciada/casada"/>
    <s v="codevedor"/>
    <n v="4"/>
    <s v="sem bens"/>
    <n v="50"/>
    <s v="Sénior (41-60)"/>
    <s v="nenhum"/>
    <s v="gratuita"/>
    <n v="1"/>
    <s v="Func. Público/Qualificado"/>
    <n v="1"/>
    <s v="não"/>
    <s v="sim"/>
    <n v="2"/>
  </r>
  <r>
    <n v="609"/>
    <x v="0"/>
    <s v="sem conta corrente"/>
    <s v="sem conta no banco"/>
    <n v="18"/>
    <s v="pgto em dia neste banco (em aberto)"/>
    <s v="radio ou televisao"/>
    <n v="2051"/>
    <s v="&lt; 100 $"/>
    <s v="Baixo (&lt; 100 $)"/>
    <s v="&lt; 1 ano"/>
    <s v="Iniciante (&lt; 1 ano)"/>
    <n v="4"/>
    <s v="masculino"/>
    <s v="solteiro"/>
    <s v="nenhum"/>
    <n v="1"/>
    <s v="imovel"/>
    <n v="33"/>
    <s v="Adulto (26-40)"/>
    <s v="nenhum"/>
    <s v="própria"/>
    <n v="1"/>
    <s v="Func. Público/Qualificado"/>
    <n v="1"/>
    <s v="não"/>
    <s v="sim"/>
    <n v="1"/>
  </r>
  <r>
    <n v="610"/>
    <x v="0"/>
    <s v="sem conta corrente"/>
    <s v="sem conta no banco"/>
    <n v="15"/>
    <s v="pgto em dia neste banco (em aberto)"/>
    <s v="carro usado"/>
    <n v="1300"/>
    <s v="sem poupança"/>
    <s v="sem poupança"/>
    <s v="&gt;= 7 anos"/>
    <s v="Muito Estável (&gt; 7 anos)"/>
    <n v="4"/>
    <s v="masculino"/>
    <s v="solteiro"/>
    <s v="nenhum"/>
    <n v="4"/>
    <s v="sem bens"/>
    <n v="45"/>
    <s v="Sénior (41-60)"/>
    <s v="banco"/>
    <s v="gratuita"/>
    <n v="1"/>
    <s v="Func. Público/Qualificado"/>
    <n v="2"/>
    <s v="não"/>
    <s v="sim"/>
    <n v="1"/>
  </r>
  <r>
    <n v="611"/>
    <x v="1"/>
    <s v="&lt; 0 $"/>
    <s v="negativo/devedor"/>
    <n v="12"/>
    <s v="pgto em dia neste banco (em aberto)"/>
    <s v="eletrodomesticos"/>
    <n v="741"/>
    <s v="&gt;= 100 &lt; 500 $"/>
    <s v="Médio (100-500$)"/>
    <s v="desempregado"/>
    <s v="desempregado"/>
    <n v="4"/>
    <s v="feminino"/>
    <s v="divorciada/casada"/>
    <s v="nenhum"/>
    <n v="3"/>
    <s v="poupança ou seguro de vida"/>
    <n v="22"/>
    <s v="Jovem (18-25)"/>
    <s v="nenhum"/>
    <s v="própria"/>
    <n v="1"/>
    <s v="Func. Público/Qualificado"/>
    <n v="1"/>
    <s v="não"/>
    <s v="sim"/>
    <n v="2"/>
  </r>
  <r>
    <n v="612"/>
    <x v="1"/>
    <s v="&gt;= 200 $"/>
    <s v="saldo saudável"/>
    <n v="10"/>
    <s v="pgto em dia neste banco (em aberto)"/>
    <s v="carro novo"/>
    <n v="1240"/>
    <s v="&gt;= 100 &lt; 500 $"/>
    <s v="Médio (100-500$)"/>
    <s v="&gt;= 7 anos"/>
    <s v="Muito Estável (&gt; 7 anos)"/>
    <n v="1"/>
    <s v="feminino"/>
    <s v="divorciada/casada"/>
    <s v="nenhum"/>
    <n v="4"/>
    <s v="sem bens"/>
    <n v="48"/>
    <s v="Sénior (41-60)"/>
    <s v="nenhum"/>
    <s v="gratuita"/>
    <n v="1"/>
    <s v="Empregado Comum"/>
    <n v="2"/>
    <s v="não"/>
    <s v="sim"/>
    <n v="2"/>
  </r>
  <r>
    <n v="613"/>
    <x v="0"/>
    <s v="&lt; 0 $"/>
    <s v="negativo/devedor"/>
    <n v="21"/>
    <s v="pgto em dia neste banco (em aberto)"/>
    <s v="radio ou televisao"/>
    <n v="3357"/>
    <s v="&gt;= 1000 $"/>
    <s v="Muito alto (&gt;1000$)"/>
    <s v="&lt; 1 ano"/>
    <s v="Iniciante (&lt; 1 ano)"/>
    <n v="4"/>
    <s v="feminino"/>
    <s v="divorciada/casada"/>
    <s v="nenhum"/>
    <n v="2"/>
    <s v="carro ou outros-quitado"/>
    <n v="29"/>
    <s v="Adulto (26-40)"/>
    <s v="banco"/>
    <s v="própria"/>
    <n v="1"/>
    <s v="Func. Público/Qualificado"/>
    <n v="1"/>
    <s v="não"/>
    <s v="sim"/>
    <n v="1"/>
  </r>
  <r>
    <n v="614"/>
    <x v="0"/>
    <s v="&lt; 0 $"/>
    <s v="negativo/devedor"/>
    <n v="24"/>
    <s v="pgto em dia neste banco (quitado)"/>
    <s v="carro usado"/>
    <n v="3632"/>
    <s v="&lt; 100 $"/>
    <s v="Baixo (&lt; 100 $)"/>
    <s v="&lt; 4 anos"/>
    <s v="Intermediário (1-4 anos)"/>
    <n v="1"/>
    <s v="feminino"/>
    <s v="divorciada/casada"/>
    <s v="garantidor"/>
    <n v="4"/>
    <s v="carro ou outros-quitado"/>
    <n v="22"/>
    <s v="Jovem (18-25)"/>
    <s v="banco"/>
    <s v="aluguel"/>
    <n v="1"/>
    <s v="Func. Público/Qualificado"/>
    <n v="1"/>
    <s v="não"/>
    <s v="não"/>
    <n v="1"/>
  </r>
  <r>
    <n v="615"/>
    <x v="1"/>
    <s v="sem conta corrente"/>
    <s v="sem conta no banco"/>
    <n v="18"/>
    <s v="pgto em atraso no passado"/>
    <s v="moveis e equipamentos"/>
    <n v="1808"/>
    <s v="&lt; 100 $"/>
    <s v="Baixo (&lt; 100 $)"/>
    <s v="&lt; 7 anos"/>
    <s v="Estável (4-7 anos)"/>
    <n v="4"/>
    <s v="feminino"/>
    <s v="divorciada/casada"/>
    <s v="nenhum"/>
    <n v="1"/>
    <s v="imovel"/>
    <n v="22"/>
    <s v="Jovem (18-25)"/>
    <s v="nenhum"/>
    <s v="própria"/>
    <n v="1"/>
    <s v="Func. Público/Qualificado"/>
    <n v="1"/>
    <s v="não"/>
    <s v="sim"/>
    <n v="2"/>
  </r>
  <r>
    <n v="616"/>
    <x v="0"/>
    <s v="&gt;= 0 &lt; 200 $"/>
    <s v="saldo baixo"/>
    <n v="48"/>
    <s v="nenhum/pgto em dia"/>
    <s v="negocios"/>
    <n v="12204"/>
    <s v="sem poupança"/>
    <s v="sem poupança"/>
    <s v="&lt; 4 anos"/>
    <s v="Intermediário (1-4 anos)"/>
    <n v="2"/>
    <s v="masculino"/>
    <s v="solteiro"/>
    <s v="nenhum"/>
    <n v="2"/>
    <s v="carro ou outros-quitado"/>
    <n v="48"/>
    <s v="Sénior (41-60)"/>
    <s v="banco"/>
    <s v="própria"/>
    <n v="1"/>
    <s v="Executivo/Empresário"/>
    <n v="1"/>
    <s v="sim"/>
    <s v="sim"/>
    <n v="1"/>
  </r>
  <r>
    <n v="617"/>
    <x v="0"/>
    <s v="&gt;= 0 &lt; 200 $"/>
    <s v="saldo baixo"/>
    <n v="60"/>
    <s v="pgto em atraso no passado"/>
    <s v="radio ou televisao"/>
    <n v="9157"/>
    <s v="sem poupança"/>
    <s v="sem poupança"/>
    <s v="&lt; 4 anos"/>
    <s v="Intermediário (1-4 anos)"/>
    <n v="2"/>
    <s v="masculino"/>
    <s v="solteiro"/>
    <s v="nenhum"/>
    <n v="2"/>
    <s v="sem bens"/>
    <n v="27"/>
    <s v="Adulto (26-40)"/>
    <s v="nenhum"/>
    <s v="gratuita"/>
    <n v="1"/>
    <s v="Executivo/Empresário"/>
    <n v="1"/>
    <s v="não"/>
    <s v="sim"/>
    <n v="1"/>
  </r>
  <r>
    <n v="618"/>
    <x v="0"/>
    <s v="&lt; 0 $"/>
    <s v="negativo/devedor"/>
    <n v="6"/>
    <s v="conta critica / dividas com terceiros"/>
    <s v="carro novo"/>
    <n v="3676"/>
    <s v="&lt; 100 $"/>
    <s v="Baixo (&lt; 100 $)"/>
    <s v="&lt; 4 anos"/>
    <s v="Intermediário (1-4 anos)"/>
    <n v="1"/>
    <s v="masculino"/>
    <s v="solteiro"/>
    <s v="nenhum"/>
    <n v="3"/>
    <s v="imovel"/>
    <n v="37"/>
    <s v="Adulto (26-40)"/>
    <s v="nenhum"/>
    <s v="aluguel"/>
    <n v="3"/>
    <s v="Func. Público/Qualificado"/>
    <n v="2"/>
    <s v="não"/>
    <s v="sim"/>
    <n v="1"/>
  </r>
  <r>
    <n v="619"/>
    <x v="1"/>
    <s v="&gt;= 0 &lt; 200 $"/>
    <s v="saldo baixo"/>
    <n v="30"/>
    <s v="pgto em dia neste banco (em aberto)"/>
    <s v="moveis e equipamentos"/>
    <n v="3441"/>
    <s v="&gt;= 100 &lt; 500 $"/>
    <s v="Médio (100-500$)"/>
    <s v="&lt; 4 anos"/>
    <s v="Intermediário (1-4 anos)"/>
    <n v="2"/>
    <s v="feminino"/>
    <s v="divorciada/casada"/>
    <s v="codevedor"/>
    <n v="4"/>
    <s v="carro ou outros-quitado"/>
    <n v="21"/>
    <s v="Jovem (18-25)"/>
    <s v="nenhum"/>
    <s v="aluguel"/>
    <n v="1"/>
    <s v="Func. Público/Qualificado"/>
    <n v="1"/>
    <s v="não"/>
    <s v="sim"/>
    <n v="2"/>
  </r>
  <r>
    <n v="620"/>
    <x v="0"/>
    <s v="sem conta corrente"/>
    <s v="sem conta no banco"/>
    <n v="12"/>
    <s v="pgto em dia neste banco (em aberto)"/>
    <s v="carro novo"/>
    <n v="640"/>
    <s v="&lt; 100 $"/>
    <s v="Baixo (&lt; 100 $)"/>
    <s v="&lt; 4 anos"/>
    <s v="Intermediário (1-4 anos)"/>
    <n v="4"/>
    <s v="masculino"/>
    <s v="divorciado"/>
    <s v="nenhum"/>
    <n v="2"/>
    <s v="imovel"/>
    <n v="49"/>
    <s v="Sénior (41-60)"/>
    <s v="nenhum"/>
    <s v="própria"/>
    <n v="1"/>
    <s v="Empregado Comum"/>
    <n v="1"/>
    <s v="não"/>
    <s v="sim"/>
    <n v="1"/>
  </r>
  <r>
    <n v="621"/>
    <x v="0"/>
    <s v="&gt;= 0 &lt; 200 $"/>
    <s v="saldo baixo"/>
    <n v="21"/>
    <s v="conta critica / dividas com terceiros"/>
    <s v="negocios"/>
    <n v="3652"/>
    <s v="&lt; 100 $"/>
    <s v="Baixo (&lt; 100 $)"/>
    <s v="&lt; 7 anos"/>
    <s v="Estável (4-7 anos)"/>
    <n v="2"/>
    <s v="masculino"/>
    <s v="solteiro"/>
    <s v="nenhum"/>
    <n v="3"/>
    <s v="poupança ou seguro de vida"/>
    <n v="27"/>
    <s v="Adulto (26-40)"/>
    <s v="nenhum"/>
    <s v="própria"/>
    <n v="2"/>
    <s v="Func. Público/Qualificado"/>
    <n v="1"/>
    <s v="não"/>
    <s v="sim"/>
    <n v="1"/>
  </r>
  <r>
    <n v="622"/>
    <x v="1"/>
    <s v="sem conta corrente"/>
    <s v="sem conta no banco"/>
    <n v="18"/>
    <s v="conta critica / dividas com terceiros"/>
    <s v="carro novo"/>
    <n v="1530"/>
    <s v="&lt; 100 $"/>
    <s v="Baixo (&lt; 100 $)"/>
    <s v="&lt; 4 anos"/>
    <s v="Intermediário (1-4 anos)"/>
    <n v="3"/>
    <s v="masculino"/>
    <s v="solteiro"/>
    <s v="nenhum"/>
    <n v="2"/>
    <s v="poupança ou seguro de vida"/>
    <n v="32"/>
    <s v="Adulto (26-40)"/>
    <s v="banco"/>
    <s v="própria"/>
    <n v="2"/>
    <s v="Func. Público/Qualificado"/>
    <n v="1"/>
    <s v="não"/>
    <s v="sim"/>
    <n v="2"/>
  </r>
  <r>
    <n v="623"/>
    <x v="1"/>
    <s v="sem conta corrente"/>
    <s v="sem conta no banco"/>
    <n v="48"/>
    <s v="pgto em dia neste banco (em aberto)"/>
    <s v="negocios"/>
    <n v="3914"/>
    <s v="sem poupança"/>
    <s v="sem poupança"/>
    <s v="&lt; 4 anos"/>
    <s v="Intermediário (1-4 anos)"/>
    <n v="4"/>
    <s v="masculino"/>
    <s v="divorciado"/>
    <s v="nenhum"/>
    <n v="2"/>
    <s v="imovel"/>
    <n v="38"/>
    <s v="Adulto (26-40)"/>
    <s v="banco"/>
    <s v="própria"/>
    <n v="1"/>
    <s v="Func. Público/Qualificado"/>
    <n v="1"/>
    <s v="não"/>
    <s v="sim"/>
    <n v="2"/>
  </r>
  <r>
    <n v="624"/>
    <x v="0"/>
    <s v="&lt; 0 $"/>
    <s v="negativo/devedor"/>
    <n v="12"/>
    <s v="pgto em dia neste banco (em aberto)"/>
    <s v="moveis e equipamentos"/>
    <n v="1858"/>
    <s v="&lt; 100 $"/>
    <s v="Baixo (&lt; 100 $)"/>
    <s v="&lt; 1 ano"/>
    <s v="Iniciante (&lt; 1 ano)"/>
    <n v="4"/>
    <s v="feminino"/>
    <s v="divorciada/casada"/>
    <s v="nenhum"/>
    <n v="1"/>
    <s v="carro ou outros-quitado"/>
    <n v="22"/>
    <s v="Jovem (18-25)"/>
    <s v="nenhum"/>
    <s v="aluguel"/>
    <n v="1"/>
    <s v="Func. Público/Qualificado"/>
    <n v="1"/>
    <s v="não"/>
    <s v="sim"/>
    <n v="1"/>
  </r>
  <r>
    <n v="625"/>
    <x v="1"/>
    <s v="&lt; 0 $"/>
    <s v="negativo/devedor"/>
    <n v="18"/>
    <s v="pgto em dia neste banco (em aberto)"/>
    <s v="radio ou televisao"/>
    <n v="2600"/>
    <s v="&lt; 100 $"/>
    <s v="Baixo (&lt; 100 $)"/>
    <s v="&lt; 4 anos"/>
    <s v="Intermediário (1-4 anos)"/>
    <n v="4"/>
    <s v="masculino"/>
    <s v="solteiro"/>
    <s v="nenhum"/>
    <n v="4"/>
    <s v="sem bens"/>
    <n v="65"/>
    <s v="Idoso (60+)"/>
    <s v="nenhum"/>
    <s v="gratuita"/>
    <n v="2"/>
    <s v="Func. Público/Qualificado"/>
    <n v="1"/>
    <s v="não"/>
    <s v="sim"/>
    <n v="2"/>
  </r>
  <r>
    <n v="626"/>
    <x v="0"/>
    <s v="sem conta corrente"/>
    <s v="sem conta no banco"/>
    <n v="15"/>
    <s v="pgto em dia neste banco (em aberto)"/>
    <s v="radio ou televisao"/>
    <n v="1979"/>
    <s v="sem poupança"/>
    <s v="sem poupança"/>
    <s v="&gt;= 7 anos"/>
    <s v="Muito Estável (&gt; 7 anos)"/>
    <n v="4"/>
    <s v="masculino"/>
    <s v="solteiro"/>
    <s v="nenhum"/>
    <n v="2"/>
    <s v="carro ou outros-quitado"/>
    <n v="35"/>
    <s v="Adulto (26-40)"/>
    <s v="nenhum"/>
    <s v="própria"/>
    <n v="1"/>
    <s v="Func. Público/Qualificado"/>
    <n v="1"/>
    <s v="não"/>
    <s v="sim"/>
    <n v="1"/>
  </r>
  <r>
    <n v="627"/>
    <x v="0"/>
    <s v="&gt;= 200 $"/>
    <s v="saldo saudável"/>
    <n v="6"/>
    <s v="pgto em dia neste banco (em aberto)"/>
    <s v="moveis e equipamentos"/>
    <n v="2116"/>
    <s v="&lt; 100 $"/>
    <s v="Baixo (&lt; 100 $)"/>
    <s v="&lt; 4 anos"/>
    <s v="Intermediário (1-4 anos)"/>
    <n v="2"/>
    <s v="masculino"/>
    <s v="solteiro"/>
    <s v="nenhum"/>
    <n v="2"/>
    <s v="imovel"/>
    <n v="41"/>
    <s v="Sénior (41-60)"/>
    <s v="nenhum"/>
    <s v="própria"/>
    <n v="1"/>
    <s v="Func. Público/Qualificado"/>
    <n v="1"/>
    <s v="sim"/>
    <s v="sim"/>
    <n v="1"/>
  </r>
  <r>
    <n v="628"/>
    <x v="1"/>
    <s v="&gt;= 0 &lt; 200 $"/>
    <s v="saldo baixo"/>
    <n v="9"/>
    <s v="pgto em dia neste banco (quitado)"/>
    <s v="carro novo"/>
    <n v="1437"/>
    <s v="&gt;= 100 &lt; 500 $"/>
    <s v="Médio (100-500$)"/>
    <s v="&lt; 7 anos"/>
    <s v="Estável (4-7 anos)"/>
    <n v="2"/>
    <s v="masculino"/>
    <s v="solteiro"/>
    <s v="nenhum"/>
    <n v="3"/>
    <s v="sem bens"/>
    <n v="29"/>
    <s v="Adulto (26-40)"/>
    <s v="nenhum"/>
    <s v="própria"/>
    <n v="1"/>
    <s v="Func. Público/Qualificado"/>
    <n v="1"/>
    <s v="não"/>
    <s v="sim"/>
    <n v="2"/>
  </r>
  <r>
    <n v="629"/>
    <x v="0"/>
    <s v="sem conta corrente"/>
    <s v="sem conta no banco"/>
    <n v="42"/>
    <s v="conta critica / dividas com terceiros"/>
    <s v="moveis e equipamentos"/>
    <n v="4042"/>
    <s v="&gt;= 500 &lt; 1000 $"/>
    <s v="Alto (500-1000 $)"/>
    <s v="&lt; 4 anos"/>
    <s v="Intermediário (1-4 anos)"/>
    <n v="4"/>
    <s v="masculino"/>
    <s v="solteiro"/>
    <s v="nenhum"/>
    <n v="4"/>
    <s v="imovel"/>
    <n v="36"/>
    <s v="Adulto (26-40)"/>
    <s v="nenhum"/>
    <s v="própria"/>
    <n v="2"/>
    <s v="Func. Público/Qualificado"/>
    <n v="1"/>
    <s v="sim"/>
    <s v="sim"/>
    <n v="1"/>
  </r>
  <r>
    <n v="630"/>
    <x v="0"/>
    <s v="sem conta corrente"/>
    <s v="sem conta no banco"/>
    <n v="9"/>
    <s v="pgto em dia neste banco (em aberto)"/>
    <s v="educacao"/>
    <n v="3832"/>
    <s v="sem poupança"/>
    <s v="sem poupança"/>
    <s v="&gt;= 7 anos"/>
    <s v="Muito Estável (&gt; 7 anos)"/>
    <n v="1"/>
    <s v="masculino"/>
    <s v="solteiro"/>
    <s v="nenhum"/>
    <n v="4"/>
    <s v="imovel"/>
    <n v="64"/>
    <s v="Idoso (60+)"/>
    <s v="nenhum"/>
    <s v="própria"/>
    <n v="1"/>
    <s v="Empregado Comum"/>
    <n v="1"/>
    <s v="não"/>
    <s v="sim"/>
    <n v="1"/>
  </r>
  <r>
    <n v="631"/>
    <x v="0"/>
    <s v="&lt; 0 $"/>
    <s v="negativo/devedor"/>
    <n v="24"/>
    <s v="pgto em dia neste banco (em aberto)"/>
    <s v="radio ou televisao"/>
    <n v="3660"/>
    <s v="&lt; 100 $"/>
    <s v="Baixo (&lt; 100 $)"/>
    <s v="&lt; 4 anos"/>
    <s v="Intermediário (1-4 anos)"/>
    <n v="2"/>
    <s v="feminino"/>
    <s v="divorciada/casada"/>
    <s v="nenhum"/>
    <n v="4"/>
    <s v="carro ou outros-quitado"/>
    <n v="28"/>
    <s v="Adulto (26-40)"/>
    <s v="nenhum"/>
    <s v="própria"/>
    <n v="1"/>
    <s v="Func. Público/Qualificado"/>
    <n v="1"/>
    <s v="não"/>
    <s v="sim"/>
    <n v="1"/>
  </r>
  <r>
    <n v="632"/>
    <x v="1"/>
    <s v="&lt; 0 $"/>
    <s v="negativo/devedor"/>
    <n v="18"/>
    <s v="pgto em dia neste banco (quitado)"/>
    <s v="moveis e equipamentos"/>
    <n v="1553"/>
    <s v="&lt; 100 $"/>
    <s v="Baixo (&lt; 100 $)"/>
    <s v="&lt; 4 anos"/>
    <s v="Intermediário (1-4 anos)"/>
    <n v="4"/>
    <s v="masculino"/>
    <s v="solteiro"/>
    <s v="nenhum"/>
    <n v="3"/>
    <s v="carro ou outros-quitado"/>
    <n v="44"/>
    <s v="Sénior (41-60)"/>
    <s v="banco"/>
    <s v="própria"/>
    <n v="1"/>
    <s v="Func. Público/Qualificado"/>
    <n v="1"/>
    <s v="não"/>
    <s v="sim"/>
    <n v="2"/>
  </r>
  <r>
    <n v="633"/>
    <x v="0"/>
    <s v="&gt;= 0 &lt; 200 $"/>
    <s v="saldo baixo"/>
    <n v="15"/>
    <s v="pgto em dia neste banco (em aberto)"/>
    <s v="radio ou televisao"/>
    <n v="1444"/>
    <s v="sem poupança"/>
    <s v="sem poupança"/>
    <s v="&lt; 1 ano"/>
    <s v="Iniciante (&lt; 1 ano)"/>
    <n v="4"/>
    <s v="masculino"/>
    <s v="solteiro"/>
    <s v="nenhum"/>
    <n v="1"/>
    <s v="poupança ou seguro de vida"/>
    <n v="23"/>
    <s v="Jovem (18-25)"/>
    <s v="nenhum"/>
    <s v="própria"/>
    <n v="1"/>
    <s v="Func. Público/Qualificado"/>
    <n v="1"/>
    <s v="não"/>
    <s v="sim"/>
    <n v="1"/>
  </r>
  <r>
    <n v="634"/>
    <x v="1"/>
    <s v="sem conta corrente"/>
    <s v="sem conta no banco"/>
    <n v="9"/>
    <s v="pgto em dia neste banco (em aberto)"/>
    <s v="moveis e equipamentos"/>
    <n v="1980"/>
    <s v="&lt; 100 $"/>
    <s v="Baixo (&lt; 100 $)"/>
    <s v="&lt; 1 ano"/>
    <s v="Iniciante (&lt; 1 ano)"/>
    <n v="2"/>
    <s v="feminino"/>
    <s v="divorciada/casada"/>
    <s v="codevedor"/>
    <n v="2"/>
    <s v="carro ou outros-quitado"/>
    <n v="19"/>
    <s v="Jovem (18-25)"/>
    <s v="nenhum"/>
    <s v="aluguel"/>
    <n v="2"/>
    <s v="Func. Público/Qualificado"/>
    <n v="1"/>
    <s v="não"/>
    <s v="sim"/>
    <n v="2"/>
  </r>
  <r>
    <n v="635"/>
    <x v="1"/>
    <s v="&gt;= 0 &lt; 200 $"/>
    <s v="saldo baixo"/>
    <n v="24"/>
    <s v="pgto em dia neste banco (em aberto)"/>
    <s v="carro novo"/>
    <n v="1355"/>
    <s v="&lt; 100 $"/>
    <s v="Baixo (&lt; 100 $)"/>
    <s v="&lt; 1 ano"/>
    <s v="Iniciante (&lt; 1 ano)"/>
    <n v="3"/>
    <s v="feminino"/>
    <s v="divorciada/casada"/>
    <s v="nenhum"/>
    <n v="4"/>
    <s v="carro ou outros-quitado"/>
    <n v="25"/>
    <s v="Adulto (26-40)"/>
    <s v="nenhum"/>
    <s v="própria"/>
    <n v="1"/>
    <s v="Empregado Comum"/>
    <n v="1"/>
    <s v="sim"/>
    <s v="sim"/>
    <n v="2"/>
  </r>
  <r>
    <n v="636"/>
    <x v="0"/>
    <s v="sem conta corrente"/>
    <s v="sem conta no banco"/>
    <n v="12"/>
    <s v="pgto em dia neste banco (em aberto)"/>
    <s v="educacao"/>
    <n v="1393"/>
    <s v="&lt; 100 $"/>
    <s v="Baixo (&lt; 100 $)"/>
    <s v="&gt;= 7 anos"/>
    <s v="Muito Estável (&gt; 7 anos)"/>
    <n v="4"/>
    <s v="masculino"/>
    <s v="solteiro"/>
    <s v="nenhum"/>
    <n v="4"/>
    <s v="poupança ou seguro de vida"/>
    <n v="47"/>
    <s v="Sénior (41-60)"/>
    <s v="banco"/>
    <s v="própria"/>
    <n v="3"/>
    <s v="Func. Público/Qualificado"/>
    <n v="2"/>
    <s v="sim"/>
    <s v="sim"/>
    <n v="1"/>
  </r>
  <r>
    <n v="637"/>
    <x v="0"/>
    <s v="sem conta corrente"/>
    <s v="sem conta no banco"/>
    <n v="24"/>
    <s v="pgto em dia neste banco (em aberto)"/>
    <s v="radio ou televisao"/>
    <n v="1376"/>
    <s v="&gt;= 500 &lt; 1000 $"/>
    <s v="Alto (500-1000 $)"/>
    <s v="&lt; 7 anos"/>
    <s v="Estável (4-7 anos)"/>
    <n v="4"/>
    <s v="feminino"/>
    <s v="divorciada/casada"/>
    <s v="nenhum"/>
    <n v="1"/>
    <s v="carro ou outros-quitado"/>
    <n v="28"/>
    <s v="Adulto (26-40)"/>
    <s v="nenhum"/>
    <s v="própria"/>
    <n v="1"/>
    <s v="Func. Público/Qualificado"/>
    <n v="1"/>
    <s v="não"/>
    <s v="sim"/>
    <n v="1"/>
  </r>
  <r>
    <n v="638"/>
    <x v="0"/>
    <s v="sem conta corrente"/>
    <s v="sem conta no banco"/>
    <n v="60"/>
    <s v="pgto em atraso no passado"/>
    <s v="radio ou televisao"/>
    <n v="15653"/>
    <s v="&lt; 100 $"/>
    <s v="Baixo (&lt; 100 $)"/>
    <s v="&lt; 7 anos"/>
    <s v="Estável (4-7 anos)"/>
    <n v="2"/>
    <s v="masculino"/>
    <s v="solteiro"/>
    <s v="nenhum"/>
    <n v="4"/>
    <s v="carro ou outros-quitado"/>
    <n v="21"/>
    <s v="Jovem (18-25)"/>
    <s v="nenhum"/>
    <s v="própria"/>
    <n v="2"/>
    <s v="Func. Público/Qualificado"/>
    <n v="1"/>
    <s v="sim"/>
    <s v="sim"/>
    <n v="1"/>
  </r>
  <r>
    <n v="639"/>
    <x v="0"/>
    <s v="sem conta corrente"/>
    <s v="sem conta no banco"/>
    <n v="12"/>
    <s v="pgto em dia neste banco (em aberto)"/>
    <s v="radio ou televisao"/>
    <n v="1493"/>
    <s v="&lt; 100 $"/>
    <s v="Baixo (&lt; 100 $)"/>
    <s v="&lt; 1 ano"/>
    <s v="Iniciante (&lt; 1 ano)"/>
    <n v="4"/>
    <s v="feminino"/>
    <s v="divorciada/casada"/>
    <s v="nenhum"/>
    <n v="3"/>
    <s v="carro ou outros-quitado"/>
    <n v="34"/>
    <s v="Adulto (26-40)"/>
    <s v="nenhum"/>
    <s v="própria"/>
    <n v="1"/>
    <s v="Func. Público/Qualificado"/>
    <n v="2"/>
    <s v="não"/>
    <s v="sim"/>
    <n v="1"/>
  </r>
  <r>
    <n v="640"/>
    <x v="1"/>
    <s v="&lt; 0 $"/>
    <s v="negativo/devedor"/>
    <n v="42"/>
    <s v="pgto em atraso no passado"/>
    <s v="radio ou televisao"/>
    <n v="4370"/>
    <s v="&lt; 100 $"/>
    <s v="Baixo (&lt; 100 $)"/>
    <s v="&lt; 7 anos"/>
    <s v="Estável (4-7 anos)"/>
    <n v="3"/>
    <s v="masculino"/>
    <s v="solteiro"/>
    <s v="nenhum"/>
    <n v="2"/>
    <s v="poupança ou seguro de vida"/>
    <n v="26"/>
    <s v="Adulto (26-40)"/>
    <s v="banco"/>
    <s v="própria"/>
    <n v="2"/>
    <s v="Func. Público/Qualificado"/>
    <n v="2"/>
    <s v="sim"/>
    <s v="sim"/>
    <n v="2"/>
  </r>
  <r>
    <n v="641"/>
    <x v="1"/>
    <s v="&lt; 0 $"/>
    <s v="negativo/devedor"/>
    <n v="18"/>
    <s v="pgto em dia neste banco (em aberto)"/>
    <s v="educacao"/>
    <n v="750"/>
    <s v="&lt; 100 $"/>
    <s v="Baixo (&lt; 100 $)"/>
    <s v="desempregado"/>
    <s v="desempregado"/>
    <n v="4"/>
    <s v="feminino"/>
    <s v="divorciada/casada"/>
    <s v="nenhum"/>
    <n v="1"/>
    <s v="imovel"/>
    <n v="27"/>
    <s v="Adulto (26-40)"/>
    <s v="nenhum"/>
    <s v="própria"/>
    <n v="1"/>
    <s v="Não qualificado/Desempregado"/>
    <n v="1"/>
    <s v="não"/>
    <s v="sim"/>
    <n v="2"/>
  </r>
  <r>
    <n v="642"/>
    <x v="0"/>
    <s v="&gt;= 0 &lt; 200 $"/>
    <s v="saldo baixo"/>
    <n v="15"/>
    <s v="pgto em dia neste banco (em aberto)"/>
    <s v="reparos"/>
    <n v="1308"/>
    <s v="&lt; 100 $"/>
    <s v="Baixo (&lt; 100 $)"/>
    <s v="&gt;= 7 anos"/>
    <s v="Muito Estável (&gt; 7 anos)"/>
    <n v="4"/>
    <s v="masculino"/>
    <s v="solteiro"/>
    <s v="nenhum"/>
    <n v="4"/>
    <s v="carro ou outros-quitado"/>
    <n v="38"/>
    <s v="Adulto (26-40)"/>
    <s v="nenhum"/>
    <s v="própria"/>
    <n v="2"/>
    <s v="Empregado Comum"/>
    <n v="1"/>
    <s v="não"/>
    <s v="sim"/>
    <n v="1"/>
  </r>
  <r>
    <n v="643"/>
    <x v="1"/>
    <s v="sem conta corrente"/>
    <s v="sem conta no banco"/>
    <n v="15"/>
    <s v="pgto em dia neste banco (em aberto)"/>
    <s v="educacao"/>
    <n v="4623"/>
    <s v="&gt;= 100 &lt; 500 $"/>
    <s v="Médio (100-500$)"/>
    <s v="&lt; 4 anos"/>
    <s v="Intermediário (1-4 anos)"/>
    <n v="3"/>
    <s v="masculino"/>
    <s v="solteiro"/>
    <s v="nenhum"/>
    <n v="2"/>
    <s v="poupança ou seguro de vida"/>
    <n v="40"/>
    <s v="Sénior (41-60)"/>
    <s v="nenhum"/>
    <s v="própria"/>
    <n v="1"/>
    <s v="Executivo/Empresário"/>
    <n v="1"/>
    <s v="sim"/>
    <s v="sim"/>
    <n v="2"/>
  </r>
  <r>
    <n v="644"/>
    <x v="0"/>
    <s v="sem conta corrente"/>
    <s v="sem conta no banco"/>
    <n v="24"/>
    <s v="conta critica / dividas com terceiros"/>
    <s v="radio ou televisao"/>
    <n v="1851"/>
    <s v="&lt; 100 $"/>
    <s v="Baixo (&lt; 100 $)"/>
    <s v="&lt; 7 anos"/>
    <s v="Estável (4-7 anos)"/>
    <n v="4"/>
    <s v="masculino"/>
    <s v="casado/viuvo"/>
    <s v="garantidor"/>
    <n v="2"/>
    <s v="carro ou outros-quitado"/>
    <n v="33"/>
    <s v="Adulto (26-40)"/>
    <s v="nenhum"/>
    <s v="própria"/>
    <n v="2"/>
    <s v="Func. Público/Qualificado"/>
    <n v="1"/>
    <s v="sim"/>
    <s v="sim"/>
    <n v="1"/>
  </r>
  <r>
    <n v="645"/>
    <x v="0"/>
    <s v="&lt; 0 $"/>
    <s v="negativo/devedor"/>
    <n v="18"/>
    <s v="conta critica / dividas com terceiros"/>
    <s v="radio ou televisao"/>
    <n v="1880"/>
    <s v="&lt; 100 $"/>
    <s v="Baixo (&lt; 100 $)"/>
    <s v="&lt; 7 anos"/>
    <s v="Estável (4-7 anos)"/>
    <n v="4"/>
    <s v="masculino"/>
    <s v="casado/viuvo"/>
    <s v="nenhum"/>
    <n v="1"/>
    <s v="poupança ou seguro de vida"/>
    <n v="32"/>
    <s v="Adulto (26-40)"/>
    <s v="nenhum"/>
    <s v="própria"/>
    <n v="2"/>
    <s v="Executivo/Empresário"/>
    <n v="1"/>
    <s v="sim"/>
    <s v="sim"/>
    <n v="1"/>
  </r>
  <r>
    <n v="646"/>
    <x v="1"/>
    <s v="sem conta corrente"/>
    <s v="sem conta no banco"/>
    <n v="36"/>
    <s v="pgto em atraso no passado"/>
    <s v="negocios"/>
    <n v="7980"/>
    <s v="sem poupança"/>
    <s v="sem poupança"/>
    <s v="&lt; 1 ano"/>
    <s v="Iniciante (&lt; 1 ano)"/>
    <n v="4"/>
    <s v="masculino"/>
    <s v="solteiro"/>
    <s v="nenhum"/>
    <n v="4"/>
    <s v="carro ou outros-quitado"/>
    <n v="27"/>
    <s v="Adulto (26-40)"/>
    <s v="nenhum"/>
    <s v="aluguel"/>
    <n v="2"/>
    <s v="Func. Público/Qualificado"/>
    <n v="1"/>
    <s v="sim"/>
    <s v="sim"/>
    <n v="2"/>
  </r>
  <r>
    <n v="647"/>
    <x v="0"/>
    <s v="&lt; 0 $"/>
    <s v="negativo/devedor"/>
    <n v="30"/>
    <s v="nenhum/pgto em dia"/>
    <s v="moveis e equipamentos"/>
    <n v="4583"/>
    <s v="&lt; 100 $"/>
    <s v="Baixo (&lt; 100 $)"/>
    <s v="&lt; 4 anos"/>
    <s v="Intermediário (1-4 anos)"/>
    <n v="2"/>
    <s v="masculino"/>
    <s v="divorciado"/>
    <s v="garantidor"/>
    <n v="2"/>
    <s v="imovel"/>
    <n v="32"/>
    <s v="Adulto (26-40)"/>
    <s v="nenhum"/>
    <s v="própria"/>
    <n v="2"/>
    <s v="Func. Público/Qualificado"/>
    <n v="1"/>
    <s v="não"/>
    <s v="sim"/>
    <n v="1"/>
  </r>
  <r>
    <n v="648"/>
    <x v="1"/>
    <s v="sem conta corrente"/>
    <s v="sem conta no banco"/>
    <n v="12"/>
    <s v="pgto em dia neste banco (em aberto)"/>
    <s v="carro novo"/>
    <n v="1386"/>
    <s v="&gt;= 500 &lt; 1000 $"/>
    <s v="Alto (500-1000 $)"/>
    <s v="&lt; 4 anos"/>
    <s v="Intermediário (1-4 anos)"/>
    <n v="2"/>
    <s v="feminino"/>
    <s v="divorciada/casada"/>
    <s v="nenhum"/>
    <n v="2"/>
    <s v="poupança ou seguro de vida"/>
    <n v="26"/>
    <s v="Adulto (26-40)"/>
    <s v="nenhum"/>
    <s v="própria"/>
    <n v="1"/>
    <s v="Func. Público/Qualificado"/>
    <n v="1"/>
    <s v="não"/>
    <s v="sim"/>
    <n v="2"/>
  </r>
  <r>
    <n v="649"/>
    <x v="1"/>
    <s v="&gt;= 200 $"/>
    <s v="saldo saudável"/>
    <n v="24"/>
    <s v="pgto em dia neste banco (em aberto)"/>
    <s v="carro novo"/>
    <n v="947"/>
    <s v="&lt; 100 $"/>
    <s v="Baixo (&lt; 100 $)"/>
    <s v="&lt; 7 anos"/>
    <s v="Estável (4-7 anos)"/>
    <n v="4"/>
    <s v="masculino"/>
    <s v="solteiro"/>
    <s v="nenhum"/>
    <n v="3"/>
    <s v="sem bens"/>
    <n v="38"/>
    <s v="Adulto (26-40)"/>
    <s v="banco"/>
    <s v="gratuita"/>
    <n v="1"/>
    <s v="Func. Público/Qualificado"/>
    <n v="2"/>
    <s v="não"/>
    <s v="sim"/>
    <n v="2"/>
  </r>
  <r>
    <n v="650"/>
    <x v="1"/>
    <s v="&lt; 0 $"/>
    <s v="negativo/devedor"/>
    <n v="12"/>
    <s v="pgto em dia neste banco (em aberto)"/>
    <s v="educacao"/>
    <n v="684"/>
    <s v="&lt; 100 $"/>
    <s v="Baixo (&lt; 100 $)"/>
    <s v="&lt; 4 anos"/>
    <s v="Intermediário (1-4 anos)"/>
    <n v="4"/>
    <s v="masculino"/>
    <s v="solteiro"/>
    <s v="nenhum"/>
    <n v="4"/>
    <s v="carro ou outros-quitado"/>
    <n v="40"/>
    <s v="Sénior (41-60)"/>
    <s v="nenhum"/>
    <s v="aluguel"/>
    <n v="1"/>
    <s v="Empregado Comum"/>
    <n v="2"/>
    <s v="não"/>
    <s v="sim"/>
    <n v="2"/>
  </r>
  <r>
    <n v="651"/>
    <x v="0"/>
    <s v="&lt; 0 $"/>
    <s v="negativo/devedor"/>
    <n v="48"/>
    <s v="pgto em dia neste banco (em aberto)"/>
    <s v="educacao"/>
    <n v="7476"/>
    <s v="&lt; 100 $"/>
    <s v="Baixo (&lt; 100 $)"/>
    <s v="&lt; 7 anos"/>
    <s v="Estável (4-7 anos)"/>
    <n v="4"/>
    <s v="masculino"/>
    <s v="solteiro"/>
    <s v="nenhum"/>
    <n v="1"/>
    <s v="sem bens"/>
    <n v="50"/>
    <s v="Sénior (41-60)"/>
    <s v="nenhum"/>
    <s v="gratuita"/>
    <n v="1"/>
    <s v="Executivo/Empresário"/>
    <n v="1"/>
    <s v="sim"/>
    <s v="sim"/>
    <n v="1"/>
  </r>
  <r>
    <n v="652"/>
    <x v="1"/>
    <s v="&gt;= 0 &lt; 200 $"/>
    <s v="saldo baixo"/>
    <n v="12"/>
    <s v="pgto em dia neste banco (em aberto)"/>
    <s v="moveis e equipamentos"/>
    <n v="1922"/>
    <s v="&lt; 100 $"/>
    <s v="Baixo (&lt; 100 $)"/>
    <s v="&lt; 4 anos"/>
    <s v="Intermediário (1-4 anos)"/>
    <n v="4"/>
    <s v="masculino"/>
    <s v="solteiro"/>
    <s v="nenhum"/>
    <n v="2"/>
    <s v="poupança ou seguro de vida"/>
    <n v="37"/>
    <s v="Adulto (26-40)"/>
    <s v="nenhum"/>
    <s v="própria"/>
    <n v="1"/>
    <s v="Empregado Comum"/>
    <n v="1"/>
    <s v="não"/>
    <s v="sim"/>
    <n v="2"/>
  </r>
  <r>
    <n v="653"/>
    <x v="1"/>
    <s v="&lt; 0 $"/>
    <s v="negativo/devedor"/>
    <n v="24"/>
    <s v="pgto em dia neste banco (em aberto)"/>
    <s v="carro novo"/>
    <n v="2303"/>
    <s v="&lt; 100 $"/>
    <s v="Baixo (&lt; 100 $)"/>
    <s v="&gt;= 7 anos"/>
    <s v="Muito Estável (&gt; 7 anos)"/>
    <n v="4"/>
    <s v="masculino"/>
    <s v="solteiro"/>
    <s v="codevedor"/>
    <n v="1"/>
    <s v="imovel"/>
    <n v="45"/>
    <s v="Sénior (41-60)"/>
    <s v="nenhum"/>
    <s v="própria"/>
    <n v="1"/>
    <s v="Func. Público/Qualificado"/>
    <n v="1"/>
    <s v="não"/>
    <s v="sim"/>
    <n v="2"/>
  </r>
  <r>
    <n v="654"/>
    <x v="1"/>
    <s v="&gt;= 0 &lt; 200 $"/>
    <s v="saldo baixo"/>
    <n v="36"/>
    <s v="pgto em atraso no passado"/>
    <s v="carro novo"/>
    <n v="8086"/>
    <s v="&gt;= 100 &lt; 500 $"/>
    <s v="Médio (100-500$)"/>
    <s v="&gt;= 7 anos"/>
    <s v="Muito Estável (&gt; 7 anos)"/>
    <n v="2"/>
    <s v="masculino"/>
    <s v="solteiro"/>
    <s v="nenhum"/>
    <n v="4"/>
    <s v="carro ou outros-quitado"/>
    <n v="42"/>
    <s v="Sénior (41-60)"/>
    <s v="nenhum"/>
    <s v="própria"/>
    <n v="4"/>
    <s v="Executivo/Empresário"/>
    <n v="1"/>
    <s v="sim"/>
    <s v="sim"/>
    <n v="2"/>
  </r>
  <r>
    <n v="655"/>
    <x v="0"/>
    <s v="sem conta corrente"/>
    <s v="sem conta no banco"/>
    <n v="24"/>
    <s v="conta critica / dividas com terceiros"/>
    <s v="carro usado"/>
    <n v="2346"/>
    <s v="&lt; 100 $"/>
    <s v="Baixo (&lt; 100 $)"/>
    <s v="&lt; 7 anos"/>
    <s v="Estável (4-7 anos)"/>
    <n v="4"/>
    <s v="masculino"/>
    <s v="solteiro"/>
    <s v="nenhum"/>
    <n v="3"/>
    <s v="carro ou outros-quitado"/>
    <n v="35"/>
    <s v="Adulto (26-40)"/>
    <s v="nenhum"/>
    <s v="própria"/>
    <n v="2"/>
    <s v="Func. Público/Qualificado"/>
    <n v="1"/>
    <s v="sim"/>
    <s v="sim"/>
    <n v="1"/>
  </r>
  <r>
    <n v="656"/>
    <x v="0"/>
    <s v="&lt; 0 $"/>
    <s v="negativo/devedor"/>
    <n v="14"/>
    <s v="pgto em dia neste banco (em aberto)"/>
    <s v="carro novo"/>
    <n v="3973"/>
    <s v="&lt; 100 $"/>
    <s v="Baixo (&lt; 100 $)"/>
    <s v="desempregado"/>
    <s v="desempregado"/>
    <n v="1"/>
    <s v="masculino"/>
    <s v="solteiro"/>
    <s v="nenhum"/>
    <n v="4"/>
    <s v="sem bens"/>
    <n v="22"/>
    <s v="Jovem (18-25)"/>
    <s v="nenhum"/>
    <s v="gratuita"/>
    <n v="1"/>
    <s v="Func. Público/Qualificado"/>
    <n v="1"/>
    <s v="não"/>
    <s v="sim"/>
    <n v="1"/>
  </r>
  <r>
    <n v="657"/>
    <x v="1"/>
    <s v="&gt;= 0 &lt; 200 $"/>
    <s v="saldo baixo"/>
    <n v="12"/>
    <s v="pgto em dia neste banco (em aberto)"/>
    <s v="carro novo"/>
    <n v="888"/>
    <s v="&lt; 100 $"/>
    <s v="Baixo (&lt; 100 $)"/>
    <s v="&gt;= 7 anos"/>
    <s v="Muito Estável (&gt; 7 anos)"/>
    <n v="4"/>
    <s v="masculino"/>
    <s v="solteiro"/>
    <s v="nenhum"/>
    <n v="4"/>
    <s v="carro ou outros-quitado"/>
    <n v="41"/>
    <s v="Sénior (41-60)"/>
    <s v="banco"/>
    <s v="própria"/>
    <n v="1"/>
    <s v="Empregado Comum"/>
    <n v="2"/>
    <s v="não"/>
    <s v="sim"/>
    <n v="2"/>
  </r>
  <r>
    <n v="658"/>
    <x v="0"/>
    <s v="sem conta corrente"/>
    <s v="sem conta no banco"/>
    <n v="48"/>
    <s v="pgto em dia neste banco (em aberto)"/>
    <s v="radio ou televisao"/>
    <n v="10222"/>
    <s v="sem poupança"/>
    <s v="sem poupança"/>
    <s v="&lt; 7 anos"/>
    <s v="Estável (4-7 anos)"/>
    <n v="4"/>
    <s v="masculino"/>
    <s v="solteiro"/>
    <s v="nenhum"/>
    <n v="3"/>
    <s v="carro ou outros-quitado"/>
    <n v="37"/>
    <s v="Adulto (26-40)"/>
    <s v="loja"/>
    <s v="própria"/>
    <n v="1"/>
    <s v="Func. Público/Qualificado"/>
    <n v="1"/>
    <s v="sim"/>
    <s v="sim"/>
    <n v="1"/>
  </r>
  <r>
    <n v="659"/>
    <x v="0"/>
    <s v="&gt;= 0 &lt; 200 $"/>
    <s v="saldo baixo"/>
    <n v="30"/>
    <s v="nenhum/pgto em dia"/>
    <s v="negocios"/>
    <n v="4221"/>
    <s v="&lt; 100 $"/>
    <s v="Baixo (&lt; 100 $)"/>
    <s v="&lt; 4 anos"/>
    <s v="Intermediário (1-4 anos)"/>
    <n v="2"/>
    <s v="feminino"/>
    <s v="divorciada/casada"/>
    <s v="nenhum"/>
    <n v="1"/>
    <s v="carro ou outros-quitado"/>
    <n v="28"/>
    <s v="Adulto (26-40)"/>
    <s v="nenhum"/>
    <s v="própria"/>
    <n v="2"/>
    <s v="Func. Público/Qualificado"/>
    <n v="1"/>
    <s v="não"/>
    <s v="sim"/>
    <n v="1"/>
  </r>
  <r>
    <n v="660"/>
    <x v="0"/>
    <s v="&gt;= 0 &lt; 200 $"/>
    <s v="saldo baixo"/>
    <n v="18"/>
    <s v="conta critica / dividas com terceiros"/>
    <s v="moveis e equipamentos"/>
    <n v="6361"/>
    <s v="&lt; 100 $"/>
    <s v="Baixo (&lt; 100 $)"/>
    <s v="&gt;= 7 anos"/>
    <s v="Muito Estável (&gt; 7 anos)"/>
    <n v="2"/>
    <s v="masculino"/>
    <s v="solteiro"/>
    <s v="nenhum"/>
    <n v="1"/>
    <s v="sem bens"/>
    <n v="41"/>
    <s v="Sénior (41-60)"/>
    <s v="nenhum"/>
    <s v="própria"/>
    <n v="1"/>
    <s v="Func. Público/Qualificado"/>
    <n v="1"/>
    <s v="sim"/>
    <s v="sim"/>
    <n v="1"/>
  </r>
  <r>
    <n v="661"/>
    <x v="0"/>
    <s v="&gt;= 200 $"/>
    <s v="saldo saudável"/>
    <n v="12"/>
    <s v="pgto em dia neste banco (em aberto)"/>
    <s v="radio ou televisao"/>
    <n v="1297"/>
    <s v="&lt; 100 $"/>
    <s v="Baixo (&lt; 100 $)"/>
    <s v="&lt; 4 anos"/>
    <s v="Intermediário (1-4 anos)"/>
    <n v="3"/>
    <s v="masculino"/>
    <s v="casado/viuvo"/>
    <s v="nenhum"/>
    <n v="4"/>
    <s v="imovel"/>
    <n v="23"/>
    <s v="Jovem (18-25)"/>
    <s v="nenhum"/>
    <s v="aluguel"/>
    <n v="1"/>
    <s v="Func. Público/Qualificado"/>
    <n v="1"/>
    <s v="não"/>
    <s v="sim"/>
    <n v="1"/>
  </r>
  <r>
    <n v="662"/>
    <x v="1"/>
    <s v="&lt; 0 $"/>
    <s v="negativo/devedor"/>
    <n v="12"/>
    <s v="pgto em dia neste banco (em aberto)"/>
    <s v="carro novo"/>
    <n v="900"/>
    <s v="sem poupança"/>
    <s v="sem poupança"/>
    <s v="&lt; 4 anos"/>
    <s v="Intermediário (1-4 anos)"/>
    <n v="4"/>
    <s v="masculino"/>
    <s v="casado/viuvo"/>
    <s v="nenhum"/>
    <n v="2"/>
    <s v="carro ou outros-quitado"/>
    <n v="23"/>
    <s v="Jovem (18-25)"/>
    <s v="nenhum"/>
    <s v="própria"/>
    <n v="1"/>
    <s v="Func. Público/Qualificado"/>
    <n v="1"/>
    <s v="não"/>
    <s v="sim"/>
    <n v="2"/>
  </r>
  <r>
    <n v="663"/>
    <x v="0"/>
    <s v="sem conta corrente"/>
    <s v="sem conta no banco"/>
    <n v="21"/>
    <s v="pgto em dia neste banco (em aberto)"/>
    <s v="moveis e equipamentos"/>
    <n v="2241"/>
    <s v="&lt; 100 $"/>
    <s v="Baixo (&lt; 100 $)"/>
    <s v="&gt;= 7 anos"/>
    <s v="Muito Estável (&gt; 7 anos)"/>
    <n v="4"/>
    <s v="masculino"/>
    <s v="solteiro"/>
    <s v="nenhum"/>
    <n v="2"/>
    <s v="imovel"/>
    <n v="50"/>
    <s v="Sénior (41-60)"/>
    <s v="nenhum"/>
    <s v="própria"/>
    <n v="2"/>
    <s v="Func. Público/Qualificado"/>
    <n v="1"/>
    <s v="não"/>
    <s v="sim"/>
    <n v="1"/>
  </r>
  <r>
    <n v="664"/>
    <x v="0"/>
    <s v="&gt;= 0 &lt; 200 $"/>
    <s v="saldo baixo"/>
    <n v="6"/>
    <s v="pgto em atraso no passado"/>
    <s v="moveis e equipamentos"/>
    <n v="1050"/>
    <s v="&lt; 100 $"/>
    <s v="Baixo (&lt; 100 $)"/>
    <s v="desempregado"/>
    <s v="desempregado"/>
    <n v="4"/>
    <s v="masculino"/>
    <s v="solteiro"/>
    <s v="nenhum"/>
    <n v="1"/>
    <s v="poupança ou seguro de vida"/>
    <n v="35"/>
    <s v="Adulto (26-40)"/>
    <s v="loja"/>
    <s v="própria"/>
    <n v="2"/>
    <s v="Executivo/Empresário"/>
    <n v="1"/>
    <s v="sim"/>
    <s v="sim"/>
    <n v="1"/>
  </r>
  <r>
    <n v="665"/>
    <x v="0"/>
    <s v="&gt;= 200 $"/>
    <s v="saldo saudável"/>
    <n v="6"/>
    <s v="conta critica / dividas com terceiros"/>
    <s v="educacao"/>
    <n v="1047"/>
    <s v="&lt; 100 $"/>
    <s v="Baixo (&lt; 100 $)"/>
    <s v="&lt; 4 anos"/>
    <s v="Intermediário (1-4 anos)"/>
    <n v="2"/>
    <s v="feminino"/>
    <s v="divorciada/casada"/>
    <s v="nenhum"/>
    <n v="4"/>
    <s v="poupança ou seguro de vida"/>
    <n v="50"/>
    <s v="Sénior (41-60)"/>
    <s v="nenhum"/>
    <s v="própria"/>
    <n v="1"/>
    <s v="Empregado Comum"/>
    <n v="1"/>
    <s v="não"/>
    <s v="sim"/>
    <n v="1"/>
  </r>
  <r>
    <n v="666"/>
    <x v="0"/>
    <s v="sem conta corrente"/>
    <s v="sem conta no banco"/>
    <n v="24"/>
    <s v="conta critica / dividas com terceiros"/>
    <s v="outros"/>
    <n v="6314"/>
    <s v="&lt; 100 $"/>
    <s v="Baixo (&lt; 100 $)"/>
    <s v="desempregado"/>
    <s v="desempregado"/>
    <n v="4"/>
    <s v="masculino"/>
    <s v="solteiro"/>
    <s v="codevedor"/>
    <n v="2"/>
    <s v="sem bens"/>
    <n v="27"/>
    <s v="Adulto (26-40)"/>
    <s v="banco"/>
    <s v="própria"/>
    <n v="2"/>
    <s v="Executivo/Empresário"/>
    <n v="1"/>
    <s v="sim"/>
    <s v="sim"/>
    <n v="1"/>
  </r>
  <r>
    <n v="667"/>
    <x v="0"/>
    <s v="&gt;= 0 &lt; 200 $"/>
    <s v="saldo baixo"/>
    <n v="30"/>
    <s v="pgto em dia neste banco (quitado)"/>
    <s v="moveis e equipamentos"/>
    <n v="3496"/>
    <s v="&gt;= 1000 $"/>
    <s v="Muito alto (&gt;1000$)"/>
    <s v="&lt; 4 anos"/>
    <s v="Intermediário (1-4 anos)"/>
    <n v="4"/>
    <s v="masculino"/>
    <s v="solteiro"/>
    <s v="nenhum"/>
    <n v="2"/>
    <s v="carro ou outros-quitado"/>
    <n v="34"/>
    <s v="Adulto (26-40)"/>
    <s v="loja"/>
    <s v="própria"/>
    <n v="1"/>
    <s v="Func. Público/Qualificado"/>
    <n v="2"/>
    <s v="sim"/>
    <s v="sim"/>
    <n v="1"/>
  </r>
  <r>
    <n v="668"/>
    <x v="0"/>
    <s v="sem conta corrente"/>
    <s v="sem conta no banco"/>
    <n v="48"/>
    <s v="pgto em dia neste banco (quitado)"/>
    <s v="negocios"/>
    <n v="3609"/>
    <s v="&lt; 100 $"/>
    <s v="Baixo (&lt; 100 $)"/>
    <s v="&lt; 4 anos"/>
    <s v="Intermediário (1-4 anos)"/>
    <n v="1"/>
    <s v="feminino"/>
    <s v="divorciada/casada"/>
    <s v="nenhum"/>
    <n v="1"/>
    <s v="imovel"/>
    <n v="27"/>
    <s v="Adulto (26-40)"/>
    <s v="loja"/>
    <s v="própria"/>
    <n v="1"/>
    <s v="Func. Público/Qualificado"/>
    <n v="1"/>
    <s v="não"/>
    <s v="sim"/>
    <n v="1"/>
  </r>
  <r>
    <n v="669"/>
    <x v="1"/>
    <s v="&lt; 0 $"/>
    <s v="negativo/devedor"/>
    <n v="12"/>
    <s v="conta critica / dividas com terceiros"/>
    <s v="carro novo"/>
    <n v="4843"/>
    <s v="&lt; 100 $"/>
    <s v="Baixo (&lt; 100 $)"/>
    <s v="&gt;= 7 anos"/>
    <s v="Muito Estável (&gt; 7 anos)"/>
    <n v="3"/>
    <s v="masculino"/>
    <s v="solteiro"/>
    <s v="codevedor"/>
    <n v="4"/>
    <s v="poupança ou seguro de vida"/>
    <n v="43"/>
    <s v="Sénior (41-60)"/>
    <s v="nenhum"/>
    <s v="aluguel"/>
    <n v="2"/>
    <s v="Func. Público/Qualificado"/>
    <n v="1"/>
    <s v="sim"/>
    <s v="sim"/>
    <n v="2"/>
  </r>
  <r>
    <n v="670"/>
    <x v="0"/>
    <s v="&gt;= 200 $"/>
    <s v="saldo saudável"/>
    <n v="30"/>
    <s v="conta critica / dividas com terceiros"/>
    <s v="radio ou televisao"/>
    <n v="3017"/>
    <s v="&lt; 100 $"/>
    <s v="Baixo (&lt; 100 $)"/>
    <s v="&gt;= 7 anos"/>
    <s v="Muito Estável (&gt; 7 anos)"/>
    <n v="4"/>
    <s v="masculino"/>
    <s v="solteiro"/>
    <s v="nenhum"/>
    <n v="4"/>
    <s v="poupança ou seguro de vida"/>
    <n v="47"/>
    <s v="Sénior (41-60)"/>
    <s v="nenhum"/>
    <s v="própria"/>
    <n v="1"/>
    <s v="Func. Público/Qualificado"/>
    <n v="1"/>
    <s v="não"/>
    <s v="sim"/>
    <n v="1"/>
  </r>
  <r>
    <n v="671"/>
    <x v="0"/>
    <s v="sem conta corrente"/>
    <s v="sem conta no banco"/>
    <n v="24"/>
    <s v="conta critica / dividas com terceiros"/>
    <s v="negocios"/>
    <n v="4139"/>
    <s v="&gt;= 100 &lt; 500 $"/>
    <s v="Médio (100-500$)"/>
    <s v="&lt; 4 anos"/>
    <s v="Intermediário (1-4 anos)"/>
    <n v="3"/>
    <s v="masculino"/>
    <s v="solteiro"/>
    <s v="nenhum"/>
    <n v="3"/>
    <s v="poupança ou seguro de vida"/>
    <n v="27"/>
    <s v="Adulto (26-40)"/>
    <s v="nenhum"/>
    <s v="própria"/>
    <n v="2"/>
    <s v="Empregado Comum"/>
    <n v="1"/>
    <s v="sim"/>
    <s v="sim"/>
    <n v="1"/>
  </r>
  <r>
    <n v="672"/>
    <x v="0"/>
    <s v="sem conta corrente"/>
    <s v="sem conta no banco"/>
    <n v="36"/>
    <s v="pgto em dia neste banco (em aberto)"/>
    <s v="negocios"/>
    <n v="5742"/>
    <s v="&gt;= 100 &lt; 500 $"/>
    <s v="Médio (100-500$)"/>
    <s v="&lt; 7 anos"/>
    <s v="Estável (4-7 anos)"/>
    <n v="2"/>
    <s v="masculino"/>
    <s v="solteiro"/>
    <s v="nenhum"/>
    <n v="2"/>
    <s v="carro ou outros-quitado"/>
    <n v="31"/>
    <s v="Adulto (26-40)"/>
    <s v="nenhum"/>
    <s v="própria"/>
    <n v="2"/>
    <s v="Func. Público/Qualificado"/>
    <n v="1"/>
    <s v="sim"/>
    <s v="sim"/>
    <n v="1"/>
  </r>
  <r>
    <n v="673"/>
    <x v="0"/>
    <s v="sem conta corrente"/>
    <s v="sem conta no banco"/>
    <n v="60"/>
    <s v="pgto em dia neste banco (em aberto)"/>
    <s v="carro novo"/>
    <n v="10366"/>
    <s v="&lt; 100 $"/>
    <s v="Baixo (&lt; 100 $)"/>
    <s v="&gt;= 7 anos"/>
    <s v="Muito Estável (&gt; 7 anos)"/>
    <n v="2"/>
    <s v="masculino"/>
    <s v="solteiro"/>
    <s v="nenhum"/>
    <n v="4"/>
    <s v="poupança ou seguro de vida"/>
    <n v="42"/>
    <s v="Sénior (41-60)"/>
    <s v="nenhum"/>
    <s v="própria"/>
    <n v="1"/>
    <s v="Executivo/Empresário"/>
    <n v="1"/>
    <s v="sim"/>
    <s v="sim"/>
    <n v="1"/>
  </r>
  <r>
    <n v="674"/>
    <x v="0"/>
    <s v="sem conta corrente"/>
    <s v="sem conta no banco"/>
    <n v="6"/>
    <s v="conta critica / dividas com terceiros"/>
    <s v="carro novo"/>
    <n v="2080"/>
    <s v="&gt;= 500 &lt; 1000 $"/>
    <s v="Alto (500-1000 $)"/>
    <s v="&lt; 4 anos"/>
    <s v="Intermediário (1-4 anos)"/>
    <n v="1"/>
    <s v="masculino"/>
    <s v="casado/viuvo"/>
    <s v="nenhum"/>
    <n v="2"/>
    <s v="carro ou outros-quitado"/>
    <n v="24"/>
    <s v="Jovem (18-25)"/>
    <s v="nenhum"/>
    <s v="própria"/>
    <n v="1"/>
    <s v="Func. Público/Qualificado"/>
    <n v="1"/>
    <s v="não"/>
    <s v="sim"/>
    <n v="1"/>
  </r>
  <r>
    <n v="675"/>
    <x v="1"/>
    <s v="sem conta corrente"/>
    <s v="sem conta no banco"/>
    <n v="21"/>
    <s v="pgto em atraso no passado"/>
    <s v="negocios"/>
    <n v="2580"/>
    <s v="&gt;= 500 &lt; 1000 $"/>
    <s v="Alto (500-1000 $)"/>
    <s v="&lt; 1 ano"/>
    <s v="Iniciante (&lt; 1 ano)"/>
    <n v="4"/>
    <s v="masculino"/>
    <s v="solteiro"/>
    <s v="nenhum"/>
    <n v="2"/>
    <s v="imovel"/>
    <n v="41"/>
    <s v="Sénior (41-60)"/>
    <s v="banco"/>
    <s v="própria"/>
    <n v="1"/>
    <s v="Empregado Comum"/>
    <n v="2"/>
    <s v="não"/>
    <s v="sim"/>
    <n v="2"/>
  </r>
  <r>
    <n v="676"/>
    <x v="0"/>
    <s v="sem conta corrente"/>
    <s v="sem conta no banco"/>
    <n v="30"/>
    <s v="conta critica / dividas com terceiros"/>
    <s v="radio ou televisao"/>
    <n v="4530"/>
    <s v="&lt; 100 $"/>
    <s v="Baixo (&lt; 100 $)"/>
    <s v="&lt; 7 anos"/>
    <s v="Estável (4-7 anos)"/>
    <n v="4"/>
    <s v="feminino"/>
    <s v="divorciada/casada"/>
    <s v="nenhum"/>
    <n v="4"/>
    <s v="carro ou outros-quitado"/>
    <n v="26"/>
    <s v="Adulto (26-40)"/>
    <s v="nenhum"/>
    <s v="aluguel"/>
    <n v="1"/>
    <s v="Executivo/Empresário"/>
    <n v="1"/>
    <s v="sim"/>
    <s v="sim"/>
    <n v="1"/>
  </r>
  <r>
    <n v="677"/>
    <x v="0"/>
    <s v="sem conta corrente"/>
    <s v="sem conta no banco"/>
    <n v="24"/>
    <s v="conta critica / dividas com terceiros"/>
    <s v="moveis e equipamentos"/>
    <n v="5150"/>
    <s v="&lt; 100 $"/>
    <s v="Baixo (&lt; 100 $)"/>
    <s v="&gt;= 7 anos"/>
    <s v="Muito Estável (&gt; 7 anos)"/>
    <n v="4"/>
    <s v="masculino"/>
    <s v="solteiro"/>
    <s v="nenhum"/>
    <n v="4"/>
    <s v="carro ou outros-quitado"/>
    <n v="33"/>
    <s v="Adulto (26-40)"/>
    <s v="nenhum"/>
    <s v="própria"/>
    <n v="1"/>
    <s v="Func. Público/Qualificado"/>
    <n v="1"/>
    <s v="sim"/>
    <s v="sim"/>
    <n v="1"/>
  </r>
  <r>
    <n v="678"/>
    <x v="1"/>
    <s v="&gt;= 0 &lt; 200 $"/>
    <s v="saldo baixo"/>
    <n v="72"/>
    <s v="pgto em dia neste banco (em aberto)"/>
    <s v="radio ou televisao"/>
    <n v="5595"/>
    <s v="&gt;= 100 &lt; 500 $"/>
    <s v="Médio (100-500$)"/>
    <s v="&lt; 4 anos"/>
    <s v="Intermediário (1-4 anos)"/>
    <n v="2"/>
    <s v="masculino"/>
    <s v="casado/viuvo"/>
    <s v="nenhum"/>
    <n v="2"/>
    <s v="carro ou outros-quitado"/>
    <n v="24"/>
    <s v="Jovem (18-25)"/>
    <s v="nenhum"/>
    <s v="própria"/>
    <n v="1"/>
    <s v="Func. Público/Qualificado"/>
    <n v="1"/>
    <s v="não"/>
    <s v="sim"/>
    <n v="2"/>
  </r>
  <r>
    <n v="679"/>
    <x v="0"/>
    <s v="&lt; 0 $"/>
    <s v="negativo/devedor"/>
    <n v="24"/>
    <s v="pgto em dia neste banco (em aberto)"/>
    <s v="radio ou televisao"/>
    <n v="2384"/>
    <s v="&lt; 100 $"/>
    <s v="Baixo (&lt; 100 $)"/>
    <s v="&gt;= 7 anos"/>
    <s v="Muito Estável (&gt; 7 anos)"/>
    <n v="4"/>
    <s v="masculino"/>
    <s v="solteiro"/>
    <s v="nenhum"/>
    <n v="4"/>
    <s v="imovel"/>
    <n v="64"/>
    <s v="Idoso (60+)"/>
    <s v="banco"/>
    <s v="aluguel"/>
    <n v="1"/>
    <s v="Empregado Comum"/>
    <n v="1"/>
    <s v="não"/>
    <s v="sim"/>
    <n v="1"/>
  </r>
  <r>
    <n v="680"/>
    <x v="0"/>
    <s v="sem conta corrente"/>
    <s v="sem conta no banco"/>
    <n v="18"/>
    <s v="pgto em dia neste banco (em aberto)"/>
    <s v="radio ou televisao"/>
    <n v="1453"/>
    <s v="&lt; 100 $"/>
    <s v="Baixo (&lt; 100 $)"/>
    <s v="&lt; 1 ano"/>
    <s v="Iniciante (&lt; 1 ano)"/>
    <n v="3"/>
    <s v="feminino"/>
    <s v="divorciada/casada"/>
    <s v="nenhum"/>
    <n v="1"/>
    <s v="imovel"/>
    <n v="26"/>
    <s v="Adulto (26-40)"/>
    <s v="nenhum"/>
    <s v="própria"/>
    <n v="1"/>
    <s v="Func. Público/Qualificado"/>
    <n v="1"/>
    <s v="não"/>
    <s v="sim"/>
    <n v="1"/>
  </r>
  <r>
    <n v="681"/>
    <x v="0"/>
    <s v="sem conta corrente"/>
    <s v="sem conta no banco"/>
    <n v="6"/>
    <s v="pgto em dia neste banco (em aberto)"/>
    <s v="educacao"/>
    <n v="1538"/>
    <s v="&lt; 100 $"/>
    <s v="Baixo (&lt; 100 $)"/>
    <s v="&lt; 1 ano"/>
    <s v="Iniciante (&lt; 1 ano)"/>
    <n v="1"/>
    <s v="feminino"/>
    <s v="divorciada/casada"/>
    <s v="nenhum"/>
    <n v="2"/>
    <s v="sem bens"/>
    <n v="56"/>
    <s v="Sénior (41-60)"/>
    <s v="nenhum"/>
    <s v="própria"/>
    <n v="1"/>
    <s v="Func. Público/Qualificado"/>
    <n v="1"/>
    <s v="não"/>
    <s v="sim"/>
    <n v="1"/>
  </r>
  <r>
    <n v="682"/>
    <x v="0"/>
    <s v="sem conta corrente"/>
    <s v="sem conta no banco"/>
    <n v="12"/>
    <s v="pgto em dia neste banco (em aberto)"/>
    <s v="radio ou televisao"/>
    <n v="2279"/>
    <s v="sem poupança"/>
    <s v="sem poupança"/>
    <s v="&lt; 4 anos"/>
    <s v="Intermediário (1-4 anos)"/>
    <n v="4"/>
    <s v="masculino"/>
    <s v="solteiro"/>
    <s v="nenhum"/>
    <n v="4"/>
    <s v="sem bens"/>
    <n v="37"/>
    <s v="Adulto (26-40)"/>
    <s v="nenhum"/>
    <s v="gratuita"/>
    <n v="1"/>
    <s v="Func. Público/Qualificado"/>
    <n v="1"/>
    <s v="sim"/>
    <s v="sim"/>
    <n v="1"/>
  </r>
  <r>
    <n v="683"/>
    <x v="0"/>
    <s v="sem conta corrente"/>
    <s v="sem conta no banco"/>
    <n v="15"/>
    <s v="pgto em atraso no passado"/>
    <s v="radio ou televisao"/>
    <n v="1478"/>
    <s v="&lt; 100 $"/>
    <s v="Baixo (&lt; 100 $)"/>
    <s v="&lt; 4 anos"/>
    <s v="Intermediário (1-4 anos)"/>
    <n v="4"/>
    <s v="masculino"/>
    <s v="casado/viuvo"/>
    <s v="nenhum"/>
    <n v="3"/>
    <s v="imovel"/>
    <n v="33"/>
    <s v="Adulto (26-40)"/>
    <s v="banco"/>
    <s v="própria"/>
    <n v="2"/>
    <s v="Func. Público/Qualificado"/>
    <n v="1"/>
    <s v="não"/>
    <s v="sim"/>
    <n v="1"/>
  </r>
  <r>
    <n v="684"/>
    <x v="0"/>
    <s v="sem conta corrente"/>
    <s v="sem conta no banco"/>
    <n v="24"/>
    <s v="conta critica / dividas com terceiros"/>
    <s v="radio ou televisao"/>
    <n v="5103"/>
    <s v="&lt; 100 $"/>
    <s v="Baixo (&lt; 100 $)"/>
    <s v="&lt; 1 ano"/>
    <s v="Iniciante (&lt; 1 ano)"/>
    <n v="3"/>
    <s v="masculino"/>
    <s v="casado/viuvo"/>
    <s v="nenhum"/>
    <n v="3"/>
    <s v="sem bens"/>
    <n v="47"/>
    <s v="Sénior (41-60)"/>
    <s v="nenhum"/>
    <s v="gratuita"/>
    <n v="3"/>
    <s v="Func. Público/Qualificado"/>
    <n v="1"/>
    <s v="sim"/>
    <s v="sim"/>
    <n v="1"/>
  </r>
  <r>
    <n v="685"/>
    <x v="0"/>
    <s v="&gt;= 0 &lt; 200 $"/>
    <s v="saldo baixo"/>
    <n v="36"/>
    <s v="pgto em atraso no passado"/>
    <s v="negocios"/>
    <n v="9857"/>
    <s v="&gt;= 100 &lt; 500 $"/>
    <s v="Médio (100-500$)"/>
    <s v="&lt; 7 anos"/>
    <s v="Estável (4-7 anos)"/>
    <n v="1"/>
    <s v="masculino"/>
    <s v="solteiro"/>
    <s v="nenhum"/>
    <n v="3"/>
    <s v="poupança ou seguro de vida"/>
    <n v="31"/>
    <s v="Adulto (26-40)"/>
    <s v="nenhum"/>
    <s v="própria"/>
    <n v="2"/>
    <s v="Empregado Comum"/>
    <n v="2"/>
    <s v="sim"/>
    <s v="sim"/>
    <n v="1"/>
  </r>
  <r>
    <n v="686"/>
    <x v="0"/>
    <s v="sem conta corrente"/>
    <s v="sem conta no banco"/>
    <n v="60"/>
    <s v="pgto em dia neste banco (em aberto)"/>
    <s v="carro novo"/>
    <n v="6527"/>
    <s v="sem poupança"/>
    <s v="sem poupança"/>
    <s v="&lt; 4 anos"/>
    <s v="Intermediário (1-4 anos)"/>
    <n v="4"/>
    <s v="masculino"/>
    <s v="solteiro"/>
    <s v="nenhum"/>
    <n v="4"/>
    <s v="sem bens"/>
    <n v="34"/>
    <s v="Adulto (26-40)"/>
    <s v="nenhum"/>
    <s v="gratuita"/>
    <n v="1"/>
    <s v="Func. Público/Qualificado"/>
    <n v="2"/>
    <s v="sim"/>
    <s v="sim"/>
    <n v="1"/>
  </r>
  <r>
    <n v="687"/>
    <x v="0"/>
    <s v="&gt;= 200 $"/>
    <s v="saldo saudável"/>
    <n v="10"/>
    <s v="conta critica / dividas com terceiros"/>
    <s v="radio ou televisao"/>
    <n v="1347"/>
    <s v="sem poupança"/>
    <s v="sem poupança"/>
    <s v="&lt; 7 anos"/>
    <s v="Estável (4-7 anos)"/>
    <n v="4"/>
    <s v="masculino"/>
    <s v="solteiro"/>
    <s v="nenhum"/>
    <n v="2"/>
    <s v="poupança ou seguro de vida"/>
    <n v="27"/>
    <s v="Adulto (26-40)"/>
    <s v="nenhum"/>
    <s v="própria"/>
    <n v="2"/>
    <s v="Func. Público/Qualificado"/>
    <n v="1"/>
    <s v="sim"/>
    <s v="sim"/>
    <n v="1"/>
  </r>
  <r>
    <n v="688"/>
    <x v="0"/>
    <s v="&gt;= 0 &lt; 200 $"/>
    <s v="saldo baixo"/>
    <n v="36"/>
    <s v="pgto em atraso no passado"/>
    <s v="carro novo"/>
    <n v="2862"/>
    <s v="&gt;= 100 &lt; 500 $"/>
    <s v="Médio (100-500$)"/>
    <s v="&gt;= 7 anos"/>
    <s v="Muito Estável (&gt; 7 anos)"/>
    <n v="4"/>
    <s v="masculino"/>
    <s v="solteiro"/>
    <s v="nenhum"/>
    <n v="3"/>
    <s v="sem bens"/>
    <n v="30"/>
    <s v="Adulto (26-40)"/>
    <s v="nenhum"/>
    <s v="gratuita"/>
    <n v="1"/>
    <s v="Func. Público/Qualificado"/>
    <n v="1"/>
    <s v="não"/>
    <s v="sim"/>
    <n v="1"/>
  </r>
  <r>
    <n v="689"/>
    <x v="0"/>
    <s v="sem conta corrente"/>
    <s v="sem conta no banco"/>
    <n v="9"/>
    <s v="pgto em dia neste banco (em aberto)"/>
    <s v="radio ou televisao"/>
    <n v="2753"/>
    <s v="&gt;= 100 &lt; 500 $"/>
    <s v="Médio (100-500$)"/>
    <s v="&gt;= 7 anos"/>
    <s v="Muito Estável (&gt; 7 anos)"/>
    <n v="3"/>
    <s v="masculino"/>
    <s v="solteiro"/>
    <s v="codevedor"/>
    <n v="4"/>
    <s v="carro ou outros-quitado"/>
    <n v="35"/>
    <s v="Adulto (26-40)"/>
    <s v="nenhum"/>
    <s v="própria"/>
    <n v="1"/>
    <s v="Func. Público/Qualificado"/>
    <n v="1"/>
    <s v="sim"/>
    <s v="sim"/>
    <n v="1"/>
  </r>
  <r>
    <n v="690"/>
    <x v="0"/>
    <s v="&lt; 0 $"/>
    <s v="negativo/devedor"/>
    <n v="12"/>
    <s v="pgto em dia neste banco (em aberto)"/>
    <s v="carro novo"/>
    <n v="3651"/>
    <s v="&gt;= 1000 $"/>
    <s v="Muito alto (&gt;1000$)"/>
    <s v="&lt; 4 anos"/>
    <s v="Intermediário (1-4 anos)"/>
    <n v="1"/>
    <s v="masculino"/>
    <s v="solteiro"/>
    <s v="nenhum"/>
    <n v="3"/>
    <s v="poupança ou seguro de vida"/>
    <n v="31"/>
    <s v="Adulto (26-40)"/>
    <s v="nenhum"/>
    <s v="própria"/>
    <n v="1"/>
    <s v="Func. Público/Qualificado"/>
    <n v="2"/>
    <s v="não"/>
    <s v="sim"/>
    <n v="1"/>
  </r>
  <r>
    <n v="691"/>
    <x v="0"/>
    <s v="&lt; 0 $"/>
    <s v="negativo/devedor"/>
    <n v="15"/>
    <s v="conta critica / dividas com terceiros"/>
    <s v="moveis e equipamentos"/>
    <n v="975"/>
    <s v="&lt; 100 $"/>
    <s v="Baixo (&lt; 100 $)"/>
    <s v="&lt; 4 anos"/>
    <s v="Intermediário (1-4 anos)"/>
    <n v="2"/>
    <s v="masculino"/>
    <s v="divorciado"/>
    <s v="nenhum"/>
    <n v="3"/>
    <s v="poupança ou seguro de vida"/>
    <n v="25"/>
    <s v="Adulto (26-40)"/>
    <s v="nenhum"/>
    <s v="própria"/>
    <n v="2"/>
    <s v="Func. Público/Qualificado"/>
    <n v="1"/>
    <s v="não"/>
    <s v="sim"/>
    <n v="1"/>
  </r>
  <r>
    <n v="692"/>
    <x v="0"/>
    <s v="&gt;= 0 &lt; 200 $"/>
    <s v="saldo baixo"/>
    <n v="15"/>
    <s v="pgto em dia neste banco (em aberto)"/>
    <s v="reparos"/>
    <n v="2631"/>
    <s v="&gt;= 100 &lt; 500 $"/>
    <s v="Médio (100-500$)"/>
    <s v="&lt; 4 anos"/>
    <s v="Intermediário (1-4 anos)"/>
    <n v="3"/>
    <s v="feminino"/>
    <s v="divorciada/casada"/>
    <s v="nenhum"/>
    <n v="2"/>
    <s v="imovel"/>
    <n v="25"/>
    <s v="Adulto (26-40)"/>
    <s v="nenhum"/>
    <s v="própria"/>
    <n v="1"/>
    <s v="Empregado Comum"/>
    <n v="1"/>
    <s v="não"/>
    <s v="sim"/>
    <n v="1"/>
  </r>
  <r>
    <n v="693"/>
    <x v="0"/>
    <s v="&gt;= 0 &lt; 200 $"/>
    <s v="saldo baixo"/>
    <n v="24"/>
    <s v="pgto em dia neste banco (em aberto)"/>
    <s v="radio ou televisao"/>
    <n v="2896"/>
    <s v="&gt;= 100 &lt; 500 $"/>
    <s v="Médio (100-500$)"/>
    <s v="&lt; 1 ano"/>
    <s v="Iniciante (&lt; 1 ano)"/>
    <n v="2"/>
    <s v="masculino"/>
    <s v="solteiro"/>
    <s v="nenhum"/>
    <n v="1"/>
    <s v="carro ou outros-quitado"/>
    <n v="29"/>
    <s v="Adulto (26-40)"/>
    <s v="nenhum"/>
    <s v="própria"/>
    <n v="1"/>
    <s v="Func. Público/Qualificado"/>
    <n v="1"/>
    <s v="não"/>
    <s v="sim"/>
    <n v="1"/>
  </r>
  <r>
    <n v="694"/>
    <x v="0"/>
    <s v="&lt; 0 $"/>
    <s v="negativo/devedor"/>
    <n v="6"/>
    <s v="conta critica / dividas com terceiros"/>
    <s v="carro novo"/>
    <n v="4716"/>
    <s v="sem poupança"/>
    <s v="sem poupança"/>
    <s v="&lt; 1 ano"/>
    <s v="Iniciante (&lt; 1 ano)"/>
    <n v="1"/>
    <s v="masculino"/>
    <s v="solteiro"/>
    <s v="nenhum"/>
    <n v="3"/>
    <s v="imovel"/>
    <n v="44"/>
    <s v="Sénior (41-60)"/>
    <s v="nenhum"/>
    <s v="própria"/>
    <n v="2"/>
    <s v="Empregado Comum"/>
    <n v="2"/>
    <s v="não"/>
    <s v="sim"/>
    <n v="1"/>
  </r>
  <r>
    <n v="695"/>
    <x v="0"/>
    <s v="sem conta corrente"/>
    <s v="sem conta no banco"/>
    <n v="24"/>
    <s v="pgto em dia neste banco (em aberto)"/>
    <s v="radio ou televisao"/>
    <n v="2284"/>
    <s v="&lt; 100 $"/>
    <s v="Baixo (&lt; 100 $)"/>
    <s v="&lt; 7 anos"/>
    <s v="Estável (4-7 anos)"/>
    <n v="4"/>
    <s v="masculino"/>
    <s v="solteiro"/>
    <s v="nenhum"/>
    <n v="2"/>
    <s v="carro ou outros-quitado"/>
    <n v="28"/>
    <s v="Adulto (26-40)"/>
    <s v="nenhum"/>
    <s v="própria"/>
    <n v="1"/>
    <s v="Func. Público/Qualificado"/>
    <n v="1"/>
    <s v="sim"/>
    <s v="sim"/>
    <n v="1"/>
  </r>
  <r>
    <n v="696"/>
    <x v="0"/>
    <s v="sem conta corrente"/>
    <s v="sem conta no banco"/>
    <n v="6"/>
    <s v="pgto em dia neste banco (em aberto)"/>
    <s v="carro usado"/>
    <n v="1236"/>
    <s v="&gt;= 500 &lt; 1000 $"/>
    <s v="Alto (500-1000 $)"/>
    <s v="&lt; 4 anos"/>
    <s v="Intermediário (1-4 anos)"/>
    <n v="2"/>
    <s v="masculino"/>
    <s v="solteiro"/>
    <s v="nenhum"/>
    <n v="4"/>
    <s v="poupança ou seguro de vida"/>
    <n v="50"/>
    <s v="Sénior (41-60)"/>
    <s v="nenhum"/>
    <s v="aluguel"/>
    <n v="1"/>
    <s v="Func. Público/Qualificado"/>
    <n v="1"/>
    <s v="não"/>
    <s v="sim"/>
    <n v="1"/>
  </r>
  <r>
    <n v="697"/>
    <x v="0"/>
    <s v="&gt;= 0 &lt; 200 $"/>
    <s v="saldo baixo"/>
    <n v="12"/>
    <s v="pgto em dia neste banco (em aberto)"/>
    <s v="radio ou televisao"/>
    <n v="1103"/>
    <s v="&lt; 100 $"/>
    <s v="Baixo (&lt; 100 $)"/>
    <s v="&lt; 7 anos"/>
    <s v="Estável (4-7 anos)"/>
    <n v="4"/>
    <s v="masculino"/>
    <s v="solteiro"/>
    <s v="garantidor"/>
    <n v="3"/>
    <s v="imovel"/>
    <n v="29"/>
    <s v="Adulto (26-40)"/>
    <s v="nenhum"/>
    <s v="própria"/>
    <n v="2"/>
    <s v="Func. Público/Qualificado"/>
    <n v="1"/>
    <s v="não"/>
    <s v="não"/>
    <n v="1"/>
  </r>
  <r>
    <n v="698"/>
    <x v="0"/>
    <s v="sem conta corrente"/>
    <s v="sem conta no banco"/>
    <n v="12"/>
    <s v="conta critica / dividas com terceiros"/>
    <s v="carro novo"/>
    <n v="926"/>
    <s v="&lt; 100 $"/>
    <s v="Baixo (&lt; 100 $)"/>
    <s v="desempregado"/>
    <s v="desempregado"/>
    <n v="1"/>
    <s v="feminino"/>
    <s v="divorciada/casada"/>
    <s v="nenhum"/>
    <n v="2"/>
    <s v="poupança ou seguro de vida"/>
    <n v="38"/>
    <s v="Adulto (26-40)"/>
    <s v="nenhum"/>
    <s v="própria"/>
    <n v="1"/>
    <s v="Não qualificado/Desempregado"/>
    <n v="1"/>
    <s v="não"/>
    <s v="sim"/>
    <n v="1"/>
  </r>
  <r>
    <n v="699"/>
    <x v="0"/>
    <s v="sem conta corrente"/>
    <s v="sem conta no banco"/>
    <n v="18"/>
    <s v="conta critica / dividas com terceiros"/>
    <s v="radio ou televisao"/>
    <n v="1800"/>
    <s v="&lt; 100 $"/>
    <s v="Baixo (&lt; 100 $)"/>
    <s v="&lt; 4 anos"/>
    <s v="Intermediário (1-4 anos)"/>
    <n v="4"/>
    <s v="masculino"/>
    <s v="solteiro"/>
    <s v="nenhum"/>
    <n v="2"/>
    <s v="carro ou outros-quitado"/>
    <n v="24"/>
    <s v="Jovem (18-25)"/>
    <s v="nenhum"/>
    <s v="própria"/>
    <n v="2"/>
    <s v="Func. Público/Qualificado"/>
    <n v="1"/>
    <s v="não"/>
    <s v="sim"/>
    <n v="1"/>
  </r>
  <r>
    <n v="700"/>
    <x v="0"/>
    <s v="&gt;= 200 $"/>
    <s v="saldo saudável"/>
    <n v="15"/>
    <s v="pgto em dia neste banco (em aberto)"/>
    <s v="educacao"/>
    <n v="1905"/>
    <s v="&lt; 100 $"/>
    <s v="Baixo (&lt; 100 $)"/>
    <s v="&gt;= 7 anos"/>
    <s v="Muito Estável (&gt; 7 anos)"/>
    <n v="4"/>
    <s v="masculino"/>
    <s v="solteiro"/>
    <s v="nenhum"/>
    <n v="4"/>
    <s v="carro ou outros-quitado"/>
    <n v="40"/>
    <s v="Sénior (41-60)"/>
    <s v="nenhum"/>
    <s v="aluguel"/>
    <n v="1"/>
    <s v="Executivo/Empresário"/>
    <n v="1"/>
    <s v="sim"/>
    <s v="sim"/>
    <n v="1"/>
  </r>
  <r>
    <n v="701"/>
    <x v="1"/>
    <s v="sem conta corrente"/>
    <s v="sem conta no banco"/>
    <n v="12"/>
    <s v="pgto em dia neste banco (em aberto)"/>
    <s v="moveis e equipamentos"/>
    <n v="1123"/>
    <s v="&gt;= 500 &lt; 1000 $"/>
    <s v="Alto (500-1000 $)"/>
    <s v="&lt; 4 anos"/>
    <s v="Intermediário (1-4 anos)"/>
    <n v="4"/>
    <s v="feminino"/>
    <s v="divorciada/casada"/>
    <s v="nenhum"/>
    <n v="4"/>
    <s v="carro ou outros-quitado"/>
    <n v="29"/>
    <s v="Adulto (26-40)"/>
    <s v="nenhum"/>
    <s v="aluguel"/>
    <n v="1"/>
    <s v="Empregado Comum"/>
    <n v="1"/>
    <s v="não"/>
    <s v="sim"/>
    <n v="2"/>
  </r>
  <r>
    <n v="702"/>
    <x v="1"/>
    <s v="&lt; 0 $"/>
    <s v="negativo/devedor"/>
    <n v="48"/>
    <s v="conta critica / dividas com terceiros"/>
    <s v="carro usado"/>
    <n v="6331"/>
    <s v="&lt; 100 $"/>
    <s v="Baixo (&lt; 100 $)"/>
    <s v="&gt;= 7 anos"/>
    <s v="Muito Estável (&gt; 7 anos)"/>
    <n v="4"/>
    <s v="masculino"/>
    <s v="solteiro"/>
    <s v="nenhum"/>
    <n v="4"/>
    <s v="sem bens"/>
    <n v="46"/>
    <s v="Sénior (41-60)"/>
    <s v="nenhum"/>
    <s v="gratuita"/>
    <n v="2"/>
    <s v="Func. Público/Qualificado"/>
    <n v="1"/>
    <s v="sim"/>
    <s v="sim"/>
    <n v="2"/>
  </r>
  <r>
    <n v="703"/>
    <x v="0"/>
    <s v="&gt;= 200 $"/>
    <s v="saldo saudável"/>
    <n v="24"/>
    <s v="pgto em dia neste banco (em aberto)"/>
    <s v="radio ou televisao"/>
    <n v="1377"/>
    <s v="&gt;= 100 &lt; 500 $"/>
    <s v="Médio (100-500$)"/>
    <s v="&gt;= 7 anos"/>
    <s v="Muito Estável (&gt; 7 anos)"/>
    <n v="4"/>
    <s v="feminino"/>
    <s v="divorciada/casada"/>
    <s v="nenhum"/>
    <n v="2"/>
    <s v="sem bens"/>
    <n v="47"/>
    <s v="Sénior (41-60)"/>
    <s v="nenhum"/>
    <s v="gratuita"/>
    <n v="1"/>
    <s v="Func. Público/Qualificado"/>
    <n v="1"/>
    <s v="sim"/>
    <s v="sim"/>
    <n v="1"/>
  </r>
  <r>
    <n v="704"/>
    <x v="0"/>
    <s v="&gt;= 0 &lt; 200 $"/>
    <s v="saldo baixo"/>
    <n v="30"/>
    <s v="pgto em atraso no passado"/>
    <s v="negocios"/>
    <n v="2503"/>
    <s v="&gt;= 100 &lt; 500 $"/>
    <s v="Médio (100-500$)"/>
    <s v="&gt;= 7 anos"/>
    <s v="Muito Estável (&gt; 7 anos)"/>
    <n v="4"/>
    <s v="masculino"/>
    <s v="solteiro"/>
    <s v="nenhum"/>
    <n v="2"/>
    <s v="poupança ou seguro de vida"/>
    <n v="41"/>
    <s v="Sénior (41-60)"/>
    <s v="loja"/>
    <s v="própria"/>
    <n v="2"/>
    <s v="Func. Público/Qualificado"/>
    <n v="1"/>
    <s v="não"/>
    <s v="sim"/>
    <n v="1"/>
  </r>
  <r>
    <n v="705"/>
    <x v="0"/>
    <s v="&gt;= 0 &lt; 200 $"/>
    <s v="saldo baixo"/>
    <n v="27"/>
    <s v="pgto em dia neste banco (em aberto)"/>
    <s v="negocios"/>
    <n v="2528"/>
    <s v="&lt; 100 $"/>
    <s v="Baixo (&lt; 100 $)"/>
    <s v="&lt; 1 ano"/>
    <s v="Iniciante (&lt; 1 ano)"/>
    <n v="4"/>
    <s v="feminino"/>
    <s v="divorciada/casada"/>
    <s v="nenhum"/>
    <n v="1"/>
    <s v="poupança ou seguro de vida"/>
    <n v="32"/>
    <s v="Adulto (26-40)"/>
    <s v="nenhum"/>
    <s v="própria"/>
    <n v="1"/>
    <s v="Func. Público/Qualificado"/>
    <n v="2"/>
    <s v="sim"/>
    <s v="sim"/>
    <n v="1"/>
  </r>
  <r>
    <n v="706"/>
    <x v="0"/>
    <s v="sem conta corrente"/>
    <s v="sem conta no banco"/>
    <n v="15"/>
    <s v="pgto em dia neste banco (em aberto)"/>
    <s v="carro novo"/>
    <n v="5324"/>
    <s v="&gt;= 500 &lt; 1000 $"/>
    <s v="Alto (500-1000 $)"/>
    <s v="&gt;= 7 anos"/>
    <s v="Muito Estável (&gt; 7 anos)"/>
    <n v="1"/>
    <s v="feminino"/>
    <s v="divorciada/casada"/>
    <s v="nenhum"/>
    <n v="4"/>
    <s v="sem bens"/>
    <n v="35"/>
    <s v="Adulto (26-40)"/>
    <s v="nenhum"/>
    <s v="gratuita"/>
    <n v="1"/>
    <s v="Func. Público/Qualificado"/>
    <n v="1"/>
    <s v="não"/>
    <s v="sim"/>
    <n v="1"/>
  </r>
  <r>
    <n v="707"/>
    <x v="1"/>
    <s v="&gt;= 0 &lt; 200 $"/>
    <s v="saldo baixo"/>
    <n v="48"/>
    <s v="pgto em dia neste banco (em aberto)"/>
    <s v="carro novo"/>
    <n v="6560"/>
    <s v="&gt;= 100 &lt; 500 $"/>
    <s v="Médio (100-500$)"/>
    <s v="&lt; 7 anos"/>
    <s v="Estável (4-7 anos)"/>
    <n v="3"/>
    <s v="masculino"/>
    <s v="solteiro"/>
    <s v="nenhum"/>
    <n v="2"/>
    <s v="poupança ou seguro de vida"/>
    <n v="24"/>
    <s v="Jovem (18-25)"/>
    <s v="nenhum"/>
    <s v="própria"/>
    <n v="1"/>
    <s v="Func. Público/Qualificado"/>
    <n v="1"/>
    <s v="não"/>
    <s v="sim"/>
    <n v="2"/>
  </r>
  <r>
    <n v="708"/>
    <x v="1"/>
    <s v="&gt;= 0 &lt; 200 $"/>
    <s v="saldo baixo"/>
    <n v="12"/>
    <s v="nenhum/pgto em dia"/>
    <s v="moveis e equipamentos"/>
    <n v="2969"/>
    <s v="&lt; 100 $"/>
    <s v="Baixo (&lt; 100 $)"/>
    <s v="&lt; 1 ano"/>
    <s v="Iniciante (&lt; 1 ano)"/>
    <n v="4"/>
    <s v="feminino"/>
    <s v="divorciada/casada"/>
    <s v="nenhum"/>
    <n v="3"/>
    <s v="poupança ou seguro de vida"/>
    <n v="25"/>
    <s v="Adulto (26-40)"/>
    <s v="nenhum"/>
    <s v="aluguel"/>
    <n v="2"/>
    <s v="Func. Público/Qualificado"/>
    <n v="1"/>
    <s v="não"/>
    <s v="sim"/>
    <n v="2"/>
  </r>
  <r>
    <n v="709"/>
    <x v="0"/>
    <s v="&gt;= 0 &lt; 200 $"/>
    <s v="saldo baixo"/>
    <n v="9"/>
    <s v="pgto em dia neste banco (em aberto)"/>
    <s v="radio ou televisao"/>
    <n v="1206"/>
    <s v="&lt; 100 $"/>
    <s v="Baixo (&lt; 100 $)"/>
    <s v="&gt;= 7 anos"/>
    <s v="Muito Estável (&gt; 7 anos)"/>
    <n v="4"/>
    <s v="feminino"/>
    <s v="divorciada/casada"/>
    <s v="nenhum"/>
    <n v="4"/>
    <s v="imovel"/>
    <n v="25"/>
    <s v="Adulto (26-40)"/>
    <s v="nenhum"/>
    <s v="própria"/>
    <n v="1"/>
    <s v="Func. Público/Qualificado"/>
    <n v="1"/>
    <s v="não"/>
    <s v="sim"/>
    <n v="1"/>
  </r>
  <r>
    <n v="710"/>
    <x v="0"/>
    <s v="&gt;= 0 &lt; 200 $"/>
    <s v="saldo baixo"/>
    <n v="9"/>
    <s v="pgto em dia neste banco (em aberto)"/>
    <s v="radio ou televisao"/>
    <n v="2118"/>
    <s v="&lt; 100 $"/>
    <s v="Baixo (&lt; 100 $)"/>
    <s v="&lt; 4 anos"/>
    <s v="Intermediário (1-4 anos)"/>
    <n v="2"/>
    <s v="masculino"/>
    <s v="solteiro"/>
    <s v="nenhum"/>
    <n v="2"/>
    <s v="imovel"/>
    <n v="37"/>
    <s v="Adulto (26-40)"/>
    <s v="nenhum"/>
    <s v="própria"/>
    <n v="1"/>
    <s v="Empregado Comum"/>
    <n v="2"/>
    <s v="não"/>
    <s v="sim"/>
    <n v="1"/>
  </r>
  <r>
    <n v="711"/>
    <x v="0"/>
    <s v="sem conta corrente"/>
    <s v="sem conta no banco"/>
    <n v="18"/>
    <s v="conta critica / dividas com terceiros"/>
    <s v="radio ou televisao"/>
    <n v="629"/>
    <s v="&gt;= 500 &lt; 1000 $"/>
    <s v="Alto (500-1000 $)"/>
    <s v="&gt;= 7 anos"/>
    <s v="Muito Estável (&gt; 7 anos)"/>
    <n v="4"/>
    <s v="masculino"/>
    <s v="solteiro"/>
    <s v="nenhum"/>
    <n v="3"/>
    <s v="poupança ou seguro de vida"/>
    <n v="32"/>
    <s v="Adulto (26-40)"/>
    <s v="banco"/>
    <s v="própria"/>
    <n v="2"/>
    <s v="Executivo/Empresário"/>
    <n v="1"/>
    <s v="sim"/>
    <s v="sim"/>
    <n v="1"/>
  </r>
  <r>
    <n v="712"/>
    <x v="1"/>
    <s v="&lt; 0 $"/>
    <s v="negativo/devedor"/>
    <n v="6"/>
    <s v="pgto em dia neste banco (quitado)"/>
    <s v="educacao"/>
    <n v="1198"/>
    <s v="&lt; 100 $"/>
    <s v="Baixo (&lt; 100 $)"/>
    <s v="&gt;= 7 anos"/>
    <s v="Muito Estável (&gt; 7 anos)"/>
    <n v="4"/>
    <s v="feminino"/>
    <s v="divorciada/casada"/>
    <s v="nenhum"/>
    <n v="4"/>
    <s v="sem bens"/>
    <n v="35"/>
    <s v="Adulto (26-40)"/>
    <s v="nenhum"/>
    <s v="gratuita"/>
    <n v="1"/>
    <s v="Func. Público/Qualificado"/>
    <n v="1"/>
    <s v="não"/>
    <s v="sim"/>
    <n v="2"/>
  </r>
  <r>
    <n v="713"/>
    <x v="0"/>
    <s v="sem conta corrente"/>
    <s v="sem conta no banco"/>
    <n v="21"/>
    <s v="pgto em dia neste banco (em aberto)"/>
    <s v="carro usado"/>
    <n v="2476"/>
    <s v="sem poupança"/>
    <s v="sem poupança"/>
    <s v="&gt;= 7 anos"/>
    <s v="Muito Estável (&gt; 7 anos)"/>
    <n v="4"/>
    <s v="masculino"/>
    <s v="solteiro"/>
    <s v="nenhum"/>
    <n v="4"/>
    <s v="imovel"/>
    <n v="46"/>
    <s v="Sénior (41-60)"/>
    <s v="nenhum"/>
    <s v="própria"/>
    <n v="1"/>
    <s v="Executivo/Empresário"/>
    <n v="1"/>
    <s v="sim"/>
    <s v="sim"/>
    <n v="1"/>
  </r>
  <r>
    <n v="714"/>
    <x v="0"/>
    <s v="&lt; 0 $"/>
    <s v="negativo/devedor"/>
    <n v="9"/>
    <s v="conta critica / dividas com terceiros"/>
    <s v="radio ou televisao"/>
    <n v="1138"/>
    <s v="&lt; 100 $"/>
    <s v="Baixo (&lt; 100 $)"/>
    <s v="&lt; 4 anos"/>
    <s v="Intermediário (1-4 anos)"/>
    <n v="4"/>
    <s v="masculino"/>
    <s v="solteiro"/>
    <s v="nenhum"/>
    <n v="4"/>
    <s v="imovel"/>
    <n v="25"/>
    <s v="Adulto (26-40)"/>
    <s v="nenhum"/>
    <s v="própria"/>
    <n v="2"/>
    <s v="Empregado Comum"/>
    <n v="1"/>
    <s v="não"/>
    <s v="sim"/>
    <n v="1"/>
  </r>
  <r>
    <n v="715"/>
    <x v="1"/>
    <s v="&gt;= 0 &lt; 200 $"/>
    <s v="saldo baixo"/>
    <n v="60"/>
    <s v="pgto em dia neste banco (em aberto)"/>
    <s v="carro novo"/>
    <n v="14027"/>
    <s v="&lt; 100 $"/>
    <s v="Baixo (&lt; 100 $)"/>
    <s v="&lt; 7 anos"/>
    <s v="Estável (4-7 anos)"/>
    <n v="4"/>
    <s v="masculino"/>
    <s v="solteiro"/>
    <s v="nenhum"/>
    <n v="2"/>
    <s v="sem bens"/>
    <n v="27"/>
    <s v="Adulto (26-40)"/>
    <s v="nenhum"/>
    <s v="própria"/>
    <n v="1"/>
    <s v="Executivo/Empresário"/>
    <n v="1"/>
    <s v="sim"/>
    <s v="sim"/>
    <n v="2"/>
  </r>
  <r>
    <n v="716"/>
    <x v="0"/>
    <s v="sem conta corrente"/>
    <s v="sem conta no banco"/>
    <n v="30"/>
    <s v="conta critica / dividas com terceiros"/>
    <s v="carro usado"/>
    <n v="7596"/>
    <s v="sem poupança"/>
    <s v="sem poupança"/>
    <s v="&gt;= 7 anos"/>
    <s v="Muito Estável (&gt; 7 anos)"/>
    <n v="1"/>
    <s v="masculino"/>
    <s v="solteiro"/>
    <s v="nenhum"/>
    <n v="4"/>
    <s v="carro ou outros-quitado"/>
    <n v="63"/>
    <s v="Idoso (60+)"/>
    <s v="nenhum"/>
    <s v="própria"/>
    <n v="2"/>
    <s v="Func. Público/Qualificado"/>
    <n v="1"/>
    <s v="não"/>
    <s v="sim"/>
    <n v="1"/>
  </r>
  <r>
    <n v="717"/>
    <x v="0"/>
    <s v="sem conta corrente"/>
    <s v="sem conta no banco"/>
    <n v="30"/>
    <s v="conta critica / dividas com terceiros"/>
    <s v="radio ou televisao"/>
    <n v="3077"/>
    <s v="sem poupança"/>
    <s v="sem poupança"/>
    <s v="&gt;= 7 anos"/>
    <s v="Muito Estável (&gt; 7 anos)"/>
    <n v="3"/>
    <s v="masculino"/>
    <s v="solteiro"/>
    <s v="nenhum"/>
    <n v="2"/>
    <s v="carro ou outros-quitado"/>
    <n v="40"/>
    <s v="Sénior (41-60)"/>
    <s v="nenhum"/>
    <s v="própria"/>
    <n v="2"/>
    <s v="Func. Público/Qualificado"/>
    <n v="2"/>
    <s v="sim"/>
    <s v="sim"/>
    <n v="1"/>
  </r>
  <r>
    <n v="718"/>
    <x v="0"/>
    <s v="sem conta corrente"/>
    <s v="sem conta no banco"/>
    <n v="18"/>
    <s v="pgto em dia neste banco (em aberto)"/>
    <s v="radio ou televisao"/>
    <n v="1505"/>
    <s v="&lt; 100 $"/>
    <s v="Baixo (&lt; 100 $)"/>
    <s v="&lt; 4 anos"/>
    <s v="Intermediário (1-4 anos)"/>
    <n v="4"/>
    <s v="masculino"/>
    <s v="solteiro"/>
    <s v="nenhum"/>
    <n v="2"/>
    <s v="sem bens"/>
    <n v="32"/>
    <s v="Adulto (26-40)"/>
    <s v="nenhum"/>
    <s v="gratuita"/>
    <n v="1"/>
    <s v="Executivo/Empresário"/>
    <n v="1"/>
    <s v="sim"/>
    <s v="sim"/>
    <n v="1"/>
  </r>
  <r>
    <n v="719"/>
    <x v="0"/>
    <s v="&gt;= 200 $"/>
    <s v="saldo saudável"/>
    <n v="24"/>
    <s v="conta critica / dividas com terceiros"/>
    <s v="radio ou televisao"/>
    <n v="3148"/>
    <s v="sem poupança"/>
    <s v="sem poupança"/>
    <s v="&lt; 4 anos"/>
    <s v="Intermediário (1-4 anos)"/>
    <n v="3"/>
    <s v="masculino"/>
    <s v="solteiro"/>
    <s v="nenhum"/>
    <n v="2"/>
    <s v="carro ou outros-quitado"/>
    <n v="31"/>
    <s v="Adulto (26-40)"/>
    <s v="nenhum"/>
    <s v="própria"/>
    <n v="2"/>
    <s v="Func. Público/Qualificado"/>
    <n v="1"/>
    <s v="sim"/>
    <s v="sim"/>
    <n v="1"/>
  </r>
  <r>
    <n v="720"/>
    <x v="0"/>
    <s v="&gt;= 0 &lt; 200 $"/>
    <s v="saldo baixo"/>
    <n v="20"/>
    <s v="nenhum/pgto em dia"/>
    <s v="carro usado"/>
    <n v="6148"/>
    <s v="&gt;= 100 &lt; 500 $"/>
    <s v="Médio (100-500$)"/>
    <s v="&gt;= 7 anos"/>
    <s v="Muito Estável (&gt; 7 anos)"/>
    <n v="3"/>
    <s v="masculino"/>
    <s v="casado/viuvo"/>
    <s v="nenhum"/>
    <n v="4"/>
    <s v="carro ou outros-quitado"/>
    <n v="31"/>
    <s v="Adulto (26-40)"/>
    <s v="banco"/>
    <s v="própria"/>
    <n v="2"/>
    <s v="Func. Público/Qualificado"/>
    <n v="1"/>
    <s v="sim"/>
    <s v="sim"/>
    <n v="1"/>
  </r>
  <r>
    <n v="721"/>
    <x v="1"/>
    <s v="&gt;= 200 $"/>
    <s v="saldo saudável"/>
    <n v="9"/>
    <s v="nenhum/pgto em dia"/>
    <s v="radio ou televisao"/>
    <n v="1337"/>
    <s v="&lt; 100 $"/>
    <s v="Baixo (&lt; 100 $)"/>
    <s v="&lt; 1 ano"/>
    <s v="Iniciante (&lt; 1 ano)"/>
    <n v="4"/>
    <s v="masculino"/>
    <s v="solteiro"/>
    <s v="nenhum"/>
    <n v="2"/>
    <s v="carro ou outros-quitado"/>
    <n v="34"/>
    <s v="Adulto (26-40)"/>
    <s v="nenhum"/>
    <s v="própria"/>
    <n v="2"/>
    <s v="Executivo/Empresário"/>
    <n v="1"/>
    <s v="sim"/>
    <s v="sim"/>
    <n v="2"/>
  </r>
  <r>
    <n v="722"/>
    <x v="1"/>
    <s v="&gt;= 0 &lt; 200 $"/>
    <s v="saldo baixo"/>
    <n v="6"/>
    <s v="pgto em dia neste banco (quitado)"/>
    <s v="educacao"/>
    <n v="433"/>
    <s v="&gt;= 1000 $"/>
    <s v="Muito alto (&gt;1000$)"/>
    <s v="&lt; 1 ano"/>
    <s v="Iniciante (&lt; 1 ano)"/>
    <n v="4"/>
    <s v="feminino"/>
    <s v="divorciada/casada"/>
    <s v="nenhum"/>
    <n v="2"/>
    <s v="poupança ou seguro de vida"/>
    <n v="24"/>
    <s v="Jovem (18-25)"/>
    <s v="banco"/>
    <s v="aluguel"/>
    <n v="1"/>
    <s v="Func. Público/Qualificado"/>
    <n v="2"/>
    <s v="não"/>
    <s v="sim"/>
    <n v="2"/>
  </r>
  <r>
    <n v="723"/>
    <x v="1"/>
    <s v="&lt; 0 $"/>
    <s v="negativo/devedor"/>
    <n v="12"/>
    <s v="pgto em dia neste banco (em aberto)"/>
    <s v="carro novo"/>
    <n v="1228"/>
    <s v="&lt; 100 $"/>
    <s v="Baixo (&lt; 100 $)"/>
    <s v="&lt; 4 anos"/>
    <s v="Intermediário (1-4 anos)"/>
    <n v="4"/>
    <s v="feminino"/>
    <s v="divorciada/casada"/>
    <s v="nenhum"/>
    <n v="2"/>
    <s v="imovel"/>
    <n v="24"/>
    <s v="Jovem (18-25)"/>
    <s v="nenhum"/>
    <s v="própria"/>
    <n v="1"/>
    <s v="Empregado Comum"/>
    <n v="1"/>
    <s v="não"/>
    <s v="sim"/>
    <n v="2"/>
  </r>
  <r>
    <n v="724"/>
    <x v="0"/>
    <s v="&gt;= 0 &lt; 200 $"/>
    <s v="saldo baixo"/>
    <n v="9"/>
    <s v="pgto em dia neste banco (em aberto)"/>
    <s v="radio ou televisao"/>
    <n v="790"/>
    <s v="&gt;= 500 &lt; 1000 $"/>
    <s v="Alto (500-1000 $)"/>
    <s v="&lt; 4 anos"/>
    <s v="Intermediário (1-4 anos)"/>
    <n v="4"/>
    <s v="feminino"/>
    <s v="divorciada/casada"/>
    <s v="nenhum"/>
    <n v="3"/>
    <s v="imovel"/>
    <n v="66"/>
    <s v="Idoso (60+)"/>
    <s v="nenhum"/>
    <s v="própria"/>
    <n v="1"/>
    <s v="Empregado Comum"/>
    <n v="1"/>
    <s v="não"/>
    <s v="sim"/>
    <n v="1"/>
  </r>
  <r>
    <n v="725"/>
    <x v="1"/>
    <s v="sem conta corrente"/>
    <s v="sem conta no banco"/>
    <n v="27"/>
    <s v="pgto em dia neste banco (em aberto)"/>
    <s v="carro novo"/>
    <n v="2570"/>
    <s v="&lt; 100 $"/>
    <s v="Baixo (&lt; 100 $)"/>
    <s v="&lt; 4 anos"/>
    <s v="Intermediário (1-4 anos)"/>
    <n v="3"/>
    <s v="feminino"/>
    <s v="divorciada/casada"/>
    <s v="nenhum"/>
    <n v="3"/>
    <s v="imovel"/>
    <n v="21"/>
    <s v="Jovem (18-25)"/>
    <s v="nenhum"/>
    <s v="aluguel"/>
    <n v="1"/>
    <s v="Func. Público/Qualificado"/>
    <n v="1"/>
    <s v="não"/>
    <s v="sim"/>
    <n v="2"/>
  </r>
  <r>
    <n v="726"/>
    <x v="0"/>
    <s v="sem conta corrente"/>
    <s v="sem conta no banco"/>
    <n v="6"/>
    <s v="conta critica / dividas com terceiros"/>
    <s v="carro novo"/>
    <n v="250"/>
    <s v="&gt;= 1000 $"/>
    <s v="Muito alto (&gt;1000$)"/>
    <s v="&lt; 4 anos"/>
    <s v="Intermediário (1-4 anos)"/>
    <n v="2"/>
    <s v="feminino"/>
    <s v="divorciada/casada"/>
    <s v="nenhum"/>
    <n v="2"/>
    <s v="imovel"/>
    <n v="41"/>
    <s v="Sénior (41-60)"/>
    <s v="banco"/>
    <s v="própria"/>
    <n v="2"/>
    <s v="Empregado Comum"/>
    <n v="1"/>
    <s v="não"/>
    <s v="sim"/>
    <n v="1"/>
  </r>
  <r>
    <n v="727"/>
    <x v="0"/>
    <s v="sem conta corrente"/>
    <s v="sem conta no banco"/>
    <n v="15"/>
    <s v="conta critica / dividas com terceiros"/>
    <s v="radio ou televisao"/>
    <n v="1316"/>
    <s v="&gt;= 500 &lt; 1000 $"/>
    <s v="Alto (500-1000 $)"/>
    <s v="&lt; 4 anos"/>
    <s v="Intermediário (1-4 anos)"/>
    <n v="2"/>
    <s v="masculino"/>
    <s v="casado/viuvo"/>
    <s v="nenhum"/>
    <n v="2"/>
    <s v="poupança ou seguro de vida"/>
    <n v="47"/>
    <s v="Sénior (41-60)"/>
    <s v="nenhum"/>
    <s v="própria"/>
    <n v="2"/>
    <s v="Empregado Comum"/>
    <n v="1"/>
    <s v="não"/>
    <s v="sim"/>
    <n v="1"/>
  </r>
  <r>
    <n v="728"/>
    <x v="1"/>
    <s v="&lt; 0 $"/>
    <s v="negativo/devedor"/>
    <n v="18"/>
    <s v="pgto em dia neste banco (em aberto)"/>
    <s v="radio ou televisao"/>
    <n v="1882"/>
    <s v="&lt; 100 $"/>
    <s v="Baixo (&lt; 100 $)"/>
    <s v="&lt; 4 anos"/>
    <s v="Intermediário (1-4 anos)"/>
    <n v="4"/>
    <s v="feminino"/>
    <s v="divorciada/casada"/>
    <s v="nenhum"/>
    <n v="4"/>
    <s v="carro ou outros-quitado"/>
    <n v="25"/>
    <s v="Adulto (26-40)"/>
    <s v="banco"/>
    <s v="aluguel"/>
    <n v="2"/>
    <s v="Func. Público/Qualificado"/>
    <n v="1"/>
    <s v="não"/>
    <s v="sim"/>
    <n v="2"/>
  </r>
  <r>
    <n v="729"/>
    <x v="1"/>
    <s v="&gt;= 0 &lt; 200 $"/>
    <s v="saldo baixo"/>
    <n v="48"/>
    <s v="pgto em dia neste banco (quitado)"/>
    <s v="negocios"/>
    <n v="6416"/>
    <s v="&lt; 100 $"/>
    <s v="Baixo (&lt; 100 $)"/>
    <s v="&gt;= 7 anos"/>
    <s v="Muito Estável (&gt; 7 anos)"/>
    <n v="4"/>
    <s v="feminino"/>
    <s v="divorciada/casada"/>
    <s v="nenhum"/>
    <n v="3"/>
    <s v="sem bens"/>
    <n v="59"/>
    <s v="Sénior (41-60)"/>
    <s v="nenhum"/>
    <s v="aluguel"/>
    <n v="1"/>
    <s v="Func. Público/Qualificado"/>
    <n v="1"/>
    <s v="não"/>
    <s v="sim"/>
    <n v="2"/>
  </r>
  <r>
    <n v="730"/>
    <x v="0"/>
    <s v="&gt;= 200 $"/>
    <s v="saldo saudável"/>
    <n v="24"/>
    <s v="conta critica / dividas com terceiros"/>
    <s v="negocios"/>
    <n v="1275"/>
    <s v="&gt;= 1000 $"/>
    <s v="Muito alto (&gt;1000$)"/>
    <s v="&lt; 4 anos"/>
    <s v="Intermediário (1-4 anos)"/>
    <n v="2"/>
    <s v="masculino"/>
    <s v="divorciado"/>
    <s v="nenhum"/>
    <n v="4"/>
    <s v="imovel"/>
    <n v="36"/>
    <s v="Adulto (26-40)"/>
    <s v="nenhum"/>
    <s v="própria"/>
    <n v="2"/>
    <s v="Func. Público/Qualificado"/>
    <n v="1"/>
    <s v="sim"/>
    <s v="sim"/>
    <n v="1"/>
  </r>
  <r>
    <n v="731"/>
    <x v="0"/>
    <s v="&gt;= 0 &lt; 200 $"/>
    <s v="saldo baixo"/>
    <n v="24"/>
    <s v="pgto em atraso no passado"/>
    <s v="radio ou televisao"/>
    <n v="6403"/>
    <s v="&lt; 100 $"/>
    <s v="Baixo (&lt; 100 $)"/>
    <s v="&lt; 1 ano"/>
    <s v="Iniciante (&lt; 1 ano)"/>
    <n v="1"/>
    <s v="masculino"/>
    <s v="solteiro"/>
    <s v="nenhum"/>
    <n v="2"/>
    <s v="carro ou outros-quitado"/>
    <n v="33"/>
    <s v="Adulto (26-40)"/>
    <s v="nenhum"/>
    <s v="própria"/>
    <n v="1"/>
    <s v="Func. Público/Qualificado"/>
    <n v="1"/>
    <s v="não"/>
    <s v="sim"/>
    <n v="1"/>
  </r>
  <r>
    <n v="732"/>
    <x v="1"/>
    <s v="&lt; 0 $"/>
    <s v="negativo/devedor"/>
    <n v="24"/>
    <s v="pgto em dia neste banco (em aberto)"/>
    <s v="radio ou televisao"/>
    <n v="1987"/>
    <s v="&lt; 100 $"/>
    <s v="Baixo (&lt; 100 $)"/>
    <s v="&lt; 4 anos"/>
    <s v="Intermediário (1-4 anos)"/>
    <n v="2"/>
    <s v="masculino"/>
    <s v="solteiro"/>
    <s v="nenhum"/>
    <n v="4"/>
    <s v="imovel"/>
    <n v="21"/>
    <s v="Jovem (18-25)"/>
    <s v="nenhum"/>
    <s v="aluguel"/>
    <n v="1"/>
    <s v="Empregado Comum"/>
    <n v="2"/>
    <s v="não"/>
    <s v="sim"/>
    <n v="2"/>
  </r>
  <r>
    <n v="733"/>
    <x v="0"/>
    <s v="&gt;= 0 &lt; 200 $"/>
    <s v="saldo baixo"/>
    <n v="8"/>
    <s v="pgto em dia neste banco (em aberto)"/>
    <s v="radio ou televisao"/>
    <n v="760"/>
    <s v="&lt; 100 $"/>
    <s v="Baixo (&lt; 100 $)"/>
    <s v="&lt; 7 anos"/>
    <s v="Estável (4-7 anos)"/>
    <n v="4"/>
    <s v="feminino"/>
    <s v="divorciada/casada"/>
    <s v="garantidor"/>
    <n v="2"/>
    <s v="imovel"/>
    <n v="44"/>
    <s v="Sénior (41-60)"/>
    <s v="nenhum"/>
    <s v="própria"/>
    <n v="1"/>
    <s v="Empregado Comum"/>
    <n v="1"/>
    <s v="não"/>
    <s v="sim"/>
    <n v="1"/>
  </r>
  <r>
    <n v="734"/>
    <x v="0"/>
    <s v="sem conta corrente"/>
    <s v="sem conta no banco"/>
    <n v="24"/>
    <s v="pgto em dia neste banco (em aberto)"/>
    <s v="carro usado"/>
    <n v="2603"/>
    <s v="&gt;= 1000 $"/>
    <s v="Muito alto (&gt;1000$)"/>
    <s v="&lt; 4 anos"/>
    <s v="Intermediário (1-4 anos)"/>
    <n v="2"/>
    <s v="feminino"/>
    <s v="divorciada/casada"/>
    <s v="nenhum"/>
    <n v="4"/>
    <s v="carro ou outros-quitado"/>
    <n v="28"/>
    <s v="Adulto (26-40)"/>
    <s v="nenhum"/>
    <s v="aluguel"/>
    <n v="1"/>
    <s v="Func. Público/Qualificado"/>
    <n v="1"/>
    <s v="sim"/>
    <s v="sim"/>
    <n v="1"/>
  </r>
  <r>
    <n v="735"/>
    <x v="0"/>
    <s v="sem conta corrente"/>
    <s v="sem conta no banco"/>
    <n v="4"/>
    <s v="conta critica / dividas com terceiros"/>
    <s v="carro novo"/>
    <n v="3380"/>
    <s v="&lt; 100 $"/>
    <s v="Baixo (&lt; 100 $)"/>
    <s v="&lt; 7 anos"/>
    <s v="Estável (4-7 anos)"/>
    <n v="1"/>
    <s v="feminino"/>
    <s v="divorciada/casada"/>
    <s v="nenhum"/>
    <n v="1"/>
    <s v="imovel"/>
    <n v="37"/>
    <s v="Adulto (26-40)"/>
    <s v="nenhum"/>
    <s v="própria"/>
    <n v="1"/>
    <s v="Func. Público/Qualificado"/>
    <n v="2"/>
    <s v="não"/>
    <s v="sim"/>
    <n v="1"/>
  </r>
  <r>
    <n v="736"/>
    <x v="0"/>
    <s v="&gt;= 0 &lt; 200 $"/>
    <s v="saldo baixo"/>
    <n v="36"/>
    <s v="pgto em dia neste banco (quitado)"/>
    <s v="eletrodomesticos"/>
    <n v="3990"/>
    <s v="sem poupança"/>
    <s v="sem poupança"/>
    <s v="&lt; 1 ano"/>
    <s v="Iniciante (&lt; 1 ano)"/>
    <n v="3"/>
    <s v="feminino"/>
    <s v="divorciada/casada"/>
    <s v="nenhum"/>
    <n v="2"/>
    <s v="sem bens"/>
    <n v="29"/>
    <s v="Adulto (26-40)"/>
    <s v="banco"/>
    <s v="própria"/>
    <n v="1"/>
    <s v="Não qualificado/Desempregado"/>
    <n v="1"/>
    <s v="não"/>
    <s v="sim"/>
    <n v="1"/>
  </r>
  <r>
    <n v="737"/>
    <x v="1"/>
    <s v="&gt;= 0 &lt; 200 $"/>
    <s v="saldo baixo"/>
    <n v="24"/>
    <s v="pgto em dia neste banco (em aberto)"/>
    <s v="carro usado"/>
    <n v="11560"/>
    <s v="&lt; 100 $"/>
    <s v="Baixo (&lt; 100 $)"/>
    <s v="&lt; 4 anos"/>
    <s v="Intermediário (1-4 anos)"/>
    <n v="1"/>
    <s v="feminino"/>
    <s v="divorciada/casada"/>
    <s v="nenhum"/>
    <n v="4"/>
    <s v="carro ou outros-quitado"/>
    <n v="23"/>
    <s v="Jovem (18-25)"/>
    <s v="nenhum"/>
    <s v="aluguel"/>
    <n v="2"/>
    <s v="Executivo/Empresário"/>
    <n v="1"/>
    <s v="não"/>
    <s v="sim"/>
    <n v="2"/>
  </r>
  <r>
    <n v="738"/>
    <x v="0"/>
    <s v="&lt; 0 $"/>
    <s v="negativo/devedor"/>
    <n v="18"/>
    <s v="pgto em dia neste banco (em aberto)"/>
    <s v="carro novo"/>
    <n v="4380"/>
    <s v="&gt;= 100 &lt; 500 $"/>
    <s v="Médio (100-500$)"/>
    <s v="&lt; 4 anos"/>
    <s v="Intermediário (1-4 anos)"/>
    <n v="3"/>
    <s v="masculino"/>
    <s v="solteiro"/>
    <s v="nenhum"/>
    <n v="4"/>
    <s v="carro ou outros-quitado"/>
    <n v="35"/>
    <s v="Adulto (26-40)"/>
    <s v="nenhum"/>
    <s v="própria"/>
    <n v="1"/>
    <s v="Empregado Comum"/>
    <n v="2"/>
    <s v="sim"/>
    <s v="sim"/>
    <n v="1"/>
  </r>
  <r>
    <n v="739"/>
    <x v="0"/>
    <s v="sem conta corrente"/>
    <s v="sem conta no banco"/>
    <n v="6"/>
    <s v="conta critica / dividas com terceiros"/>
    <s v="carro novo"/>
    <n v="6761"/>
    <s v="&lt; 100 $"/>
    <s v="Baixo (&lt; 100 $)"/>
    <s v="&lt; 7 anos"/>
    <s v="Estável (4-7 anos)"/>
    <n v="1"/>
    <s v="masculino"/>
    <s v="solteiro"/>
    <s v="nenhum"/>
    <n v="3"/>
    <s v="sem bens"/>
    <n v="45"/>
    <s v="Sénior (41-60)"/>
    <s v="nenhum"/>
    <s v="própria"/>
    <n v="2"/>
    <s v="Executivo/Empresário"/>
    <n v="2"/>
    <s v="sim"/>
    <s v="sim"/>
    <n v="1"/>
  </r>
  <r>
    <n v="740"/>
    <x v="1"/>
    <s v="&gt;= 0 &lt; 200 $"/>
    <s v="saldo baixo"/>
    <n v="30"/>
    <s v="nenhum/pgto em dia"/>
    <s v="negocios"/>
    <n v="4280"/>
    <s v="&gt;= 100 &lt; 500 $"/>
    <s v="Médio (100-500$)"/>
    <s v="&lt; 4 anos"/>
    <s v="Intermediário (1-4 anos)"/>
    <n v="4"/>
    <s v="feminino"/>
    <s v="divorciada/casada"/>
    <s v="nenhum"/>
    <n v="4"/>
    <s v="carro ou outros-quitado"/>
    <n v="26"/>
    <s v="Adulto (26-40)"/>
    <s v="nenhum"/>
    <s v="aluguel"/>
    <n v="2"/>
    <s v="Empregado Comum"/>
    <n v="1"/>
    <s v="não"/>
    <s v="sim"/>
    <n v="2"/>
  </r>
  <r>
    <n v="741"/>
    <x v="0"/>
    <s v="&lt; 0 $"/>
    <s v="negativo/devedor"/>
    <n v="24"/>
    <s v="pgto em dia neste banco (quitado)"/>
    <s v="carro novo"/>
    <n v="2325"/>
    <s v="&gt;= 100 &lt; 500 $"/>
    <s v="Médio (100-500$)"/>
    <s v="&lt; 7 anos"/>
    <s v="Estável (4-7 anos)"/>
    <n v="2"/>
    <s v="masculino"/>
    <s v="solteiro"/>
    <s v="nenhum"/>
    <n v="3"/>
    <s v="carro ou outros-quitado"/>
    <n v="32"/>
    <s v="Adulto (26-40)"/>
    <s v="banco"/>
    <s v="própria"/>
    <n v="1"/>
    <s v="Func. Público/Qualificado"/>
    <n v="1"/>
    <s v="não"/>
    <s v="sim"/>
    <n v="1"/>
  </r>
  <r>
    <n v="742"/>
    <x v="0"/>
    <s v="&gt;= 0 &lt; 200 $"/>
    <s v="saldo baixo"/>
    <n v="10"/>
    <s v="pgto em dia neste banco (quitado)"/>
    <s v="radio ou televisao"/>
    <n v="1048"/>
    <s v="&lt; 100 $"/>
    <s v="Baixo (&lt; 100 $)"/>
    <s v="&lt; 4 anos"/>
    <s v="Intermediário (1-4 anos)"/>
    <n v="4"/>
    <s v="masculino"/>
    <s v="solteiro"/>
    <s v="nenhum"/>
    <n v="4"/>
    <s v="imovel"/>
    <n v="23"/>
    <s v="Jovem (18-25)"/>
    <s v="loja"/>
    <s v="própria"/>
    <n v="1"/>
    <s v="Empregado Comum"/>
    <n v="1"/>
    <s v="não"/>
    <s v="sim"/>
    <n v="1"/>
  </r>
  <r>
    <n v="743"/>
    <x v="0"/>
    <s v="sem conta corrente"/>
    <s v="sem conta no banco"/>
    <n v="21"/>
    <s v="pgto em dia neste banco (em aberto)"/>
    <s v="radio ou televisao"/>
    <n v="3160"/>
    <s v="sem poupança"/>
    <s v="sem poupança"/>
    <s v="&gt;= 7 anos"/>
    <s v="Muito Estável (&gt; 7 anos)"/>
    <n v="4"/>
    <s v="masculino"/>
    <s v="solteiro"/>
    <s v="nenhum"/>
    <n v="3"/>
    <s v="poupança ou seguro de vida"/>
    <n v="41"/>
    <s v="Sénior (41-60)"/>
    <s v="nenhum"/>
    <s v="própria"/>
    <n v="1"/>
    <s v="Func. Público/Qualificado"/>
    <n v="1"/>
    <s v="sim"/>
    <s v="sim"/>
    <n v="1"/>
  </r>
  <r>
    <n v="744"/>
    <x v="0"/>
    <s v="&lt; 0 $"/>
    <s v="negativo/devedor"/>
    <n v="24"/>
    <s v="pgto em dia neste banco (quitado)"/>
    <s v="moveis e equipamentos"/>
    <n v="2483"/>
    <s v="&gt;= 500 &lt; 1000 $"/>
    <s v="Alto (500-1000 $)"/>
    <s v="&lt; 4 anos"/>
    <s v="Intermediário (1-4 anos)"/>
    <n v="4"/>
    <s v="masculino"/>
    <s v="solteiro"/>
    <s v="nenhum"/>
    <n v="4"/>
    <s v="imovel"/>
    <n v="22"/>
    <s v="Jovem (18-25)"/>
    <s v="loja"/>
    <s v="própria"/>
    <n v="1"/>
    <s v="Func. Público/Qualificado"/>
    <n v="1"/>
    <s v="sim"/>
    <s v="sim"/>
    <n v="1"/>
  </r>
  <r>
    <n v="745"/>
    <x v="0"/>
    <s v="&lt; 0 $"/>
    <s v="negativo/devedor"/>
    <n v="39"/>
    <s v="conta critica / dividas com terceiros"/>
    <s v="moveis e equipamentos"/>
    <n v="14179"/>
    <s v="sem poupança"/>
    <s v="sem poupança"/>
    <s v="&lt; 7 anos"/>
    <s v="Estável (4-7 anos)"/>
    <n v="4"/>
    <s v="masculino"/>
    <s v="solteiro"/>
    <s v="nenhum"/>
    <n v="4"/>
    <s v="poupança ou seguro de vida"/>
    <n v="30"/>
    <s v="Adulto (26-40)"/>
    <s v="nenhum"/>
    <s v="própria"/>
    <n v="2"/>
    <s v="Executivo/Empresário"/>
    <n v="1"/>
    <s v="sim"/>
    <s v="sim"/>
    <n v="1"/>
  </r>
  <r>
    <n v="746"/>
    <x v="0"/>
    <s v="&lt; 0 $"/>
    <s v="negativo/devedor"/>
    <n v="13"/>
    <s v="conta critica / dividas com terceiros"/>
    <s v="negocios"/>
    <n v="1797"/>
    <s v="&lt; 100 $"/>
    <s v="Baixo (&lt; 100 $)"/>
    <s v="&lt; 1 ano"/>
    <s v="Iniciante (&lt; 1 ano)"/>
    <n v="3"/>
    <s v="masculino"/>
    <s v="solteiro"/>
    <s v="nenhum"/>
    <n v="1"/>
    <s v="poupança ou seguro de vida"/>
    <n v="28"/>
    <s v="Adulto (26-40)"/>
    <s v="banco"/>
    <s v="própria"/>
    <n v="2"/>
    <s v="Empregado Comum"/>
    <n v="1"/>
    <s v="não"/>
    <s v="sim"/>
    <n v="1"/>
  </r>
  <r>
    <n v="747"/>
    <x v="0"/>
    <s v="&lt; 0 $"/>
    <s v="negativo/devedor"/>
    <n v="15"/>
    <s v="pgto em dia neste banco (em aberto)"/>
    <s v="carro novo"/>
    <n v="2511"/>
    <s v="&lt; 100 $"/>
    <s v="Baixo (&lt; 100 $)"/>
    <s v="desempregado"/>
    <s v="desempregado"/>
    <n v="1"/>
    <s v="feminino"/>
    <s v="divorciada/casada"/>
    <s v="nenhum"/>
    <n v="4"/>
    <s v="carro ou outros-quitado"/>
    <n v="23"/>
    <s v="Jovem (18-25)"/>
    <s v="nenhum"/>
    <s v="aluguel"/>
    <n v="1"/>
    <s v="Func. Público/Qualificado"/>
    <n v="1"/>
    <s v="não"/>
    <s v="sim"/>
    <n v="1"/>
  </r>
  <r>
    <n v="748"/>
    <x v="1"/>
    <s v="&lt; 0 $"/>
    <s v="negativo/devedor"/>
    <n v="12"/>
    <s v="pgto em dia neste banco (em aberto)"/>
    <s v="carro novo"/>
    <n v="1274"/>
    <s v="&lt; 100 $"/>
    <s v="Baixo (&lt; 100 $)"/>
    <s v="&lt; 1 ano"/>
    <s v="Iniciante (&lt; 1 ano)"/>
    <n v="3"/>
    <s v="feminino"/>
    <s v="divorciada/casada"/>
    <s v="nenhum"/>
    <n v="1"/>
    <s v="imovel"/>
    <n v="37"/>
    <s v="Adulto (26-40)"/>
    <s v="nenhum"/>
    <s v="própria"/>
    <n v="1"/>
    <s v="Empregado Comum"/>
    <n v="1"/>
    <s v="não"/>
    <s v="sim"/>
    <n v="2"/>
  </r>
  <r>
    <n v="749"/>
    <x v="0"/>
    <s v="sem conta corrente"/>
    <s v="sem conta no banco"/>
    <n v="21"/>
    <s v="pgto em dia neste banco (em aberto)"/>
    <s v="carro usado"/>
    <n v="5248"/>
    <s v="sem poupança"/>
    <s v="sem poupança"/>
    <s v="&lt; 4 anos"/>
    <s v="Intermediário (1-4 anos)"/>
    <n v="1"/>
    <s v="masculino"/>
    <s v="solteiro"/>
    <s v="nenhum"/>
    <n v="3"/>
    <s v="carro ou outros-quitado"/>
    <n v="26"/>
    <s v="Adulto (26-40)"/>
    <s v="nenhum"/>
    <s v="própria"/>
    <n v="1"/>
    <s v="Func. Público/Qualificado"/>
    <n v="1"/>
    <s v="não"/>
    <s v="sim"/>
    <n v="1"/>
  </r>
  <r>
    <n v="750"/>
    <x v="0"/>
    <s v="sem conta corrente"/>
    <s v="sem conta no banco"/>
    <n v="15"/>
    <s v="pgto em dia neste banco (em aberto)"/>
    <s v="carro usado"/>
    <n v="3029"/>
    <s v="&lt; 100 $"/>
    <s v="Baixo (&lt; 100 $)"/>
    <s v="&lt; 7 anos"/>
    <s v="Estável (4-7 anos)"/>
    <n v="2"/>
    <s v="masculino"/>
    <s v="solteiro"/>
    <s v="nenhum"/>
    <n v="2"/>
    <s v="carro ou outros-quitado"/>
    <n v="33"/>
    <s v="Adulto (26-40)"/>
    <s v="nenhum"/>
    <s v="própria"/>
    <n v="1"/>
    <s v="Func. Público/Qualificado"/>
    <n v="1"/>
    <s v="não"/>
    <s v="sim"/>
    <n v="1"/>
  </r>
  <r>
    <n v="751"/>
    <x v="0"/>
    <s v="&lt; 0 $"/>
    <s v="negativo/devedor"/>
    <n v="6"/>
    <s v="pgto em dia neste banco (em aberto)"/>
    <s v="moveis e equipamentos"/>
    <n v="428"/>
    <s v="&lt; 100 $"/>
    <s v="Baixo (&lt; 100 $)"/>
    <s v="&gt;= 7 anos"/>
    <s v="Muito Estável (&gt; 7 anos)"/>
    <n v="2"/>
    <s v="feminino"/>
    <s v="divorciada/casada"/>
    <s v="nenhum"/>
    <n v="1"/>
    <s v="poupança ou seguro de vida"/>
    <n v="49"/>
    <s v="Sénior (41-60)"/>
    <s v="banco"/>
    <s v="própria"/>
    <n v="1"/>
    <s v="Func. Público/Qualificado"/>
    <n v="1"/>
    <s v="sim"/>
    <s v="sim"/>
    <n v="1"/>
  </r>
  <r>
    <n v="752"/>
    <x v="1"/>
    <s v="&lt; 0 $"/>
    <s v="negativo/devedor"/>
    <n v="18"/>
    <s v="pgto em dia neste banco (em aberto)"/>
    <s v="carro novo"/>
    <n v="976"/>
    <s v="&lt; 100 $"/>
    <s v="Baixo (&lt; 100 $)"/>
    <s v="&lt; 1 ano"/>
    <s v="Iniciante (&lt; 1 ano)"/>
    <n v="1"/>
    <s v="feminino"/>
    <s v="divorciada/casada"/>
    <s v="nenhum"/>
    <n v="2"/>
    <s v="carro ou outros-quitado"/>
    <n v="23"/>
    <s v="Jovem (18-25)"/>
    <s v="nenhum"/>
    <s v="própria"/>
    <n v="1"/>
    <s v="Empregado Comum"/>
    <n v="1"/>
    <s v="não"/>
    <s v="sim"/>
    <n v="2"/>
  </r>
  <r>
    <n v="753"/>
    <x v="0"/>
    <s v="&gt;= 0 &lt; 200 $"/>
    <s v="saldo baixo"/>
    <n v="12"/>
    <s v="pgto em dia neste banco (em aberto)"/>
    <s v="negocios"/>
    <n v="841"/>
    <s v="&gt;= 100 &lt; 500 $"/>
    <s v="Médio (100-500$)"/>
    <s v="&lt; 7 anos"/>
    <s v="Estável (4-7 anos)"/>
    <n v="2"/>
    <s v="feminino"/>
    <s v="divorciada/casada"/>
    <s v="nenhum"/>
    <n v="4"/>
    <s v="imovel"/>
    <n v="23"/>
    <s v="Jovem (18-25)"/>
    <s v="nenhum"/>
    <s v="aluguel"/>
    <n v="1"/>
    <s v="Empregado Comum"/>
    <n v="1"/>
    <s v="não"/>
    <s v="sim"/>
    <n v="1"/>
  </r>
  <r>
    <n v="754"/>
    <x v="0"/>
    <s v="sem conta corrente"/>
    <s v="sem conta no banco"/>
    <n v="30"/>
    <s v="conta critica / dividas com terceiros"/>
    <s v="radio ou televisao"/>
    <n v="5771"/>
    <s v="&lt; 100 $"/>
    <s v="Baixo (&lt; 100 $)"/>
    <s v="&lt; 7 anos"/>
    <s v="Estável (4-7 anos)"/>
    <n v="4"/>
    <s v="feminino"/>
    <s v="divorciada/casada"/>
    <s v="nenhum"/>
    <n v="2"/>
    <s v="carro ou outros-quitado"/>
    <n v="25"/>
    <s v="Adulto (26-40)"/>
    <s v="nenhum"/>
    <s v="própria"/>
    <n v="2"/>
    <s v="Func. Público/Qualificado"/>
    <n v="1"/>
    <s v="não"/>
    <s v="sim"/>
    <n v="1"/>
  </r>
  <r>
    <n v="755"/>
    <x v="1"/>
    <s v="sem conta corrente"/>
    <s v="sem conta no banco"/>
    <n v="12"/>
    <s v="pgto em atraso no passado"/>
    <s v="reparos"/>
    <n v="1555"/>
    <s v="&gt;= 1000 $"/>
    <s v="Muito alto (&gt;1000$)"/>
    <s v="&gt;= 7 anos"/>
    <s v="Muito Estável (&gt; 7 anos)"/>
    <n v="4"/>
    <s v="masculino"/>
    <s v="solteiro"/>
    <s v="nenhum"/>
    <n v="4"/>
    <s v="sem bens"/>
    <n v="55"/>
    <s v="Sénior (41-60)"/>
    <s v="nenhum"/>
    <s v="gratuita"/>
    <n v="2"/>
    <s v="Func. Público/Qualificado"/>
    <n v="2"/>
    <s v="não"/>
    <s v="sim"/>
    <n v="2"/>
  </r>
  <r>
    <n v="756"/>
    <x v="1"/>
    <s v="&lt; 0 $"/>
    <s v="negativo/devedor"/>
    <n v="24"/>
    <s v="pgto em dia neste banco (em aberto)"/>
    <s v="carro novo"/>
    <n v="1285"/>
    <s v="sem poupança"/>
    <s v="sem poupança"/>
    <s v="&lt; 7 anos"/>
    <s v="Estável (4-7 anos)"/>
    <n v="4"/>
    <s v="feminino"/>
    <s v="divorciada/casada"/>
    <s v="nenhum"/>
    <n v="4"/>
    <s v="sem bens"/>
    <n v="32"/>
    <s v="Adulto (26-40)"/>
    <s v="nenhum"/>
    <s v="aluguel"/>
    <n v="1"/>
    <s v="Func. Público/Qualificado"/>
    <n v="1"/>
    <s v="não"/>
    <s v="sim"/>
    <n v="2"/>
  </r>
  <r>
    <n v="757"/>
    <x v="0"/>
    <s v="&gt;= 200 $"/>
    <s v="saldo saudável"/>
    <n v="6"/>
    <s v="conta critica / dividas com terceiros"/>
    <s v="carro novo"/>
    <n v="1299"/>
    <s v="&lt; 100 $"/>
    <s v="Baixo (&lt; 100 $)"/>
    <s v="&lt; 4 anos"/>
    <s v="Intermediário (1-4 anos)"/>
    <n v="1"/>
    <s v="masculino"/>
    <s v="solteiro"/>
    <s v="nenhum"/>
    <n v="1"/>
    <s v="imovel"/>
    <n v="74"/>
    <s v="Idoso (60+)"/>
    <s v="nenhum"/>
    <s v="própria"/>
    <n v="3"/>
    <s v="Não qualificado/Desempregado"/>
    <n v="2"/>
    <s v="não"/>
    <s v="não"/>
    <n v="1"/>
  </r>
  <r>
    <n v="758"/>
    <x v="1"/>
    <s v="&gt;= 200 $"/>
    <s v="saldo saudável"/>
    <n v="15"/>
    <s v="conta critica / dividas com terceiros"/>
    <s v="radio ou televisao"/>
    <n v="1271"/>
    <s v="sem poupança"/>
    <s v="sem poupança"/>
    <s v="&lt; 4 anos"/>
    <s v="Intermediário (1-4 anos)"/>
    <n v="3"/>
    <s v="masculino"/>
    <s v="solteiro"/>
    <s v="nenhum"/>
    <n v="4"/>
    <s v="sem bens"/>
    <n v="39"/>
    <s v="Adulto (26-40)"/>
    <s v="nenhum"/>
    <s v="gratuita"/>
    <n v="2"/>
    <s v="Func. Público/Qualificado"/>
    <n v="1"/>
    <s v="sim"/>
    <s v="sim"/>
    <n v="2"/>
  </r>
  <r>
    <n v="759"/>
    <x v="0"/>
    <s v="sem conta corrente"/>
    <s v="sem conta no banco"/>
    <n v="24"/>
    <s v="pgto em dia neste banco (em aberto)"/>
    <s v="carro novo"/>
    <n v="1393"/>
    <s v="&lt; 100 $"/>
    <s v="Baixo (&lt; 100 $)"/>
    <s v="&lt; 4 anos"/>
    <s v="Intermediário (1-4 anos)"/>
    <n v="2"/>
    <s v="masculino"/>
    <s v="solteiro"/>
    <s v="garantidor"/>
    <n v="2"/>
    <s v="imovel"/>
    <n v="31"/>
    <s v="Adulto (26-40)"/>
    <s v="nenhum"/>
    <s v="própria"/>
    <n v="1"/>
    <s v="Func. Público/Qualificado"/>
    <n v="1"/>
    <s v="sim"/>
    <s v="sim"/>
    <n v="1"/>
  </r>
  <r>
    <n v="760"/>
    <x v="1"/>
    <s v="&lt; 0 $"/>
    <s v="negativo/devedor"/>
    <n v="12"/>
    <s v="conta critica / dividas com terceiros"/>
    <s v="carro novo"/>
    <n v="691"/>
    <s v="&lt; 100 $"/>
    <s v="Baixo (&lt; 100 $)"/>
    <s v="&gt;= 7 anos"/>
    <s v="Muito Estável (&gt; 7 anos)"/>
    <n v="4"/>
    <s v="masculino"/>
    <s v="solteiro"/>
    <s v="nenhum"/>
    <n v="3"/>
    <s v="poupança ou seguro de vida"/>
    <n v="35"/>
    <s v="Adulto (26-40)"/>
    <s v="nenhum"/>
    <s v="própria"/>
    <n v="2"/>
    <s v="Func. Público/Qualificado"/>
    <n v="1"/>
    <s v="não"/>
    <s v="sim"/>
    <n v="2"/>
  </r>
  <r>
    <n v="761"/>
    <x v="0"/>
    <s v="sem conta corrente"/>
    <s v="sem conta no banco"/>
    <n v="15"/>
    <s v="conta critica / dividas com terceiros"/>
    <s v="carro novo"/>
    <n v="5045"/>
    <s v="sem poupança"/>
    <s v="sem poupança"/>
    <s v="&gt;= 7 anos"/>
    <s v="Muito Estável (&gt; 7 anos)"/>
    <n v="1"/>
    <s v="feminino"/>
    <s v="divorciada/casada"/>
    <s v="nenhum"/>
    <n v="4"/>
    <s v="carro ou outros-quitado"/>
    <n v="59"/>
    <s v="Sénior (41-60)"/>
    <s v="nenhum"/>
    <s v="própria"/>
    <n v="1"/>
    <s v="Func. Público/Qualificado"/>
    <n v="1"/>
    <s v="sim"/>
    <s v="sim"/>
    <n v="1"/>
  </r>
  <r>
    <n v="762"/>
    <x v="1"/>
    <s v="&lt; 0 $"/>
    <s v="negativo/devedor"/>
    <n v="18"/>
    <s v="conta critica / dividas com terceiros"/>
    <s v="moveis e equipamentos"/>
    <n v="2124"/>
    <s v="&lt; 100 $"/>
    <s v="Baixo (&lt; 100 $)"/>
    <s v="&lt; 4 anos"/>
    <s v="Intermediário (1-4 anos)"/>
    <n v="4"/>
    <s v="feminino"/>
    <s v="divorciada/casada"/>
    <s v="nenhum"/>
    <n v="4"/>
    <s v="imovel"/>
    <n v="24"/>
    <s v="Jovem (18-25)"/>
    <s v="nenhum"/>
    <s v="aluguel"/>
    <n v="2"/>
    <s v="Func. Público/Qualificado"/>
    <n v="1"/>
    <s v="não"/>
    <s v="sim"/>
    <n v="2"/>
  </r>
  <r>
    <n v="763"/>
    <x v="0"/>
    <s v="&lt; 0 $"/>
    <s v="negativo/devedor"/>
    <n v="12"/>
    <s v="pgto em dia neste banco (em aberto)"/>
    <s v="radio ou televisao"/>
    <n v="2214"/>
    <s v="&lt; 100 $"/>
    <s v="Baixo (&lt; 100 $)"/>
    <s v="&lt; 4 anos"/>
    <s v="Intermediário (1-4 anos)"/>
    <n v="4"/>
    <s v="masculino"/>
    <s v="solteiro"/>
    <s v="nenhum"/>
    <n v="3"/>
    <s v="poupança ou seguro de vida"/>
    <n v="24"/>
    <s v="Jovem (18-25)"/>
    <s v="nenhum"/>
    <s v="própria"/>
    <n v="1"/>
    <s v="Empregado Comum"/>
    <n v="1"/>
    <s v="não"/>
    <s v="sim"/>
    <n v="1"/>
  </r>
  <r>
    <n v="764"/>
    <x v="1"/>
    <s v="sem conta corrente"/>
    <s v="sem conta no banco"/>
    <n v="21"/>
    <s v="conta critica / dividas com terceiros"/>
    <s v="carro novo"/>
    <n v="12680"/>
    <s v="sem poupança"/>
    <s v="sem poupança"/>
    <s v="&gt;= 7 anos"/>
    <s v="Muito Estável (&gt; 7 anos)"/>
    <n v="4"/>
    <s v="masculino"/>
    <s v="solteiro"/>
    <s v="nenhum"/>
    <n v="4"/>
    <s v="sem bens"/>
    <n v="30"/>
    <s v="Adulto (26-40)"/>
    <s v="nenhum"/>
    <s v="gratuita"/>
    <n v="1"/>
    <s v="Executivo/Empresário"/>
    <n v="1"/>
    <s v="sim"/>
    <s v="sim"/>
    <n v="2"/>
  </r>
  <r>
    <n v="765"/>
    <x v="0"/>
    <s v="sem conta corrente"/>
    <s v="sem conta no banco"/>
    <n v="24"/>
    <s v="conta critica / dividas com terceiros"/>
    <s v="carro novo"/>
    <n v="2463"/>
    <s v="&gt;= 100 &lt; 500 $"/>
    <s v="Médio (100-500$)"/>
    <s v="&lt; 7 anos"/>
    <s v="Estável (4-7 anos)"/>
    <n v="4"/>
    <s v="masculino"/>
    <s v="casado/viuvo"/>
    <s v="nenhum"/>
    <n v="3"/>
    <s v="poupança ou seguro de vida"/>
    <n v="27"/>
    <s v="Adulto (26-40)"/>
    <s v="nenhum"/>
    <s v="própria"/>
    <n v="2"/>
    <s v="Func. Público/Qualificado"/>
    <n v="1"/>
    <s v="sim"/>
    <s v="sim"/>
    <n v="1"/>
  </r>
  <r>
    <n v="766"/>
    <x v="0"/>
    <s v="&gt;= 0 &lt; 200 $"/>
    <s v="saldo baixo"/>
    <n v="12"/>
    <s v="pgto em dia neste banco (em aberto)"/>
    <s v="radio ou televisao"/>
    <n v="1155"/>
    <s v="&lt; 100 $"/>
    <s v="Baixo (&lt; 100 $)"/>
    <s v="&gt;= 7 anos"/>
    <s v="Muito Estável (&gt; 7 anos)"/>
    <n v="3"/>
    <s v="masculino"/>
    <s v="casado/viuvo"/>
    <s v="garantidor"/>
    <n v="3"/>
    <s v="imovel"/>
    <n v="40"/>
    <s v="Sénior (41-60)"/>
    <s v="banco"/>
    <s v="própria"/>
    <n v="2"/>
    <s v="Empregado Comum"/>
    <n v="1"/>
    <s v="não"/>
    <s v="sim"/>
    <n v="1"/>
  </r>
  <r>
    <n v="767"/>
    <x v="1"/>
    <s v="&lt; 0 $"/>
    <s v="negativo/devedor"/>
    <n v="30"/>
    <s v="pgto em dia neste banco (em aberto)"/>
    <s v="moveis e equipamentos"/>
    <n v="3108"/>
    <s v="&lt; 100 $"/>
    <s v="Baixo (&lt; 100 $)"/>
    <s v="&lt; 1 ano"/>
    <s v="Iniciante (&lt; 1 ano)"/>
    <n v="2"/>
    <s v="masculino"/>
    <s v="divorciado"/>
    <s v="nenhum"/>
    <n v="4"/>
    <s v="poupança ou seguro de vida"/>
    <n v="31"/>
    <s v="Adulto (26-40)"/>
    <s v="nenhum"/>
    <s v="própria"/>
    <n v="1"/>
    <s v="Empregado Comum"/>
    <n v="1"/>
    <s v="não"/>
    <s v="sim"/>
    <n v="2"/>
  </r>
  <r>
    <n v="768"/>
    <x v="0"/>
    <s v="sem conta corrente"/>
    <s v="sem conta no banco"/>
    <n v="10"/>
    <s v="pgto em dia neste banco (em aberto)"/>
    <s v="carro usado"/>
    <n v="2901"/>
    <s v="sem poupança"/>
    <s v="sem poupança"/>
    <s v="&lt; 1 ano"/>
    <s v="Iniciante (&lt; 1 ano)"/>
    <n v="1"/>
    <s v="feminino"/>
    <s v="divorciada/casada"/>
    <s v="nenhum"/>
    <n v="4"/>
    <s v="imovel"/>
    <n v="31"/>
    <s v="Adulto (26-40)"/>
    <s v="nenhum"/>
    <s v="aluguel"/>
    <n v="1"/>
    <s v="Func. Público/Qualificado"/>
    <n v="1"/>
    <s v="não"/>
    <s v="sim"/>
    <n v="1"/>
  </r>
  <r>
    <n v="769"/>
    <x v="0"/>
    <s v="&gt;= 0 &lt; 200 $"/>
    <s v="saldo baixo"/>
    <n v="12"/>
    <s v="conta critica / dividas com terceiros"/>
    <s v="moveis e equipamentos"/>
    <n v="3617"/>
    <s v="&lt; 100 $"/>
    <s v="Baixo (&lt; 100 $)"/>
    <s v="&gt;= 7 anos"/>
    <s v="Muito Estável (&gt; 7 anos)"/>
    <n v="1"/>
    <s v="masculino"/>
    <s v="solteiro"/>
    <s v="nenhum"/>
    <n v="4"/>
    <s v="carro ou outros-quitado"/>
    <n v="28"/>
    <s v="Adulto (26-40)"/>
    <s v="nenhum"/>
    <s v="aluguel"/>
    <n v="3"/>
    <s v="Func. Público/Qualificado"/>
    <n v="1"/>
    <s v="sim"/>
    <s v="sim"/>
    <n v="1"/>
  </r>
  <r>
    <n v="770"/>
    <x v="0"/>
    <s v="sem conta corrente"/>
    <s v="sem conta no banco"/>
    <n v="12"/>
    <s v="conta critica / dividas com terceiros"/>
    <s v="radio ou televisao"/>
    <n v="1655"/>
    <s v="&lt; 100 $"/>
    <s v="Baixo (&lt; 100 $)"/>
    <s v="&gt;= 7 anos"/>
    <s v="Muito Estável (&gt; 7 anos)"/>
    <n v="2"/>
    <s v="masculino"/>
    <s v="solteiro"/>
    <s v="nenhum"/>
    <n v="4"/>
    <s v="imovel"/>
    <n v="63"/>
    <s v="Idoso (60+)"/>
    <s v="nenhum"/>
    <s v="própria"/>
    <n v="2"/>
    <s v="Empregado Comum"/>
    <n v="1"/>
    <s v="sim"/>
    <s v="sim"/>
    <n v="1"/>
  </r>
  <r>
    <n v="771"/>
    <x v="0"/>
    <s v="&lt; 0 $"/>
    <s v="negativo/devedor"/>
    <n v="24"/>
    <s v="pgto em dia neste banco (em aberto)"/>
    <s v="carro usado"/>
    <n v="2812"/>
    <s v="sem poupança"/>
    <s v="sem poupança"/>
    <s v="&gt;= 7 anos"/>
    <s v="Muito Estável (&gt; 7 anos)"/>
    <n v="2"/>
    <s v="feminino"/>
    <s v="divorciada/casada"/>
    <s v="nenhum"/>
    <n v="4"/>
    <s v="imovel"/>
    <n v="26"/>
    <s v="Adulto (26-40)"/>
    <s v="nenhum"/>
    <s v="aluguel"/>
    <n v="1"/>
    <s v="Func. Público/Qualificado"/>
    <n v="1"/>
    <s v="não"/>
    <s v="sim"/>
    <n v="1"/>
  </r>
  <r>
    <n v="772"/>
    <x v="1"/>
    <s v="&lt; 0 $"/>
    <s v="negativo/devedor"/>
    <n v="36"/>
    <s v="conta critica / dividas com terceiros"/>
    <s v="educacao"/>
    <n v="8065"/>
    <s v="&lt; 100 $"/>
    <s v="Baixo (&lt; 100 $)"/>
    <s v="&lt; 4 anos"/>
    <s v="Intermediário (1-4 anos)"/>
    <n v="3"/>
    <s v="feminino"/>
    <s v="divorciada/casada"/>
    <s v="nenhum"/>
    <n v="2"/>
    <s v="sem bens"/>
    <n v="25"/>
    <s v="Adulto (26-40)"/>
    <s v="nenhum"/>
    <s v="própria"/>
    <n v="2"/>
    <s v="Executivo/Empresário"/>
    <n v="1"/>
    <s v="sim"/>
    <s v="sim"/>
    <n v="2"/>
  </r>
  <r>
    <n v="773"/>
    <x v="0"/>
    <s v="sem conta corrente"/>
    <s v="sem conta no banco"/>
    <n v="21"/>
    <s v="conta critica / dividas com terceiros"/>
    <s v="carro usado"/>
    <n v="3275"/>
    <s v="&lt; 100 $"/>
    <s v="Baixo (&lt; 100 $)"/>
    <s v="&gt;= 7 anos"/>
    <s v="Muito Estável (&gt; 7 anos)"/>
    <n v="1"/>
    <s v="masculino"/>
    <s v="solteiro"/>
    <s v="nenhum"/>
    <n v="4"/>
    <s v="carro ou outros-quitado"/>
    <n v="36"/>
    <s v="Adulto (26-40)"/>
    <s v="nenhum"/>
    <s v="própria"/>
    <n v="1"/>
    <s v="Executivo/Empresário"/>
    <n v="1"/>
    <s v="sim"/>
    <s v="sim"/>
    <n v="1"/>
  </r>
  <r>
    <n v="774"/>
    <x v="0"/>
    <s v="sem conta corrente"/>
    <s v="sem conta no banco"/>
    <n v="24"/>
    <s v="conta critica / dividas com terceiros"/>
    <s v="radio ou televisao"/>
    <n v="2223"/>
    <s v="&gt;= 100 &lt; 500 $"/>
    <s v="Médio (100-500$)"/>
    <s v="&gt;= 7 anos"/>
    <s v="Muito Estável (&gt; 7 anos)"/>
    <n v="4"/>
    <s v="masculino"/>
    <s v="solteiro"/>
    <s v="nenhum"/>
    <n v="4"/>
    <s v="poupança ou seguro de vida"/>
    <n v="52"/>
    <s v="Sénior (41-60)"/>
    <s v="banco"/>
    <s v="própria"/>
    <n v="2"/>
    <s v="Func. Público/Qualificado"/>
    <n v="1"/>
    <s v="não"/>
    <s v="sim"/>
    <n v="1"/>
  </r>
  <r>
    <n v="775"/>
    <x v="0"/>
    <s v="&gt;= 200 $"/>
    <s v="saldo saudável"/>
    <n v="12"/>
    <s v="conta critica / dividas com terceiros"/>
    <s v="carro novo"/>
    <n v="1480"/>
    <s v="&gt;= 500 &lt; 1000 $"/>
    <s v="Alto (500-1000 $)"/>
    <s v="desempregado"/>
    <s v="desempregado"/>
    <n v="2"/>
    <s v="masculino"/>
    <s v="solteiro"/>
    <s v="nenhum"/>
    <n v="4"/>
    <s v="sem bens"/>
    <n v="66"/>
    <s v="Idoso (60+)"/>
    <s v="banco"/>
    <s v="gratuita"/>
    <n v="3"/>
    <s v="Não qualificado/Desempregado"/>
    <n v="1"/>
    <s v="não"/>
    <s v="sim"/>
    <n v="1"/>
  </r>
  <r>
    <n v="776"/>
    <x v="1"/>
    <s v="&lt; 0 $"/>
    <s v="negativo/devedor"/>
    <n v="24"/>
    <s v="pgto em dia neste banco (em aberto)"/>
    <s v="carro novo"/>
    <n v="1371"/>
    <s v="sem poupança"/>
    <s v="sem poupança"/>
    <s v="&lt; 4 anos"/>
    <s v="Intermediário (1-4 anos)"/>
    <n v="4"/>
    <s v="feminino"/>
    <s v="divorciada/casada"/>
    <s v="nenhum"/>
    <n v="4"/>
    <s v="imovel"/>
    <n v="25"/>
    <s v="Adulto (26-40)"/>
    <s v="nenhum"/>
    <s v="aluguel"/>
    <n v="1"/>
    <s v="Func. Público/Qualificado"/>
    <n v="1"/>
    <s v="não"/>
    <s v="sim"/>
    <n v="2"/>
  </r>
  <r>
    <n v="777"/>
    <x v="0"/>
    <s v="sem conta corrente"/>
    <s v="sem conta no banco"/>
    <n v="36"/>
    <s v="conta critica / dividas com terceiros"/>
    <s v="carro novo"/>
    <n v="3535"/>
    <s v="&lt; 100 $"/>
    <s v="Baixo (&lt; 100 $)"/>
    <s v="&lt; 7 anos"/>
    <s v="Estável (4-7 anos)"/>
    <n v="4"/>
    <s v="masculino"/>
    <s v="solteiro"/>
    <s v="nenhum"/>
    <n v="4"/>
    <s v="carro ou outros-quitado"/>
    <n v="37"/>
    <s v="Adulto (26-40)"/>
    <s v="nenhum"/>
    <s v="própria"/>
    <n v="2"/>
    <s v="Func. Público/Qualificado"/>
    <n v="1"/>
    <s v="sim"/>
    <s v="sim"/>
    <n v="1"/>
  </r>
  <r>
    <n v="778"/>
    <x v="0"/>
    <s v="&lt; 0 $"/>
    <s v="negativo/devedor"/>
    <n v="18"/>
    <s v="pgto em dia neste banco (em aberto)"/>
    <s v="radio ou televisao"/>
    <n v="3509"/>
    <s v="&lt; 100 $"/>
    <s v="Baixo (&lt; 100 $)"/>
    <s v="&lt; 7 anos"/>
    <s v="Estável (4-7 anos)"/>
    <n v="4"/>
    <s v="feminino"/>
    <s v="divorciada/casada"/>
    <s v="garantidor"/>
    <n v="1"/>
    <s v="imovel"/>
    <n v="25"/>
    <s v="Adulto (26-40)"/>
    <s v="nenhum"/>
    <s v="própria"/>
    <n v="1"/>
    <s v="Func. Público/Qualificado"/>
    <n v="1"/>
    <s v="não"/>
    <s v="sim"/>
    <n v="1"/>
  </r>
  <r>
    <n v="779"/>
    <x v="0"/>
    <s v="sem conta corrente"/>
    <s v="sem conta no banco"/>
    <n v="36"/>
    <s v="conta critica / dividas com terceiros"/>
    <s v="carro usado"/>
    <n v="5711"/>
    <s v="&gt;= 1000 $"/>
    <s v="Muito alto (&gt;1000$)"/>
    <s v="&gt;= 7 anos"/>
    <s v="Muito Estável (&gt; 7 anos)"/>
    <n v="4"/>
    <s v="masculino"/>
    <s v="solteiro"/>
    <s v="nenhum"/>
    <n v="2"/>
    <s v="carro ou outros-quitado"/>
    <n v="38"/>
    <s v="Adulto (26-40)"/>
    <s v="nenhum"/>
    <s v="própria"/>
    <n v="2"/>
    <s v="Executivo/Empresário"/>
    <n v="1"/>
    <s v="sim"/>
    <s v="sim"/>
    <n v="1"/>
  </r>
  <r>
    <n v="780"/>
    <x v="0"/>
    <s v="&gt;= 0 &lt; 200 $"/>
    <s v="saldo baixo"/>
    <n v="18"/>
    <s v="pgto em dia neste banco (em aberto)"/>
    <s v="reparos"/>
    <n v="3872"/>
    <s v="&lt; 100 $"/>
    <s v="Baixo (&lt; 100 $)"/>
    <s v="desempregado"/>
    <s v="desempregado"/>
    <n v="2"/>
    <s v="feminino"/>
    <s v="divorciada/casada"/>
    <s v="nenhum"/>
    <n v="4"/>
    <s v="carro ou outros-quitado"/>
    <n v="67"/>
    <s v="Idoso (60+)"/>
    <s v="nenhum"/>
    <s v="própria"/>
    <n v="1"/>
    <s v="Func. Público/Qualificado"/>
    <n v="1"/>
    <s v="sim"/>
    <s v="sim"/>
    <n v="1"/>
  </r>
  <r>
    <n v="781"/>
    <x v="1"/>
    <s v="&gt;= 0 &lt; 200 $"/>
    <s v="saldo baixo"/>
    <n v="39"/>
    <s v="conta critica / dividas com terceiros"/>
    <s v="radio ou televisao"/>
    <n v="4933"/>
    <s v="&lt; 100 $"/>
    <s v="Baixo (&lt; 100 $)"/>
    <s v="&lt; 7 anos"/>
    <s v="Estável (4-7 anos)"/>
    <n v="2"/>
    <s v="masculino"/>
    <s v="solteiro"/>
    <s v="garantidor"/>
    <n v="2"/>
    <s v="imovel"/>
    <n v="25"/>
    <s v="Adulto (26-40)"/>
    <s v="nenhum"/>
    <s v="própria"/>
    <n v="2"/>
    <s v="Func. Público/Qualificado"/>
    <n v="1"/>
    <s v="não"/>
    <s v="sim"/>
    <n v="2"/>
  </r>
  <r>
    <n v="782"/>
    <x v="0"/>
    <s v="sem conta corrente"/>
    <s v="sem conta no banco"/>
    <n v="24"/>
    <s v="conta critica / dividas com terceiros"/>
    <s v="carro novo"/>
    <n v="1940"/>
    <s v="&gt;= 1000 $"/>
    <s v="Muito alto (&gt;1000$)"/>
    <s v="&gt;= 7 anos"/>
    <s v="Muito Estável (&gt; 7 anos)"/>
    <n v="4"/>
    <s v="masculino"/>
    <s v="solteiro"/>
    <s v="nenhum"/>
    <n v="4"/>
    <s v="imovel"/>
    <n v="60"/>
    <s v="Idoso (60+)"/>
    <s v="nenhum"/>
    <s v="própria"/>
    <n v="1"/>
    <s v="Func. Público/Qualificado"/>
    <n v="1"/>
    <s v="sim"/>
    <s v="sim"/>
    <n v="1"/>
  </r>
  <r>
    <n v="783"/>
    <x v="0"/>
    <s v="&gt;= 0 &lt; 200 $"/>
    <s v="saldo baixo"/>
    <n v="12"/>
    <s v="nenhum/pgto em dia"/>
    <s v="reciclagem profissional"/>
    <n v="1410"/>
    <s v="&lt; 100 $"/>
    <s v="Baixo (&lt; 100 $)"/>
    <s v="&lt; 4 anos"/>
    <s v="Intermediário (1-4 anos)"/>
    <n v="2"/>
    <s v="masculino"/>
    <s v="solteiro"/>
    <s v="nenhum"/>
    <n v="2"/>
    <s v="imovel"/>
    <n v="31"/>
    <s v="Adulto (26-40)"/>
    <s v="nenhum"/>
    <s v="própria"/>
    <n v="1"/>
    <s v="Empregado Comum"/>
    <n v="1"/>
    <s v="sim"/>
    <s v="sim"/>
    <n v="1"/>
  </r>
  <r>
    <n v="784"/>
    <x v="1"/>
    <s v="&gt;= 0 &lt; 200 $"/>
    <s v="saldo baixo"/>
    <n v="12"/>
    <s v="pgto em dia neste banco (em aberto)"/>
    <s v="carro novo"/>
    <n v="836"/>
    <s v="&gt;= 100 &lt; 500 $"/>
    <s v="Médio (100-500$)"/>
    <s v="&lt; 1 ano"/>
    <s v="Iniciante (&lt; 1 ano)"/>
    <n v="4"/>
    <s v="feminino"/>
    <s v="divorciada/casada"/>
    <s v="nenhum"/>
    <n v="2"/>
    <s v="poupança ou seguro de vida"/>
    <n v="23"/>
    <s v="Jovem (18-25)"/>
    <s v="banco"/>
    <s v="própria"/>
    <n v="1"/>
    <s v="Empregado Comum"/>
    <n v="1"/>
    <s v="não"/>
    <s v="sim"/>
    <n v="2"/>
  </r>
  <r>
    <n v="785"/>
    <x v="0"/>
    <s v="&gt;= 0 &lt; 200 $"/>
    <s v="saldo baixo"/>
    <n v="20"/>
    <s v="pgto em dia neste banco (em aberto)"/>
    <s v="carro usado"/>
    <n v="6468"/>
    <s v="sem poupança"/>
    <s v="sem poupança"/>
    <s v="desempregado"/>
    <s v="desempregado"/>
    <n v="1"/>
    <s v="masculino"/>
    <s v="divorciado"/>
    <s v="nenhum"/>
    <n v="4"/>
    <s v="imovel"/>
    <n v="60"/>
    <s v="Idoso (60+)"/>
    <s v="nenhum"/>
    <s v="própria"/>
    <n v="1"/>
    <s v="Executivo/Empresário"/>
    <n v="1"/>
    <s v="sim"/>
    <s v="sim"/>
    <n v="1"/>
  </r>
  <r>
    <n v="786"/>
    <x v="0"/>
    <s v="&gt;= 0 &lt; 200 $"/>
    <s v="saldo baixo"/>
    <n v="18"/>
    <s v="pgto em dia neste banco (em aberto)"/>
    <s v="negocios"/>
    <n v="1941"/>
    <s v="&gt;= 1000 $"/>
    <s v="Muito alto (&gt;1000$)"/>
    <s v="&lt; 4 anos"/>
    <s v="Intermediário (1-4 anos)"/>
    <n v="4"/>
    <s v="masculino"/>
    <s v="solteiro"/>
    <s v="nenhum"/>
    <n v="2"/>
    <s v="poupança ou seguro de vida"/>
    <n v="35"/>
    <s v="Adulto (26-40)"/>
    <s v="nenhum"/>
    <s v="própria"/>
    <n v="1"/>
    <s v="Empregado Comum"/>
    <n v="1"/>
    <s v="sim"/>
    <s v="sim"/>
    <n v="1"/>
  </r>
  <r>
    <n v="787"/>
    <x v="0"/>
    <s v="sem conta corrente"/>
    <s v="sem conta no banco"/>
    <n v="22"/>
    <s v="pgto em dia neste banco (em aberto)"/>
    <s v="radio ou televisao"/>
    <n v="2675"/>
    <s v="&gt;= 500 &lt; 1000 $"/>
    <s v="Alto (500-1000 $)"/>
    <s v="&gt;= 7 anos"/>
    <s v="Muito Estável (&gt; 7 anos)"/>
    <n v="3"/>
    <s v="masculino"/>
    <s v="solteiro"/>
    <s v="nenhum"/>
    <n v="4"/>
    <s v="carro ou outros-quitado"/>
    <n v="40"/>
    <s v="Sénior (41-60)"/>
    <s v="nenhum"/>
    <s v="própria"/>
    <n v="1"/>
    <s v="Func. Público/Qualificado"/>
    <n v="1"/>
    <s v="não"/>
    <s v="sim"/>
    <n v="1"/>
  </r>
  <r>
    <n v="788"/>
    <x v="0"/>
    <s v="sem conta corrente"/>
    <s v="sem conta no banco"/>
    <n v="48"/>
    <s v="conta critica / dividas com terceiros"/>
    <s v="carro usado"/>
    <n v="2751"/>
    <s v="sem poupança"/>
    <s v="sem poupança"/>
    <s v="&gt;= 7 anos"/>
    <s v="Muito Estável (&gt; 7 anos)"/>
    <n v="4"/>
    <s v="masculino"/>
    <s v="solteiro"/>
    <s v="nenhum"/>
    <n v="3"/>
    <s v="carro ou outros-quitado"/>
    <n v="38"/>
    <s v="Adulto (26-40)"/>
    <s v="nenhum"/>
    <s v="própria"/>
    <n v="2"/>
    <s v="Func. Público/Qualificado"/>
    <n v="2"/>
    <s v="sim"/>
    <s v="sim"/>
    <n v="1"/>
  </r>
  <r>
    <n v="789"/>
    <x v="1"/>
    <s v="&gt;= 0 &lt; 200 $"/>
    <s v="saldo baixo"/>
    <n v="48"/>
    <s v="pgto em atraso no passado"/>
    <s v="educacao"/>
    <n v="6224"/>
    <s v="&lt; 100 $"/>
    <s v="Baixo (&lt; 100 $)"/>
    <s v="&gt;= 7 anos"/>
    <s v="Muito Estável (&gt; 7 anos)"/>
    <n v="4"/>
    <s v="masculino"/>
    <s v="solteiro"/>
    <s v="nenhum"/>
    <n v="4"/>
    <s v="sem bens"/>
    <n v="50"/>
    <s v="Sénior (41-60)"/>
    <s v="nenhum"/>
    <s v="gratuita"/>
    <n v="1"/>
    <s v="Func. Público/Qualificado"/>
    <n v="1"/>
    <s v="não"/>
    <s v="sim"/>
    <n v="2"/>
  </r>
  <r>
    <n v="790"/>
    <x v="1"/>
    <s v="&lt; 0 $"/>
    <s v="negativo/devedor"/>
    <n v="40"/>
    <s v="conta critica / dividas com terceiros"/>
    <s v="educacao"/>
    <n v="5998"/>
    <s v="&lt; 100 $"/>
    <s v="Baixo (&lt; 100 $)"/>
    <s v="&lt; 4 anos"/>
    <s v="Intermediário (1-4 anos)"/>
    <n v="4"/>
    <s v="masculino"/>
    <s v="solteiro"/>
    <s v="nenhum"/>
    <n v="3"/>
    <s v="sem bens"/>
    <n v="27"/>
    <s v="Adulto (26-40)"/>
    <s v="banco"/>
    <s v="própria"/>
    <n v="1"/>
    <s v="Func. Público/Qualificado"/>
    <n v="1"/>
    <s v="sim"/>
    <s v="sim"/>
    <n v="2"/>
  </r>
  <r>
    <n v="791"/>
    <x v="1"/>
    <s v="&gt;= 0 &lt; 200 $"/>
    <s v="saldo baixo"/>
    <n v="21"/>
    <s v="pgto em dia neste banco (em aberto)"/>
    <s v="negocios"/>
    <n v="1188"/>
    <s v="&lt; 100 $"/>
    <s v="Baixo (&lt; 100 $)"/>
    <s v="&gt;= 7 anos"/>
    <s v="Muito Estável (&gt; 7 anos)"/>
    <n v="2"/>
    <s v="feminino"/>
    <s v="divorciada/casada"/>
    <s v="nenhum"/>
    <n v="4"/>
    <s v="poupança ou seguro de vida"/>
    <n v="39"/>
    <s v="Adulto (26-40)"/>
    <s v="nenhum"/>
    <s v="própria"/>
    <n v="1"/>
    <s v="Func. Público/Qualificado"/>
    <n v="2"/>
    <s v="não"/>
    <s v="sim"/>
    <n v="2"/>
  </r>
  <r>
    <n v="792"/>
    <x v="0"/>
    <s v="sem conta corrente"/>
    <s v="sem conta no banco"/>
    <n v="24"/>
    <s v="pgto em dia neste banco (em aberto)"/>
    <s v="carro usado"/>
    <n v="6313"/>
    <s v="sem poupança"/>
    <s v="sem poupança"/>
    <s v="&gt;= 7 anos"/>
    <s v="Muito Estável (&gt; 7 anos)"/>
    <n v="3"/>
    <s v="masculino"/>
    <s v="solteiro"/>
    <s v="nenhum"/>
    <n v="4"/>
    <s v="carro ou outros-quitado"/>
    <n v="41"/>
    <s v="Sénior (41-60)"/>
    <s v="nenhum"/>
    <s v="própria"/>
    <n v="1"/>
    <s v="Executivo/Empresário"/>
    <n v="2"/>
    <s v="sim"/>
    <s v="sim"/>
    <n v="1"/>
  </r>
  <r>
    <n v="793"/>
    <x v="0"/>
    <s v="sem conta corrente"/>
    <s v="sem conta no banco"/>
    <n v="6"/>
    <s v="conta critica / dividas com terceiros"/>
    <s v="moveis e equipamentos"/>
    <n v="1221"/>
    <s v="sem poupança"/>
    <s v="sem poupança"/>
    <s v="&lt; 4 anos"/>
    <s v="Intermediário (1-4 anos)"/>
    <n v="1"/>
    <s v="masculino"/>
    <s v="casado/viuvo"/>
    <s v="nenhum"/>
    <n v="2"/>
    <s v="poupança ou seguro de vida"/>
    <n v="27"/>
    <s v="Adulto (26-40)"/>
    <s v="nenhum"/>
    <s v="própria"/>
    <n v="2"/>
    <s v="Func. Público/Qualificado"/>
    <n v="1"/>
    <s v="não"/>
    <s v="sim"/>
    <n v="1"/>
  </r>
  <r>
    <n v="794"/>
    <x v="0"/>
    <s v="&gt;= 200 $"/>
    <s v="saldo saudável"/>
    <n v="24"/>
    <s v="pgto em dia neste banco (em aberto)"/>
    <s v="moveis e equipamentos"/>
    <n v="2892"/>
    <s v="&lt; 100 $"/>
    <s v="Baixo (&lt; 100 $)"/>
    <s v="&gt;= 7 anos"/>
    <s v="Muito Estável (&gt; 7 anos)"/>
    <n v="3"/>
    <s v="masculino"/>
    <s v="divorciado"/>
    <s v="nenhum"/>
    <n v="4"/>
    <s v="sem bens"/>
    <n v="51"/>
    <s v="Sénior (41-60)"/>
    <s v="nenhum"/>
    <s v="gratuita"/>
    <n v="1"/>
    <s v="Func. Público/Qualificado"/>
    <n v="1"/>
    <s v="não"/>
    <s v="sim"/>
    <n v="1"/>
  </r>
  <r>
    <n v="795"/>
    <x v="0"/>
    <s v="sem conta corrente"/>
    <s v="sem conta no banco"/>
    <n v="24"/>
    <s v="pgto em dia neste banco (em aberto)"/>
    <s v="moveis e equipamentos"/>
    <n v="3062"/>
    <s v="&gt;= 500 &lt; 1000 $"/>
    <s v="Alto (500-1000 $)"/>
    <s v="&gt;= 7 anos"/>
    <s v="Muito Estável (&gt; 7 anos)"/>
    <n v="4"/>
    <s v="masculino"/>
    <s v="solteiro"/>
    <s v="nenhum"/>
    <n v="3"/>
    <s v="sem bens"/>
    <n v="32"/>
    <s v="Adulto (26-40)"/>
    <s v="nenhum"/>
    <s v="aluguel"/>
    <n v="1"/>
    <s v="Func. Público/Qualificado"/>
    <n v="1"/>
    <s v="sim"/>
    <s v="sim"/>
    <n v="1"/>
  </r>
  <r>
    <n v="796"/>
    <x v="0"/>
    <s v="sem conta corrente"/>
    <s v="sem conta no banco"/>
    <n v="9"/>
    <s v="pgto em dia neste banco (em aberto)"/>
    <s v="moveis e equipamentos"/>
    <n v="2301"/>
    <s v="&gt;= 100 &lt; 500 $"/>
    <s v="Médio (100-500$)"/>
    <s v="&lt; 1 ano"/>
    <s v="Iniciante (&lt; 1 ano)"/>
    <n v="2"/>
    <s v="feminino"/>
    <s v="divorciada/casada"/>
    <s v="nenhum"/>
    <n v="4"/>
    <s v="poupança ou seguro de vida"/>
    <n v="22"/>
    <s v="Jovem (18-25)"/>
    <s v="nenhum"/>
    <s v="aluguel"/>
    <n v="1"/>
    <s v="Func. Público/Qualificado"/>
    <n v="1"/>
    <s v="não"/>
    <s v="sim"/>
    <n v="1"/>
  </r>
  <r>
    <n v="797"/>
    <x v="1"/>
    <s v="&lt; 0 $"/>
    <s v="negativo/devedor"/>
    <n v="18"/>
    <s v="pgto em dia neste banco (em aberto)"/>
    <s v="carro usado"/>
    <n v="7511"/>
    <s v="sem poupança"/>
    <s v="sem poupança"/>
    <s v="&gt;= 7 anos"/>
    <s v="Muito Estável (&gt; 7 anos)"/>
    <n v="1"/>
    <s v="masculino"/>
    <s v="solteiro"/>
    <s v="nenhum"/>
    <n v="4"/>
    <s v="poupança ou seguro de vida"/>
    <n v="51"/>
    <s v="Sénior (41-60)"/>
    <s v="nenhum"/>
    <s v="gratuita"/>
    <n v="1"/>
    <s v="Func. Público/Qualificado"/>
    <n v="2"/>
    <s v="sim"/>
    <s v="sim"/>
    <n v="2"/>
  </r>
  <r>
    <n v="798"/>
    <x v="0"/>
    <s v="sem conta corrente"/>
    <s v="sem conta no banco"/>
    <n v="12"/>
    <s v="conta critica / dividas com terceiros"/>
    <s v="moveis e equipamentos"/>
    <n v="1258"/>
    <s v="&lt; 100 $"/>
    <s v="Baixo (&lt; 100 $)"/>
    <s v="&lt; 1 ano"/>
    <s v="Iniciante (&lt; 1 ano)"/>
    <n v="2"/>
    <s v="feminino"/>
    <s v="divorciada/casada"/>
    <s v="nenhum"/>
    <n v="4"/>
    <s v="poupança ou seguro de vida"/>
    <n v="22"/>
    <s v="Jovem (18-25)"/>
    <s v="nenhum"/>
    <s v="aluguel"/>
    <n v="2"/>
    <s v="Empregado Comum"/>
    <n v="1"/>
    <s v="não"/>
    <s v="sim"/>
    <n v="1"/>
  </r>
  <r>
    <n v="799"/>
    <x v="0"/>
    <s v="sem conta corrente"/>
    <s v="sem conta no banco"/>
    <n v="24"/>
    <s v="pgto em atraso no passado"/>
    <s v="carro novo"/>
    <n v="717"/>
    <s v="sem poupança"/>
    <s v="sem poupança"/>
    <s v="&gt;= 7 anos"/>
    <s v="Muito Estável (&gt; 7 anos)"/>
    <n v="4"/>
    <s v="masculino"/>
    <s v="casado/viuvo"/>
    <s v="nenhum"/>
    <n v="4"/>
    <s v="carro ou outros-quitado"/>
    <n v="54"/>
    <s v="Sénior (41-60)"/>
    <s v="nenhum"/>
    <s v="própria"/>
    <n v="2"/>
    <s v="Func. Público/Qualificado"/>
    <n v="1"/>
    <s v="sim"/>
    <s v="sim"/>
    <n v="1"/>
  </r>
  <r>
    <n v="800"/>
    <x v="0"/>
    <s v="&gt;= 0 &lt; 200 $"/>
    <s v="saldo baixo"/>
    <n v="9"/>
    <s v="pgto em dia neste banco (em aberto)"/>
    <s v="carro novo"/>
    <n v="1549"/>
    <s v="sem poupança"/>
    <s v="sem poupança"/>
    <s v="&lt; 1 ano"/>
    <s v="Iniciante (&lt; 1 ano)"/>
    <n v="4"/>
    <s v="masculino"/>
    <s v="solteiro"/>
    <s v="nenhum"/>
    <n v="2"/>
    <s v="imovel"/>
    <n v="35"/>
    <s v="Adulto (26-40)"/>
    <s v="nenhum"/>
    <s v="própria"/>
    <n v="1"/>
    <s v="Não qualificado/Desempregado"/>
    <n v="1"/>
    <s v="não"/>
    <s v="sim"/>
    <n v="1"/>
  </r>
  <r>
    <n v="801"/>
    <x v="0"/>
    <s v="sem conta corrente"/>
    <s v="sem conta no banco"/>
    <n v="24"/>
    <s v="conta critica / dividas com terceiros"/>
    <s v="educacao"/>
    <n v="1597"/>
    <s v="&lt; 100 $"/>
    <s v="Baixo (&lt; 100 $)"/>
    <s v="&gt;= 7 anos"/>
    <s v="Muito Estável (&gt; 7 anos)"/>
    <n v="4"/>
    <s v="masculino"/>
    <s v="solteiro"/>
    <s v="nenhum"/>
    <n v="4"/>
    <s v="sem bens"/>
    <n v="54"/>
    <s v="Sénior (41-60)"/>
    <s v="nenhum"/>
    <s v="gratuita"/>
    <n v="2"/>
    <s v="Func. Público/Qualificado"/>
    <n v="2"/>
    <s v="não"/>
    <s v="sim"/>
    <n v="1"/>
  </r>
  <r>
    <n v="802"/>
    <x v="0"/>
    <s v="&gt;= 0 &lt; 200 $"/>
    <s v="saldo baixo"/>
    <n v="18"/>
    <s v="conta critica / dividas com terceiros"/>
    <s v="radio ou televisao"/>
    <n v="1795"/>
    <s v="&lt; 100 $"/>
    <s v="Baixo (&lt; 100 $)"/>
    <s v="&gt;= 7 anos"/>
    <s v="Muito Estável (&gt; 7 anos)"/>
    <n v="3"/>
    <s v="feminino"/>
    <s v="divorciada/casada"/>
    <s v="garantidor"/>
    <n v="4"/>
    <s v="imovel"/>
    <n v="48"/>
    <s v="Sénior (41-60)"/>
    <s v="banco"/>
    <s v="aluguel"/>
    <n v="2"/>
    <s v="Empregado Comum"/>
    <n v="1"/>
    <s v="sim"/>
    <s v="sim"/>
    <n v="1"/>
  </r>
  <r>
    <n v="803"/>
    <x v="0"/>
    <s v="&lt; 0 $"/>
    <s v="negativo/devedor"/>
    <n v="20"/>
    <s v="conta critica / dividas com terceiros"/>
    <s v="moveis e equipamentos"/>
    <n v="4272"/>
    <s v="&lt; 100 $"/>
    <s v="Baixo (&lt; 100 $)"/>
    <s v="&gt;= 7 anos"/>
    <s v="Muito Estável (&gt; 7 anos)"/>
    <n v="1"/>
    <s v="feminino"/>
    <s v="divorciada/casada"/>
    <s v="nenhum"/>
    <n v="4"/>
    <s v="poupança ou seguro de vida"/>
    <n v="24"/>
    <s v="Jovem (18-25)"/>
    <s v="nenhum"/>
    <s v="própria"/>
    <n v="2"/>
    <s v="Func. Público/Qualificado"/>
    <n v="1"/>
    <s v="não"/>
    <s v="sim"/>
    <n v="1"/>
  </r>
  <r>
    <n v="804"/>
    <x v="0"/>
    <s v="sem conta corrente"/>
    <s v="sem conta no banco"/>
    <n v="12"/>
    <s v="conta critica / dividas com terceiros"/>
    <s v="radio ou televisao"/>
    <n v="976"/>
    <s v="sem poupança"/>
    <s v="sem poupança"/>
    <s v="&gt;= 7 anos"/>
    <s v="Muito Estável (&gt; 7 anos)"/>
    <n v="4"/>
    <s v="masculino"/>
    <s v="solteiro"/>
    <s v="nenhum"/>
    <n v="4"/>
    <s v="carro ou outros-quitado"/>
    <n v="35"/>
    <s v="Adulto (26-40)"/>
    <s v="nenhum"/>
    <s v="própria"/>
    <n v="2"/>
    <s v="Func. Público/Qualificado"/>
    <n v="1"/>
    <s v="não"/>
    <s v="sim"/>
    <n v="1"/>
  </r>
  <r>
    <n v="805"/>
    <x v="0"/>
    <s v="&gt;= 0 &lt; 200 $"/>
    <s v="saldo baixo"/>
    <n v="12"/>
    <s v="pgto em dia neste banco (em aberto)"/>
    <s v="carro novo"/>
    <n v="7472"/>
    <s v="sem poupança"/>
    <s v="sem poupança"/>
    <s v="desempregado"/>
    <s v="desempregado"/>
    <n v="1"/>
    <s v="feminino"/>
    <s v="divorciada/casada"/>
    <s v="nenhum"/>
    <n v="2"/>
    <s v="imovel"/>
    <n v="24"/>
    <s v="Jovem (18-25)"/>
    <s v="nenhum"/>
    <s v="aluguel"/>
    <n v="1"/>
    <s v="Não qualificado/Desempregado"/>
    <n v="1"/>
    <s v="não"/>
    <s v="sim"/>
    <n v="1"/>
  </r>
  <r>
    <n v="806"/>
    <x v="1"/>
    <s v="&lt; 0 $"/>
    <s v="negativo/devedor"/>
    <n v="36"/>
    <s v="pgto em dia neste banco (em aberto)"/>
    <s v="carro novo"/>
    <n v="9271"/>
    <s v="&lt; 100 $"/>
    <s v="Baixo (&lt; 100 $)"/>
    <s v="&lt; 7 anos"/>
    <s v="Estável (4-7 anos)"/>
    <n v="2"/>
    <s v="masculino"/>
    <s v="solteiro"/>
    <s v="nenhum"/>
    <n v="1"/>
    <s v="carro ou outros-quitado"/>
    <n v="24"/>
    <s v="Jovem (18-25)"/>
    <s v="nenhum"/>
    <s v="própria"/>
    <n v="1"/>
    <s v="Func. Público/Qualificado"/>
    <n v="1"/>
    <s v="sim"/>
    <s v="sim"/>
    <n v="2"/>
  </r>
  <r>
    <n v="807"/>
    <x v="0"/>
    <s v="&gt;= 0 &lt; 200 $"/>
    <s v="saldo baixo"/>
    <n v="6"/>
    <s v="pgto em dia neste banco (em aberto)"/>
    <s v="radio ou televisao"/>
    <n v="590"/>
    <s v="&lt; 100 $"/>
    <s v="Baixo (&lt; 100 $)"/>
    <s v="&lt; 1 ano"/>
    <s v="Iniciante (&lt; 1 ano)"/>
    <n v="3"/>
    <s v="masculino"/>
    <s v="casado/viuvo"/>
    <s v="nenhum"/>
    <n v="3"/>
    <s v="imovel"/>
    <n v="26"/>
    <s v="Adulto (26-40)"/>
    <s v="nenhum"/>
    <s v="própria"/>
    <n v="1"/>
    <s v="Empregado Comum"/>
    <n v="1"/>
    <s v="não"/>
    <s v="não"/>
    <n v="1"/>
  </r>
  <r>
    <n v="808"/>
    <x v="0"/>
    <s v="sem conta corrente"/>
    <s v="sem conta no banco"/>
    <n v="12"/>
    <s v="conta critica / dividas com terceiros"/>
    <s v="radio ou televisao"/>
    <n v="930"/>
    <s v="sem poupança"/>
    <s v="sem poupança"/>
    <s v="&gt;= 7 anos"/>
    <s v="Muito Estável (&gt; 7 anos)"/>
    <n v="4"/>
    <s v="masculino"/>
    <s v="solteiro"/>
    <s v="nenhum"/>
    <n v="4"/>
    <s v="imovel"/>
    <n v="65"/>
    <s v="Idoso (60+)"/>
    <s v="nenhum"/>
    <s v="própria"/>
    <n v="4"/>
    <s v="Func. Público/Qualificado"/>
    <n v="1"/>
    <s v="não"/>
    <s v="sim"/>
    <n v="1"/>
  </r>
  <r>
    <n v="809"/>
    <x v="0"/>
    <s v="&gt;= 0 &lt; 200 $"/>
    <s v="saldo baixo"/>
    <n v="42"/>
    <s v="pgto em dia neste banco (quitado)"/>
    <s v="carro usado"/>
    <n v="9283"/>
    <s v="&lt; 100 $"/>
    <s v="Baixo (&lt; 100 $)"/>
    <s v="desempregado"/>
    <s v="desempregado"/>
    <n v="1"/>
    <s v="masculino"/>
    <s v="solteiro"/>
    <s v="nenhum"/>
    <n v="2"/>
    <s v="sem bens"/>
    <n v="55"/>
    <s v="Sénior (41-60)"/>
    <s v="banco"/>
    <s v="gratuita"/>
    <n v="1"/>
    <s v="Executivo/Empresário"/>
    <n v="1"/>
    <s v="sim"/>
    <s v="sim"/>
    <n v="1"/>
  </r>
  <r>
    <n v="810"/>
    <x v="1"/>
    <s v="&gt;= 0 &lt; 200 $"/>
    <s v="saldo baixo"/>
    <n v="15"/>
    <s v="nenhum/pgto em dia"/>
    <s v="carro novo"/>
    <n v="1778"/>
    <s v="&lt; 100 $"/>
    <s v="Baixo (&lt; 100 $)"/>
    <s v="&lt; 1 ano"/>
    <s v="Iniciante (&lt; 1 ano)"/>
    <n v="2"/>
    <s v="feminino"/>
    <s v="divorciada/casada"/>
    <s v="nenhum"/>
    <n v="1"/>
    <s v="imovel"/>
    <n v="26"/>
    <s v="Adulto (26-40)"/>
    <s v="nenhum"/>
    <s v="aluguel"/>
    <n v="2"/>
    <s v="Não qualificado/Desempregado"/>
    <n v="1"/>
    <s v="não"/>
    <s v="sim"/>
    <n v="2"/>
  </r>
  <r>
    <n v="811"/>
    <x v="0"/>
    <s v="&gt;= 0 &lt; 200 $"/>
    <s v="saldo baixo"/>
    <n v="8"/>
    <s v="pgto em dia neste banco (em aberto)"/>
    <s v="negocios"/>
    <n v="907"/>
    <s v="&lt; 100 $"/>
    <s v="Baixo (&lt; 100 $)"/>
    <s v="&lt; 1 ano"/>
    <s v="Iniciante (&lt; 1 ano)"/>
    <n v="3"/>
    <s v="masculino"/>
    <s v="casado/viuvo"/>
    <s v="nenhum"/>
    <n v="2"/>
    <s v="imovel"/>
    <n v="26"/>
    <s v="Adulto (26-40)"/>
    <s v="nenhum"/>
    <s v="própria"/>
    <n v="1"/>
    <s v="Func. Público/Qualificado"/>
    <n v="1"/>
    <s v="sim"/>
    <s v="sim"/>
    <n v="1"/>
  </r>
  <r>
    <n v="812"/>
    <x v="0"/>
    <s v="&gt;= 0 &lt; 200 $"/>
    <s v="saldo baixo"/>
    <n v="6"/>
    <s v="pgto em dia neste banco (em aberto)"/>
    <s v="radio ou televisao"/>
    <n v="484"/>
    <s v="&lt; 100 $"/>
    <s v="Baixo (&lt; 100 $)"/>
    <s v="&lt; 7 anos"/>
    <s v="Estável (4-7 anos)"/>
    <n v="3"/>
    <s v="masculino"/>
    <s v="casado/viuvo"/>
    <s v="garantidor"/>
    <n v="3"/>
    <s v="imovel"/>
    <n v="28"/>
    <s v="Adulto (26-40)"/>
    <s v="banco"/>
    <s v="própria"/>
    <n v="1"/>
    <s v="Empregado Comum"/>
    <n v="1"/>
    <s v="não"/>
    <s v="sim"/>
    <n v="1"/>
  </r>
  <r>
    <n v="813"/>
    <x v="1"/>
    <s v="&lt; 0 $"/>
    <s v="negativo/devedor"/>
    <n v="36"/>
    <s v="conta critica / dividas com terceiros"/>
    <s v="carro usado"/>
    <n v="9629"/>
    <s v="&lt; 100 $"/>
    <s v="Baixo (&lt; 100 $)"/>
    <s v="&lt; 7 anos"/>
    <s v="Estável (4-7 anos)"/>
    <n v="4"/>
    <s v="masculino"/>
    <s v="solteiro"/>
    <s v="nenhum"/>
    <n v="4"/>
    <s v="carro ou outros-quitado"/>
    <n v="24"/>
    <s v="Jovem (18-25)"/>
    <s v="nenhum"/>
    <s v="própria"/>
    <n v="2"/>
    <s v="Func. Público/Qualificado"/>
    <n v="1"/>
    <s v="sim"/>
    <s v="sim"/>
    <n v="2"/>
  </r>
  <r>
    <n v="814"/>
    <x v="1"/>
    <s v="&lt; 0 $"/>
    <s v="negativo/devedor"/>
    <n v="48"/>
    <s v="pgto em dia neste banco (em aberto)"/>
    <s v="eletrodomesticos"/>
    <n v="3051"/>
    <s v="&lt; 100 $"/>
    <s v="Baixo (&lt; 100 $)"/>
    <s v="&lt; 4 anos"/>
    <s v="Intermediário (1-4 anos)"/>
    <n v="3"/>
    <s v="masculino"/>
    <s v="solteiro"/>
    <s v="nenhum"/>
    <n v="4"/>
    <s v="carro ou outros-quitado"/>
    <n v="54"/>
    <s v="Sénior (41-60)"/>
    <s v="nenhum"/>
    <s v="própria"/>
    <n v="1"/>
    <s v="Func. Público/Qualificado"/>
    <n v="1"/>
    <s v="não"/>
    <s v="sim"/>
    <n v="2"/>
  </r>
  <r>
    <n v="815"/>
    <x v="1"/>
    <s v="&lt; 0 $"/>
    <s v="negativo/devedor"/>
    <n v="48"/>
    <s v="pgto em dia neste banco (em aberto)"/>
    <s v="carro novo"/>
    <n v="3931"/>
    <s v="&lt; 100 $"/>
    <s v="Baixo (&lt; 100 $)"/>
    <s v="&lt; 7 anos"/>
    <s v="Estável (4-7 anos)"/>
    <n v="4"/>
    <s v="masculino"/>
    <s v="solteiro"/>
    <s v="nenhum"/>
    <n v="4"/>
    <s v="sem bens"/>
    <n v="46"/>
    <s v="Sénior (41-60)"/>
    <s v="nenhum"/>
    <s v="gratuita"/>
    <n v="1"/>
    <s v="Func. Público/Qualificado"/>
    <n v="2"/>
    <s v="não"/>
    <s v="sim"/>
    <n v="2"/>
  </r>
  <r>
    <n v="816"/>
    <x v="0"/>
    <s v="&gt;= 0 &lt; 200 $"/>
    <s v="saldo baixo"/>
    <n v="36"/>
    <s v="pgto em atraso no passado"/>
    <s v="carro novo"/>
    <n v="7432"/>
    <s v="&lt; 100 $"/>
    <s v="Baixo (&lt; 100 $)"/>
    <s v="&lt; 4 anos"/>
    <s v="Intermediário (1-4 anos)"/>
    <n v="2"/>
    <s v="feminino"/>
    <s v="divorciada/casada"/>
    <s v="nenhum"/>
    <n v="2"/>
    <s v="poupança ou seguro de vida"/>
    <n v="54"/>
    <s v="Sénior (41-60)"/>
    <s v="nenhum"/>
    <s v="aluguel"/>
    <n v="1"/>
    <s v="Func. Público/Qualificado"/>
    <n v="1"/>
    <s v="não"/>
    <s v="sim"/>
    <n v="1"/>
  </r>
  <r>
    <n v="817"/>
    <x v="0"/>
    <s v="sem conta corrente"/>
    <s v="sem conta no banco"/>
    <n v="6"/>
    <s v="pgto em dia neste banco (em aberto)"/>
    <s v="eletrodomesticos"/>
    <n v="1338"/>
    <s v="&gt;= 500 &lt; 1000 $"/>
    <s v="Alto (500-1000 $)"/>
    <s v="&lt; 4 anos"/>
    <s v="Intermediário (1-4 anos)"/>
    <n v="1"/>
    <s v="masculino"/>
    <s v="divorciado"/>
    <s v="nenhum"/>
    <n v="4"/>
    <s v="imovel"/>
    <n v="62"/>
    <s v="Idoso (60+)"/>
    <s v="nenhum"/>
    <s v="própria"/>
    <n v="1"/>
    <s v="Func. Público/Qualificado"/>
    <n v="1"/>
    <s v="não"/>
    <s v="sim"/>
    <n v="1"/>
  </r>
  <r>
    <n v="818"/>
    <x v="0"/>
    <s v="sem conta corrente"/>
    <s v="sem conta no banco"/>
    <n v="6"/>
    <s v="conta critica / dividas com terceiros"/>
    <s v="radio ou televisao"/>
    <n v="1554"/>
    <s v="&lt; 100 $"/>
    <s v="Baixo (&lt; 100 $)"/>
    <s v="&lt; 7 anos"/>
    <s v="Estável (4-7 anos)"/>
    <n v="1"/>
    <s v="feminino"/>
    <s v="divorciada/casada"/>
    <s v="nenhum"/>
    <n v="2"/>
    <s v="carro ou outros-quitado"/>
    <n v="24"/>
    <s v="Jovem (18-25)"/>
    <s v="nenhum"/>
    <s v="aluguel"/>
    <n v="2"/>
    <s v="Func. Público/Qualificado"/>
    <n v="1"/>
    <s v="sim"/>
    <s v="sim"/>
    <n v="1"/>
  </r>
  <r>
    <n v="819"/>
    <x v="0"/>
    <s v="&lt; 0 $"/>
    <s v="negativo/devedor"/>
    <n v="36"/>
    <s v="pgto em dia neste banco (em aberto)"/>
    <s v="outros"/>
    <n v="15857"/>
    <s v="&lt; 100 $"/>
    <s v="Baixo (&lt; 100 $)"/>
    <s v="desempregado"/>
    <s v="desempregado"/>
    <n v="2"/>
    <s v="masculino"/>
    <s v="divorciado"/>
    <s v="codevedor"/>
    <n v="3"/>
    <s v="carro ou outros-quitado"/>
    <n v="43"/>
    <s v="Sénior (41-60)"/>
    <s v="nenhum"/>
    <s v="própria"/>
    <n v="1"/>
    <s v="Executivo/Empresário"/>
    <n v="1"/>
    <s v="não"/>
    <s v="sim"/>
    <n v="1"/>
  </r>
  <r>
    <n v="820"/>
    <x v="1"/>
    <s v="&lt; 0 $"/>
    <s v="negativo/devedor"/>
    <n v="18"/>
    <s v="pgto em dia neste banco (em aberto)"/>
    <s v="radio ou televisao"/>
    <n v="1345"/>
    <s v="&lt; 100 $"/>
    <s v="Baixo (&lt; 100 $)"/>
    <s v="&lt; 4 anos"/>
    <s v="Intermediário (1-4 anos)"/>
    <n v="4"/>
    <s v="masculino"/>
    <s v="casado/viuvo"/>
    <s v="nenhum"/>
    <n v="3"/>
    <s v="imovel"/>
    <n v="26"/>
    <s v="Adulto (26-40)"/>
    <s v="banco"/>
    <s v="própria"/>
    <n v="1"/>
    <s v="Func. Público/Qualificado"/>
    <n v="1"/>
    <s v="não"/>
    <s v="sim"/>
    <n v="2"/>
  </r>
  <r>
    <n v="821"/>
    <x v="0"/>
    <s v="sem conta corrente"/>
    <s v="sem conta no banco"/>
    <n v="12"/>
    <s v="pgto em dia neste banco (em aberto)"/>
    <s v="carro novo"/>
    <n v="1101"/>
    <s v="&lt; 100 $"/>
    <s v="Baixo (&lt; 100 $)"/>
    <s v="&lt; 4 anos"/>
    <s v="Intermediário (1-4 anos)"/>
    <n v="3"/>
    <s v="masculino"/>
    <s v="casado/viuvo"/>
    <s v="nenhum"/>
    <n v="2"/>
    <s v="imovel"/>
    <n v="27"/>
    <s v="Adulto (26-40)"/>
    <s v="nenhum"/>
    <s v="própria"/>
    <n v="2"/>
    <s v="Func. Público/Qualificado"/>
    <n v="1"/>
    <s v="sim"/>
    <s v="sim"/>
    <n v="1"/>
  </r>
  <r>
    <n v="822"/>
    <x v="0"/>
    <s v="&gt;= 200 $"/>
    <s v="saldo saudável"/>
    <n v="12"/>
    <s v="pgto em dia neste banco (em aberto)"/>
    <s v="radio ou televisao"/>
    <n v="3016"/>
    <s v="&lt; 100 $"/>
    <s v="Baixo (&lt; 100 $)"/>
    <s v="&lt; 4 anos"/>
    <s v="Intermediário (1-4 anos)"/>
    <n v="3"/>
    <s v="masculino"/>
    <s v="casado/viuvo"/>
    <s v="nenhum"/>
    <n v="1"/>
    <s v="carro ou outros-quitado"/>
    <n v="24"/>
    <s v="Jovem (18-25)"/>
    <s v="nenhum"/>
    <s v="própria"/>
    <n v="1"/>
    <s v="Func. Público/Qualificado"/>
    <n v="1"/>
    <s v="não"/>
    <s v="sim"/>
    <n v="1"/>
  </r>
  <r>
    <n v="823"/>
    <x v="1"/>
    <s v="&lt; 0 $"/>
    <s v="negativo/devedor"/>
    <n v="36"/>
    <s v="pgto em dia neste banco (em aberto)"/>
    <s v="moveis e equipamentos"/>
    <n v="2712"/>
    <s v="&lt; 100 $"/>
    <s v="Baixo (&lt; 100 $)"/>
    <s v="&gt;= 7 anos"/>
    <s v="Muito Estável (&gt; 7 anos)"/>
    <n v="2"/>
    <s v="masculino"/>
    <s v="solteiro"/>
    <s v="nenhum"/>
    <n v="2"/>
    <s v="poupança ou seguro de vida"/>
    <n v="41"/>
    <s v="Sénior (41-60)"/>
    <s v="banco"/>
    <s v="própria"/>
    <n v="1"/>
    <s v="Func. Público/Qualificado"/>
    <n v="2"/>
    <s v="não"/>
    <s v="sim"/>
    <n v="2"/>
  </r>
  <r>
    <n v="824"/>
    <x v="0"/>
    <s v="&lt; 0 $"/>
    <s v="negativo/devedor"/>
    <n v="8"/>
    <s v="conta critica / dividas com terceiros"/>
    <s v="carro novo"/>
    <n v="731"/>
    <s v="&lt; 100 $"/>
    <s v="Baixo (&lt; 100 $)"/>
    <s v="&gt;= 7 anos"/>
    <s v="Muito Estável (&gt; 7 anos)"/>
    <n v="4"/>
    <s v="masculino"/>
    <s v="solteiro"/>
    <s v="nenhum"/>
    <n v="4"/>
    <s v="imovel"/>
    <n v="47"/>
    <s v="Sénior (41-60)"/>
    <s v="nenhum"/>
    <s v="própria"/>
    <n v="2"/>
    <s v="Empregado Comum"/>
    <n v="1"/>
    <s v="não"/>
    <s v="sim"/>
    <n v="1"/>
  </r>
  <r>
    <n v="825"/>
    <x v="0"/>
    <s v="sem conta corrente"/>
    <s v="sem conta no banco"/>
    <n v="18"/>
    <s v="conta critica / dividas com terceiros"/>
    <s v="moveis e equipamentos"/>
    <n v="3780"/>
    <s v="&lt; 100 $"/>
    <s v="Baixo (&lt; 100 $)"/>
    <s v="&lt; 1 ano"/>
    <s v="Iniciante (&lt; 1 ano)"/>
    <n v="3"/>
    <s v="masculino"/>
    <s v="divorciado"/>
    <s v="nenhum"/>
    <n v="2"/>
    <s v="carro ou outros-quitado"/>
    <n v="35"/>
    <s v="Adulto (26-40)"/>
    <s v="nenhum"/>
    <s v="própria"/>
    <n v="2"/>
    <s v="Executivo/Empresário"/>
    <n v="1"/>
    <s v="sim"/>
    <s v="sim"/>
    <n v="1"/>
  </r>
  <r>
    <n v="826"/>
    <x v="0"/>
    <s v="&lt; 0 $"/>
    <s v="negativo/devedor"/>
    <n v="21"/>
    <s v="conta critica / dividas com terceiros"/>
    <s v="carro novo"/>
    <n v="1602"/>
    <s v="&lt; 100 $"/>
    <s v="Baixo (&lt; 100 $)"/>
    <s v="&gt;= 7 anos"/>
    <s v="Muito Estável (&gt; 7 anos)"/>
    <n v="4"/>
    <s v="masculino"/>
    <s v="casado/viuvo"/>
    <s v="nenhum"/>
    <n v="3"/>
    <s v="carro ou outros-quitado"/>
    <n v="30"/>
    <s v="Adulto (26-40)"/>
    <s v="nenhum"/>
    <s v="própria"/>
    <n v="2"/>
    <s v="Func. Público/Qualificado"/>
    <n v="1"/>
    <s v="sim"/>
    <s v="sim"/>
    <n v="1"/>
  </r>
  <r>
    <n v="827"/>
    <x v="1"/>
    <s v="&lt; 0 $"/>
    <s v="negativo/devedor"/>
    <n v="18"/>
    <s v="conta critica / dividas com terceiros"/>
    <s v="carro novo"/>
    <n v="3966"/>
    <s v="&lt; 100 $"/>
    <s v="Baixo (&lt; 100 $)"/>
    <s v="&gt;= 7 anos"/>
    <s v="Muito Estável (&gt; 7 anos)"/>
    <n v="1"/>
    <s v="feminino"/>
    <s v="divorciada/casada"/>
    <s v="nenhum"/>
    <n v="4"/>
    <s v="imovel"/>
    <n v="33"/>
    <s v="Adulto (26-40)"/>
    <s v="banco"/>
    <s v="aluguel"/>
    <n v="3"/>
    <s v="Func. Público/Qualificado"/>
    <n v="1"/>
    <s v="sim"/>
    <s v="sim"/>
    <n v="2"/>
  </r>
  <r>
    <n v="828"/>
    <x v="1"/>
    <s v="sem conta corrente"/>
    <s v="sem conta no banco"/>
    <n v="18"/>
    <s v="nenhum/pgto em dia"/>
    <s v="negocios"/>
    <n v="4165"/>
    <s v="&lt; 100 $"/>
    <s v="Baixo (&lt; 100 $)"/>
    <s v="&lt; 4 anos"/>
    <s v="Intermediário (1-4 anos)"/>
    <n v="2"/>
    <s v="masculino"/>
    <s v="solteiro"/>
    <s v="nenhum"/>
    <n v="2"/>
    <s v="carro ou outros-quitado"/>
    <n v="36"/>
    <s v="Adulto (26-40)"/>
    <s v="loja"/>
    <s v="própria"/>
    <n v="2"/>
    <s v="Func. Público/Qualificado"/>
    <n v="2"/>
    <s v="não"/>
    <s v="sim"/>
    <n v="2"/>
  </r>
  <r>
    <n v="829"/>
    <x v="1"/>
    <s v="&lt; 0 $"/>
    <s v="negativo/devedor"/>
    <n v="36"/>
    <s v="pgto em dia neste banco (em aberto)"/>
    <s v="carro usado"/>
    <n v="8335"/>
    <s v="sem poupança"/>
    <s v="sem poupança"/>
    <s v="&gt;= 7 anos"/>
    <s v="Muito Estável (&gt; 7 anos)"/>
    <n v="3"/>
    <s v="masculino"/>
    <s v="solteiro"/>
    <s v="nenhum"/>
    <n v="4"/>
    <s v="sem bens"/>
    <n v="47"/>
    <s v="Sénior (41-60)"/>
    <s v="nenhum"/>
    <s v="gratuita"/>
    <n v="1"/>
    <s v="Func. Público/Qualificado"/>
    <n v="1"/>
    <s v="não"/>
    <s v="sim"/>
    <n v="2"/>
  </r>
  <r>
    <n v="830"/>
    <x v="0"/>
    <s v="&gt;= 0 &lt; 200 $"/>
    <s v="saldo baixo"/>
    <n v="48"/>
    <s v="pgto em atraso no passado"/>
    <s v="negocios"/>
    <n v="6681"/>
    <s v="sem poupança"/>
    <s v="sem poupança"/>
    <s v="&lt; 4 anos"/>
    <s v="Intermediário (1-4 anos)"/>
    <n v="4"/>
    <s v="masculino"/>
    <s v="solteiro"/>
    <s v="nenhum"/>
    <n v="4"/>
    <s v="sem bens"/>
    <n v="38"/>
    <s v="Adulto (26-40)"/>
    <s v="nenhum"/>
    <s v="gratuita"/>
    <n v="1"/>
    <s v="Func. Público/Qualificado"/>
    <n v="2"/>
    <s v="sim"/>
    <s v="sim"/>
    <n v="1"/>
  </r>
  <r>
    <n v="831"/>
    <x v="0"/>
    <s v="sem conta corrente"/>
    <s v="sem conta no banco"/>
    <n v="24"/>
    <s v="pgto em atraso no passado"/>
    <s v="negocios"/>
    <n v="2375"/>
    <s v="&gt;= 500 &lt; 1000 $"/>
    <s v="Alto (500-1000 $)"/>
    <s v="&lt; 4 anos"/>
    <s v="Intermediário (1-4 anos)"/>
    <n v="4"/>
    <s v="masculino"/>
    <s v="solteiro"/>
    <s v="nenhum"/>
    <n v="2"/>
    <s v="carro ou outros-quitado"/>
    <n v="44"/>
    <s v="Sénior (41-60)"/>
    <s v="nenhum"/>
    <s v="própria"/>
    <n v="2"/>
    <s v="Func. Público/Qualificado"/>
    <n v="2"/>
    <s v="sim"/>
    <s v="sim"/>
    <n v="1"/>
  </r>
  <r>
    <n v="832"/>
    <x v="1"/>
    <s v="&lt; 0 $"/>
    <s v="negativo/devedor"/>
    <n v="18"/>
    <s v="pgto em dia neste banco (em aberto)"/>
    <s v="carro novo"/>
    <n v="1216"/>
    <s v="&lt; 100 $"/>
    <s v="Baixo (&lt; 100 $)"/>
    <s v="&lt; 1 ano"/>
    <s v="Iniciante (&lt; 1 ano)"/>
    <n v="4"/>
    <s v="feminino"/>
    <s v="divorciada/casada"/>
    <s v="nenhum"/>
    <n v="3"/>
    <s v="carro ou outros-quitado"/>
    <n v="23"/>
    <s v="Jovem (18-25)"/>
    <s v="nenhum"/>
    <s v="aluguel"/>
    <n v="1"/>
    <s v="Func. Público/Qualificado"/>
    <n v="1"/>
    <s v="sim"/>
    <s v="sim"/>
    <n v="2"/>
  </r>
  <r>
    <n v="833"/>
    <x v="1"/>
    <s v="&lt; 0 $"/>
    <s v="negativo/devedor"/>
    <n v="45"/>
    <s v="nenhum/pgto em dia"/>
    <s v="negocios"/>
    <n v="11816"/>
    <s v="&lt; 100 $"/>
    <s v="Baixo (&lt; 100 $)"/>
    <s v="&gt;= 7 anos"/>
    <s v="Muito Estável (&gt; 7 anos)"/>
    <n v="2"/>
    <s v="masculino"/>
    <s v="solteiro"/>
    <s v="nenhum"/>
    <n v="4"/>
    <s v="carro ou outros-quitado"/>
    <n v="29"/>
    <s v="Adulto (26-40)"/>
    <s v="nenhum"/>
    <s v="aluguel"/>
    <n v="2"/>
    <s v="Func. Público/Qualificado"/>
    <n v="1"/>
    <s v="não"/>
    <s v="sim"/>
    <n v="2"/>
  </r>
  <r>
    <n v="834"/>
    <x v="0"/>
    <s v="&gt;= 0 &lt; 200 $"/>
    <s v="saldo baixo"/>
    <n v="24"/>
    <s v="pgto em dia neste banco (em aberto)"/>
    <s v="radio ou televisao"/>
    <n v="5084"/>
    <s v="sem poupança"/>
    <s v="sem poupança"/>
    <s v="&gt;= 7 anos"/>
    <s v="Muito Estável (&gt; 7 anos)"/>
    <n v="2"/>
    <s v="feminino"/>
    <s v="divorciada/casada"/>
    <s v="nenhum"/>
    <n v="4"/>
    <s v="carro ou outros-quitado"/>
    <n v="42"/>
    <s v="Sénior (41-60)"/>
    <s v="nenhum"/>
    <s v="própria"/>
    <n v="1"/>
    <s v="Func. Público/Qualificado"/>
    <n v="1"/>
    <s v="sim"/>
    <s v="sim"/>
    <n v="1"/>
  </r>
  <r>
    <n v="835"/>
    <x v="1"/>
    <s v="&gt;= 200 $"/>
    <s v="saldo saudável"/>
    <n v="15"/>
    <s v="pgto em dia neste banco (em aberto)"/>
    <s v="radio ou televisao"/>
    <n v="2327"/>
    <s v="&lt; 100 $"/>
    <s v="Baixo (&lt; 100 $)"/>
    <s v="&lt; 1 ano"/>
    <s v="Iniciante (&lt; 1 ano)"/>
    <n v="2"/>
    <s v="feminino"/>
    <s v="divorciada/casada"/>
    <s v="nenhum"/>
    <n v="3"/>
    <s v="imovel"/>
    <n v="25"/>
    <s v="Adulto (26-40)"/>
    <s v="nenhum"/>
    <s v="própria"/>
    <n v="1"/>
    <s v="Empregado Comum"/>
    <n v="1"/>
    <s v="não"/>
    <s v="sim"/>
    <n v="2"/>
  </r>
  <r>
    <n v="836"/>
    <x v="1"/>
    <s v="&lt; 0 $"/>
    <s v="negativo/devedor"/>
    <n v="12"/>
    <s v="nenhum/pgto em dia"/>
    <s v="carro novo"/>
    <n v="1082"/>
    <s v="&lt; 100 $"/>
    <s v="Baixo (&lt; 100 $)"/>
    <s v="&lt; 4 anos"/>
    <s v="Intermediário (1-4 anos)"/>
    <n v="4"/>
    <s v="masculino"/>
    <s v="solteiro"/>
    <s v="nenhum"/>
    <n v="4"/>
    <s v="carro ou outros-quitado"/>
    <n v="48"/>
    <s v="Sénior (41-60)"/>
    <s v="banco"/>
    <s v="própria"/>
    <n v="2"/>
    <s v="Func. Público/Qualificado"/>
    <n v="1"/>
    <s v="não"/>
    <s v="sim"/>
    <n v="2"/>
  </r>
  <r>
    <n v="837"/>
    <x v="0"/>
    <s v="sem conta corrente"/>
    <s v="sem conta no banco"/>
    <n v="12"/>
    <s v="pgto em dia neste banco (em aberto)"/>
    <s v="radio ou televisao"/>
    <n v="886"/>
    <s v="sem poupança"/>
    <s v="sem poupança"/>
    <s v="&lt; 4 anos"/>
    <s v="Intermediário (1-4 anos)"/>
    <n v="4"/>
    <s v="feminino"/>
    <s v="divorciada/casada"/>
    <s v="nenhum"/>
    <n v="2"/>
    <s v="carro ou outros-quitado"/>
    <n v="21"/>
    <s v="Jovem (18-25)"/>
    <s v="nenhum"/>
    <s v="própria"/>
    <n v="1"/>
    <s v="Func. Público/Qualificado"/>
    <n v="1"/>
    <s v="não"/>
    <s v="sim"/>
    <n v="1"/>
  </r>
  <r>
    <n v="838"/>
    <x v="0"/>
    <s v="sem conta corrente"/>
    <s v="sem conta no banco"/>
    <n v="4"/>
    <s v="pgto em dia neste banco (em aberto)"/>
    <s v="moveis e equipamentos"/>
    <n v="601"/>
    <s v="&lt; 100 $"/>
    <s v="Baixo (&lt; 100 $)"/>
    <s v="&lt; 1 ano"/>
    <s v="Iniciante (&lt; 1 ano)"/>
    <n v="1"/>
    <s v="feminino"/>
    <s v="divorciada/casada"/>
    <s v="nenhum"/>
    <n v="3"/>
    <s v="imovel"/>
    <n v="23"/>
    <s v="Jovem (18-25)"/>
    <s v="nenhum"/>
    <s v="aluguel"/>
    <n v="1"/>
    <s v="Empregado Comum"/>
    <n v="2"/>
    <s v="não"/>
    <s v="sim"/>
    <n v="1"/>
  </r>
  <r>
    <n v="839"/>
    <x v="0"/>
    <s v="&lt; 0 $"/>
    <s v="negativo/devedor"/>
    <n v="24"/>
    <s v="conta critica / dividas com terceiros"/>
    <s v="carro usado"/>
    <n v="2957"/>
    <s v="&lt; 100 $"/>
    <s v="Baixo (&lt; 100 $)"/>
    <s v="&gt;= 7 anos"/>
    <s v="Muito Estável (&gt; 7 anos)"/>
    <n v="4"/>
    <s v="masculino"/>
    <s v="solteiro"/>
    <s v="nenhum"/>
    <n v="4"/>
    <s v="poupança ou seguro de vida"/>
    <n v="63"/>
    <s v="Idoso (60+)"/>
    <s v="nenhum"/>
    <s v="própria"/>
    <n v="2"/>
    <s v="Func. Público/Qualificado"/>
    <n v="1"/>
    <s v="sim"/>
    <s v="sim"/>
    <n v="1"/>
  </r>
  <r>
    <n v="840"/>
    <x v="0"/>
    <s v="sem conta corrente"/>
    <s v="sem conta no banco"/>
    <n v="24"/>
    <s v="conta critica / dividas com terceiros"/>
    <s v="radio ou televisao"/>
    <n v="2611"/>
    <s v="&lt; 100 $"/>
    <s v="Baixo (&lt; 100 $)"/>
    <s v="&gt;= 7 anos"/>
    <s v="Muito Estável (&gt; 7 anos)"/>
    <n v="4"/>
    <s v="masculino"/>
    <s v="casado/viuvo"/>
    <s v="codevedor"/>
    <n v="3"/>
    <s v="imovel"/>
    <n v="46"/>
    <s v="Sénior (41-60)"/>
    <s v="nenhum"/>
    <s v="própria"/>
    <n v="2"/>
    <s v="Func. Público/Qualificado"/>
    <n v="1"/>
    <s v="não"/>
    <s v="sim"/>
    <n v="1"/>
  </r>
  <r>
    <n v="841"/>
    <x v="1"/>
    <s v="&lt; 0 $"/>
    <s v="negativo/devedor"/>
    <n v="36"/>
    <s v="pgto em dia neste banco (em aberto)"/>
    <s v="moveis e equipamentos"/>
    <n v="5179"/>
    <s v="&lt; 100 $"/>
    <s v="Baixo (&lt; 100 $)"/>
    <s v="&lt; 7 anos"/>
    <s v="Estável (4-7 anos)"/>
    <n v="4"/>
    <s v="masculino"/>
    <s v="solteiro"/>
    <s v="nenhum"/>
    <n v="2"/>
    <s v="poupança ou seguro de vida"/>
    <n v="29"/>
    <s v="Adulto (26-40)"/>
    <s v="nenhum"/>
    <s v="própria"/>
    <n v="1"/>
    <s v="Func. Público/Qualificado"/>
    <n v="1"/>
    <s v="não"/>
    <s v="sim"/>
    <n v="2"/>
  </r>
  <r>
    <n v="842"/>
    <x v="0"/>
    <s v="sem conta corrente"/>
    <s v="sem conta no banco"/>
    <n v="21"/>
    <s v="pgto em atraso no passado"/>
    <s v="carro usado"/>
    <n v="2993"/>
    <s v="&lt; 100 $"/>
    <s v="Baixo (&lt; 100 $)"/>
    <s v="&lt; 4 anos"/>
    <s v="Intermediário (1-4 anos)"/>
    <n v="3"/>
    <s v="masculino"/>
    <s v="solteiro"/>
    <s v="nenhum"/>
    <n v="2"/>
    <s v="imovel"/>
    <n v="28"/>
    <s v="Adulto (26-40)"/>
    <s v="loja"/>
    <s v="própria"/>
    <n v="2"/>
    <s v="Empregado Comum"/>
    <n v="1"/>
    <s v="não"/>
    <s v="sim"/>
    <n v="1"/>
  </r>
  <r>
    <n v="843"/>
    <x v="1"/>
    <s v="sem conta corrente"/>
    <s v="sem conta no banco"/>
    <n v="18"/>
    <s v="pgto em dia neste banco (em aberto)"/>
    <s v="reparos"/>
    <n v="1943"/>
    <s v="&lt; 100 $"/>
    <s v="Baixo (&lt; 100 $)"/>
    <s v="&lt; 1 ano"/>
    <s v="Iniciante (&lt; 1 ano)"/>
    <n v="4"/>
    <s v="feminino"/>
    <s v="divorciada/casada"/>
    <s v="nenhum"/>
    <n v="4"/>
    <s v="imovel"/>
    <n v="23"/>
    <s v="Jovem (18-25)"/>
    <s v="nenhum"/>
    <s v="própria"/>
    <n v="1"/>
    <s v="Func. Público/Qualificado"/>
    <n v="1"/>
    <s v="não"/>
    <s v="sim"/>
    <n v="2"/>
  </r>
  <r>
    <n v="844"/>
    <x v="0"/>
    <s v="sem conta corrente"/>
    <s v="sem conta no banco"/>
    <n v="24"/>
    <s v="pgto em dia neste banco (quitado)"/>
    <s v="negocios"/>
    <n v="1559"/>
    <s v="&lt; 100 $"/>
    <s v="Baixo (&lt; 100 $)"/>
    <s v="&lt; 7 anos"/>
    <s v="Estável (4-7 anos)"/>
    <n v="4"/>
    <s v="masculino"/>
    <s v="solteiro"/>
    <s v="nenhum"/>
    <n v="4"/>
    <s v="carro ou outros-quitado"/>
    <n v="50"/>
    <s v="Sénior (41-60)"/>
    <s v="banco"/>
    <s v="própria"/>
    <n v="1"/>
    <s v="Func. Público/Qualificado"/>
    <n v="1"/>
    <s v="sim"/>
    <s v="sim"/>
    <n v="1"/>
  </r>
  <r>
    <n v="845"/>
    <x v="0"/>
    <s v="sem conta corrente"/>
    <s v="sem conta no banco"/>
    <n v="18"/>
    <s v="pgto em dia neste banco (em aberto)"/>
    <s v="moveis e equipamentos"/>
    <n v="3422"/>
    <s v="&lt; 100 $"/>
    <s v="Baixo (&lt; 100 $)"/>
    <s v="&gt;= 7 anos"/>
    <s v="Muito Estável (&gt; 7 anos)"/>
    <n v="4"/>
    <s v="masculino"/>
    <s v="solteiro"/>
    <s v="nenhum"/>
    <n v="4"/>
    <s v="poupança ou seguro de vida"/>
    <n v="47"/>
    <s v="Sénior (41-60)"/>
    <s v="banco"/>
    <s v="própria"/>
    <n v="3"/>
    <s v="Func. Público/Qualificado"/>
    <n v="2"/>
    <s v="sim"/>
    <s v="sim"/>
    <n v="1"/>
  </r>
  <r>
    <n v="846"/>
    <x v="0"/>
    <s v="&gt;= 0 &lt; 200 $"/>
    <s v="saldo baixo"/>
    <n v="21"/>
    <s v="pgto em dia neste banco (em aberto)"/>
    <s v="moveis e equipamentos"/>
    <n v="3976"/>
    <s v="sem poupança"/>
    <s v="sem poupança"/>
    <s v="&lt; 7 anos"/>
    <s v="Estável (4-7 anos)"/>
    <n v="2"/>
    <s v="masculino"/>
    <s v="solteiro"/>
    <s v="nenhum"/>
    <n v="3"/>
    <s v="carro ou outros-quitado"/>
    <n v="35"/>
    <s v="Adulto (26-40)"/>
    <s v="nenhum"/>
    <s v="própria"/>
    <n v="1"/>
    <s v="Func. Público/Qualificado"/>
    <n v="1"/>
    <s v="sim"/>
    <s v="sim"/>
    <n v="1"/>
  </r>
  <r>
    <n v="847"/>
    <x v="1"/>
    <s v="sem conta corrente"/>
    <s v="sem conta no banco"/>
    <n v="18"/>
    <s v="pgto em dia neste banco (em aberto)"/>
    <s v="carro novo"/>
    <n v="6761"/>
    <s v="sem poupança"/>
    <s v="sem poupança"/>
    <s v="&lt; 4 anos"/>
    <s v="Intermediário (1-4 anos)"/>
    <n v="2"/>
    <s v="masculino"/>
    <s v="solteiro"/>
    <s v="nenhum"/>
    <n v="4"/>
    <s v="carro ou outros-quitado"/>
    <n v="68"/>
    <s v="Idoso (60+)"/>
    <s v="nenhum"/>
    <s v="aluguel"/>
    <n v="2"/>
    <s v="Func. Público/Qualificado"/>
    <n v="1"/>
    <s v="não"/>
    <s v="sim"/>
    <n v="2"/>
  </r>
  <r>
    <n v="848"/>
    <x v="0"/>
    <s v="sem conta corrente"/>
    <s v="sem conta no banco"/>
    <n v="24"/>
    <s v="pgto em dia neste banco (em aberto)"/>
    <s v="carro novo"/>
    <n v="1249"/>
    <s v="&lt; 100 $"/>
    <s v="Baixo (&lt; 100 $)"/>
    <s v="&lt; 1 ano"/>
    <s v="Iniciante (&lt; 1 ano)"/>
    <n v="4"/>
    <s v="masculino"/>
    <s v="casado/viuvo"/>
    <s v="nenhum"/>
    <n v="2"/>
    <s v="imovel"/>
    <n v="28"/>
    <s v="Adulto (26-40)"/>
    <s v="nenhum"/>
    <s v="própria"/>
    <n v="1"/>
    <s v="Func. Público/Qualificado"/>
    <n v="1"/>
    <s v="não"/>
    <s v="sim"/>
    <n v="1"/>
  </r>
  <r>
    <n v="849"/>
    <x v="0"/>
    <s v="&lt; 0 $"/>
    <s v="negativo/devedor"/>
    <n v="9"/>
    <s v="pgto em dia neste banco (em aberto)"/>
    <s v="radio ou televisao"/>
    <n v="1364"/>
    <s v="&lt; 100 $"/>
    <s v="Baixo (&lt; 100 $)"/>
    <s v="&lt; 7 anos"/>
    <s v="Estável (4-7 anos)"/>
    <n v="3"/>
    <s v="masculino"/>
    <s v="solteiro"/>
    <s v="nenhum"/>
    <n v="4"/>
    <s v="imovel"/>
    <n v="59"/>
    <s v="Sénior (41-60)"/>
    <s v="nenhum"/>
    <s v="própria"/>
    <n v="1"/>
    <s v="Func. Público/Qualificado"/>
    <n v="1"/>
    <s v="não"/>
    <s v="sim"/>
    <n v="1"/>
  </r>
  <r>
    <n v="850"/>
    <x v="1"/>
    <s v="&lt; 0 $"/>
    <s v="negativo/devedor"/>
    <n v="12"/>
    <s v="pgto em dia neste banco (em aberto)"/>
    <s v="radio ou televisao"/>
    <n v="709"/>
    <s v="&lt; 100 $"/>
    <s v="Baixo (&lt; 100 $)"/>
    <s v="&gt;= 7 anos"/>
    <s v="Muito Estável (&gt; 7 anos)"/>
    <n v="4"/>
    <s v="masculino"/>
    <s v="solteiro"/>
    <s v="nenhum"/>
    <n v="4"/>
    <s v="imovel"/>
    <n v="57"/>
    <s v="Sénior (41-60)"/>
    <s v="loja"/>
    <s v="própria"/>
    <n v="1"/>
    <s v="Empregado Comum"/>
    <n v="1"/>
    <s v="não"/>
    <s v="sim"/>
    <n v="2"/>
  </r>
  <r>
    <n v="851"/>
    <x v="1"/>
    <s v="&lt; 0 $"/>
    <s v="negativo/devedor"/>
    <n v="20"/>
    <s v="conta critica / dividas com terceiros"/>
    <s v="carro novo"/>
    <n v="2235"/>
    <s v="&lt; 100 $"/>
    <s v="Baixo (&lt; 100 $)"/>
    <s v="&lt; 4 anos"/>
    <s v="Intermediário (1-4 anos)"/>
    <n v="4"/>
    <s v="masculino"/>
    <s v="casado/viuvo"/>
    <s v="garantidor"/>
    <n v="2"/>
    <s v="poupança ou seguro de vida"/>
    <n v="33"/>
    <s v="Adulto (26-40)"/>
    <s v="banco"/>
    <s v="aluguel"/>
    <n v="2"/>
    <s v="Func. Público/Qualificado"/>
    <n v="1"/>
    <s v="não"/>
    <s v="não"/>
    <n v="2"/>
  </r>
  <r>
    <n v="852"/>
    <x v="0"/>
    <s v="sem conta corrente"/>
    <s v="sem conta no banco"/>
    <n v="24"/>
    <s v="conta critica / dividas com terceiros"/>
    <s v="carro usado"/>
    <n v="4042"/>
    <s v="sem poupança"/>
    <s v="sem poupança"/>
    <s v="&lt; 7 anos"/>
    <s v="Estável (4-7 anos)"/>
    <n v="3"/>
    <s v="masculino"/>
    <s v="solteiro"/>
    <s v="nenhum"/>
    <n v="4"/>
    <s v="poupança ou seguro de vida"/>
    <n v="43"/>
    <s v="Sénior (41-60)"/>
    <s v="nenhum"/>
    <s v="própria"/>
    <n v="2"/>
    <s v="Func. Público/Qualificado"/>
    <n v="1"/>
    <s v="sim"/>
    <s v="sim"/>
    <n v="1"/>
  </r>
  <r>
    <n v="853"/>
    <x v="0"/>
    <s v="sem conta corrente"/>
    <s v="sem conta no banco"/>
    <n v="15"/>
    <s v="conta critica / dividas com terceiros"/>
    <s v="radio ou televisao"/>
    <n v="1471"/>
    <s v="&lt; 100 $"/>
    <s v="Baixo (&lt; 100 $)"/>
    <s v="&lt; 4 anos"/>
    <s v="Intermediário (1-4 anos)"/>
    <n v="4"/>
    <s v="masculino"/>
    <s v="solteiro"/>
    <s v="nenhum"/>
    <n v="4"/>
    <s v="sem bens"/>
    <n v="35"/>
    <s v="Adulto (26-40)"/>
    <s v="nenhum"/>
    <s v="gratuita"/>
    <n v="2"/>
    <s v="Func. Público/Qualificado"/>
    <n v="1"/>
    <s v="sim"/>
    <s v="sim"/>
    <n v="1"/>
  </r>
  <r>
    <n v="854"/>
    <x v="1"/>
    <s v="&lt; 0 $"/>
    <s v="negativo/devedor"/>
    <n v="18"/>
    <s v="pgto em dia neste banco (quitado)"/>
    <s v="carro novo"/>
    <n v="1442"/>
    <s v="&lt; 100 $"/>
    <s v="Baixo (&lt; 100 $)"/>
    <s v="&lt; 7 anos"/>
    <s v="Estável (4-7 anos)"/>
    <n v="4"/>
    <s v="masculino"/>
    <s v="solteiro"/>
    <s v="nenhum"/>
    <n v="4"/>
    <s v="sem bens"/>
    <n v="32"/>
    <s v="Adulto (26-40)"/>
    <s v="nenhum"/>
    <s v="gratuita"/>
    <n v="2"/>
    <s v="Empregado Comum"/>
    <n v="2"/>
    <s v="não"/>
    <s v="sim"/>
    <n v="2"/>
  </r>
  <r>
    <n v="855"/>
    <x v="0"/>
    <s v="sem conta corrente"/>
    <s v="sem conta no banco"/>
    <n v="36"/>
    <s v="pgto em atraso no passado"/>
    <s v="carro novo"/>
    <n v="10875"/>
    <s v="&lt; 100 $"/>
    <s v="Baixo (&lt; 100 $)"/>
    <s v="&gt;= 7 anos"/>
    <s v="Muito Estável (&gt; 7 anos)"/>
    <n v="2"/>
    <s v="masculino"/>
    <s v="solteiro"/>
    <s v="nenhum"/>
    <n v="2"/>
    <s v="carro ou outros-quitado"/>
    <n v="45"/>
    <s v="Sénior (41-60)"/>
    <s v="nenhum"/>
    <s v="própria"/>
    <n v="2"/>
    <s v="Func. Público/Qualificado"/>
    <n v="2"/>
    <s v="sim"/>
    <s v="sim"/>
    <n v="1"/>
  </r>
  <r>
    <n v="856"/>
    <x v="0"/>
    <s v="sem conta corrente"/>
    <s v="sem conta no banco"/>
    <n v="24"/>
    <s v="pgto em dia neste banco (em aberto)"/>
    <s v="carro novo"/>
    <n v="1474"/>
    <s v="&gt;= 100 &lt; 500 $"/>
    <s v="Médio (100-500$)"/>
    <s v="&lt; 1 ano"/>
    <s v="Iniciante (&lt; 1 ano)"/>
    <n v="4"/>
    <s v="masculino"/>
    <s v="casado/viuvo"/>
    <s v="nenhum"/>
    <n v="3"/>
    <s v="imovel"/>
    <n v="33"/>
    <s v="Adulto (26-40)"/>
    <s v="nenhum"/>
    <s v="própria"/>
    <n v="1"/>
    <s v="Func. Público/Qualificado"/>
    <n v="1"/>
    <s v="sim"/>
    <s v="sim"/>
    <n v="1"/>
  </r>
  <r>
    <n v="857"/>
    <x v="0"/>
    <s v="sem conta corrente"/>
    <s v="sem conta no banco"/>
    <n v="10"/>
    <s v="pgto em dia neste banco (em aberto)"/>
    <s v="reciclagem profissional"/>
    <n v="894"/>
    <s v="sem poupança"/>
    <s v="sem poupança"/>
    <s v="&lt; 7 anos"/>
    <s v="Estável (4-7 anos)"/>
    <n v="4"/>
    <s v="feminino"/>
    <s v="divorciada/casada"/>
    <s v="nenhum"/>
    <n v="3"/>
    <s v="poupança ou seguro de vida"/>
    <n v="40"/>
    <s v="Sénior (41-60)"/>
    <s v="nenhum"/>
    <s v="própria"/>
    <n v="1"/>
    <s v="Func. Público/Qualificado"/>
    <n v="1"/>
    <s v="sim"/>
    <s v="sim"/>
    <n v="1"/>
  </r>
  <r>
    <n v="858"/>
    <x v="0"/>
    <s v="sem conta corrente"/>
    <s v="sem conta no banco"/>
    <n v="15"/>
    <s v="conta critica / dividas com terceiros"/>
    <s v="moveis e equipamentos"/>
    <n v="3343"/>
    <s v="&lt; 100 $"/>
    <s v="Baixo (&lt; 100 $)"/>
    <s v="&lt; 4 anos"/>
    <s v="Intermediário (1-4 anos)"/>
    <n v="4"/>
    <s v="masculino"/>
    <s v="solteiro"/>
    <s v="nenhum"/>
    <n v="2"/>
    <s v="sem bens"/>
    <n v="28"/>
    <s v="Adulto (26-40)"/>
    <s v="nenhum"/>
    <s v="gratuita"/>
    <n v="1"/>
    <s v="Func. Público/Qualificado"/>
    <n v="1"/>
    <s v="sim"/>
    <s v="sim"/>
    <n v="1"/>
  </r>
  <r>
    <n v="859"/>
    <x v="1"/>
    <s v="&lt; 0 $"/>
    <s v="negativo/devedor"/>
    <n v="15"/>
    <s v="pgto em dia neste banco (em aberto)"/>
    <s v="carro novo"/>
    <n v="3959"/>
    <s v="&lt; 100 $"/>
    <s v="Baixo (&lt; 100 $)"/>
    <s v="&lt; 4 anos"/>
    <s v="Intermediário (1-4 anos)"/>
    <n v="3"/>
    <s v="feminino"/>
    <s v="divorciada/casada"/>
    <s v="nenhum"/>
    <n v="2"/>
    <s v="poupança ou seguro de vida"/>
    <n v="29"/>
    <s v="Adulto (26-40)"/>
    <s v="nenhum"/>
    <s v="própria"/>
    <n v="1"/>
    <s v="Func. Público/Qualificado"/>
    <n v="1"/>
    <s v="sim"/>
    <s v="sim"/>
    <n v="2"/>
  </r>
  <r>
    <n v="860"/>
    <x v="0"/>
    <s v="sem conta corrente"/>
    <s v="sem conta no banco"/>
    <n v="9"/>
    <s v="pgto em dia neste banco (em aberto)"/>
    <s v="carro novo"/>
    <n v="3577"/>
    <s v="&gt;= 100 &lt; 500 $"/>
    <s v="Médio (100-500$)"/>
    <s v="&lt; 4 anos"/>
    <s v="Intermediário (1-4 anos)"/>
    <n v="1"/>
    <s v="masculino"/>
    <s v="solteiro"/>
    <s v="garantidor"/>
    <n v="2"/>
    <s v="imovel"/>
    <n v="26"/>
    <s v="Adulto (26-40)"/>
    <s v="nenhum"/>
    <s v="aluguel"/>
    <n v="1"/>
    <s v="Func. Público/Qualificado"/>
    <n v="2"/>
    <s v="não"/>
    <s v="não"/>
    <n v="1"/>
  </r>
  <r>
    <n v="861"/>
    <x v="0"/>
    <s v="sem conta corrente"/>
    <s v="sem conta no banco"/>
    <n v="24"/>
    <s v="conta critica / dividas com terceiros"/>
    <s v="carro usado"/>
    <n v="5804"/>
    <s v="&gt;= 1000 $"/>
    <s v="Muito alto (&gt;1000$)"/>
    <s v="&lt; 4 anos"/>
    <s v="Intermediário (1-4 anos)"/>
    <n v="4"/>
    <s v="masculino"/>
    <s v="solteiro"/>
    <s v="nenhum"/>
    <n v="2"/>
    <s v="imovel"/>
    <n v="27"/>
    <s v="Adulto (26-40)"/>
    <s v="nenhum"/>
    <s v="própria"/>
    <n v="2"/>
    <s v="Func. Público/Qualificado"/>
    <n v="1"/>
    <s v="não"/>
    <s v="sim"/>
    <n v="1"/>
  </r>
  <r>
    <n v="862"/>
    <x v="1"/>
    <s v="sem conta corrente"/>
    <s v="sem conta no banco"/>
    <n v="18"/>
    <s v="pgto em atraso no passado"/>
    <s v="negocios"/>
    <n v="2169"/>
    <s v="&lt; 100 $"/>
    <s v="Baixo (&lt; 100 $)"/>
    <s v="&lt; 4 anos"/>
    <s v="Intermediário (1-4 anos)"/>
    <n v="4"/>
    <s v="masculino"/>
    <s v="casado/viuvo"/>
    <s v="nenhum"/>
    <n v="2"/>
    <s v="carro ou outros-quitado"/>
    <n v="28"/>
    <s v="Adulto (26-40)"/>
    <s v="nenhum"/>
    <s v="própria"/>
    <n v="1"/>
    <s v="Func. Público/Qualificado"/>
    <n v="1"/>
    <s v="sim"/>
    <s v="sim"/>
    <n v="2"/>
  </r>
  <r>
    <n v="863"/>
    <x v="1"/>
    <s v="&lt; 0 $"/>
    <s v="negativo/devedor"/>
    <n v="24"/>
    <s v="pgto em dia neste banco (em aberto)"/>
    <s v="radio ou televisao"/>
    <n v="2439"/>
    <s v="&lt; 100 $"/>
    <s v="Baixo (&lt; 100 $)"/>
    <s v="&lt; 1 ano"/>
    <s v="Iniciante (&lt; 1 ano)"/>
    <n v="4"/>
    <s v="feminino"/>
    <s v="divorciada/casada"/>
    <s v="nenhum"/>
    <n v="4"/>
    <s v="imovel"/>
    <n v="35"/>
    <s v="Adulto (26-40)"/>
    <s v="nenhum"/>
    <s v="própria"/>
    <n v="1"/>
    <s v="Func. Público/Qualificado"/>
    <n v="1"/>
    <s v="sim"/>
    <s v="sim"/>
    <n v="2"/>
  </r>
  <r>
    <n v="864"/>
    <x v="0"/>
    <s v="sem conta corrente"/>
    <s v="sem conta no banco"/>
    <n v="27"/>
    <s v="conta critica / dividas com terceiros"/>
    <s v="moveis e equipamentos"/>
    <n v="4526"/>
    <s v="&gt;= 1000 $"/>
    <s v="Muito alto (&gt;1000$)"/>
    <s v="&lt; 1 ano"/>
    <s v="Iniciante (&lt; 1 ano)"/>
    <n v="4"/>
    <s v="masculino"/>
    <s v="solteiro"/>
    <s v="nenhum"/>
    <n v="2"/>
    <s v="imovel"/>
    <n v="32"/>
    <s v="Adulto (26-40)"/>
    <s v="loja"/>
    <s v="própria"/>
    <n v="2"/>
    <s v="Empregado Comum"/>
    <n v="2"/>
    <s v="sim"/>
    <s v="sim"/>
    <n v="1"/>
  </r>
  <r>
    <n v="865"/>
    <x v="1"/>
    <s v="sem conta corrente"/>
    <s v="sem conta no banco"/>
    <n v="10"/>
    <s v="pgto em dia neste banco (em aberto)"/>
    <s v="moveis e equipamentos"/>
    <n v="2210"/>
    <s v="&lt; 100 $"/>
    <s v="Baixo (&lt; 100 $)"/>
    <s v="&lt; 4 anos"/>
    <s v="Intermediário (1-4 anos)"/>
    <n v="2"/>
    <s v="masculino"/>
    <s v="solteiro"/>
    <s v="nenhum"/>
    <n v="2"/>
    <s v="imovel"/>
    <n v="25"/>
    <s v="Adulto (26-40)"/>
    <s v="banco"/>
    <s v="aluguel"/>
    <n v="1"/>
    <s v="Empregado Comum"/>
    <n v="1"/>
    <s v="não"/>
    <s v="sim"/>
    <n v="2"/>
  </r>
  <r>
    <n v="866"/>
    <x v="0"/>
    <s v="sem conta corrente"/>
    <s v="sem conta no banco"/>
    <n v="15"/>
    <s v="pgto em dia neste banco (em aberto)"/>
    <s v="moveis e equipamentos"/>
    <n v="2221"/>
    <s v="&gt;= 500 &lt; 1000 $"/>
    <s v="Alto (500-1000 $)"/>
    <s v="&lt; 4 anos"/>
    <s v="Intermediário (1-4 anos)"/>
    <n v="2"/>
    <s v="feminino"/>
    <s v="divorciada/casada"/>
    <s v="nenhum"/>
    <n v="4"/>
    <s v="carro ou outros-quitado"/>
    <n v="20"/>
    <s v="Jovem (18-25)"/>
    <s v="nenhum"/>
    <s v="aluguel"/>
    <n v="1"/>
    <s v="Func. Público/Qualificado"/>
    <n v="1"/>
    <s v="não"/>
    <s v="sim"/>
    <n v="1"/>
  </r>
  <r>
    <n v="867"/>
    <x v="0"/>
    <s v="&lt; 0 $"/>
    <s v="negativo/devedor"/>
    <n v="18"/>
    <s v="pgto em dia neste banco (em aberto)"/>
    <s v="radio ou televisao"/>
    <n v="2389"/>
    <s v="&lt; 100 $"/>
    <s v="Baixo (&lt; 100 $)"/>
    <s v="&lt; 1 ano"/>
    <s v="Iniciante (&lt; 1 ano)"/>
    <n v="4"/>
    <s v="feminino"/>
    <s v="divorciada/casada"/>
    <s v="nenhum"/>
    <n v="1"/>
    <s v="carro ou outros-quitado"/>
    <n v="27"/>
    <s v="Adulto (26-40)"/>
    <s v="loja"/>
    <s v="própria"/>
    <n v="1"/>
    <s v="Func. Público/Qualificado"/>
    <n v="1"/>
    <s v="não"/>
    <s v="sim"/>
    <n v="1"/>
  </r>
  <r>
    <n v="868"/>
    <x v="0"/>
    <s v="sem conta corrente"/>
    <s v="sem conta no banco"/>
    <n v="12"/>
    <s v="conta critica / dividas com terceiros"/>
    <s v="moveis e equipamentos"/>
    <n v="3331"/>
    <s v="&lt; 100 $"/>
    <s v="Baixo (&lt; 100 $)"/>
    <s v="&gt;= 7 anos"/>
    <s v="Muito Estável (&gt; 7 anos)"/>
    <n v="2"/>
    <s v="masculino"/>
    <s v="solteiro"/>
    <s v="nenhum"/>
    <n v="4"/>
    <s v="poupança ou seguro de vida"/>
    <n v="42"/>
    <s v="Sénior (41-60)"/>
    <s v="loja"/>
    <s v="própria"/>
    <n v="1"/>
    <s v="Func. Público/Qualificado"/>
    <n v="1"/>
    <s v="não"/>
    <s v="sim"/>
    <n v="1"/>
  </r>
  <r>
    <n v="869"/>
    <x v="0"/>
    <s v="sem conta corrente"/>
    <s v="sem conta no banco"/>
    <n v="36"/>
    <s v="pgto em dia neste banco (em aberto)"/>
    <s v="negocios"/>
    <n v="7409"/>
    <s v="sem poupança"/>
    <s v="sem poupança"/>
    <s v="&gt;= 7 anos"/>
    <s v="Muito Estável (&gt; 7 anos)"/>
    <n v="3"/>
    <s v="masculino"/>
    <s v="solteiro"/>
    <s v="nenhum"/>
    <n v="2"/>
    <s v="poupança ou seguro de vida"/>
    <n v="37"/>
    <s v="Adulto (26-40)"/>
    <s v="nenhum"/>
    <s v="própria"/>
    <n v="2"/>
    <s v="Func. Público/Qualificado"/>
    <n v="1"/>
    <s v="não"/>
    <s v="sim"/>
    <n v="1"/>
  </r>
  <r>
    <n v="870"/>
    <x v="0"/>
    <s v="&lt; 0 $"/>
    <s v="negativo/devedor"/>
    <n v="12"/>
    <s v="pgto em dia neste banco (em aberto)"/>
    <s v="moveis e equipamentos"/>
    <n v="652"/>
    <s v="&lt; 100 $"/>
    <s v="Baixo (&lt; 100 $)"/>
    <s v="&gt;= 7 anos"/>
    <s v="Muito Estável (&gt; 7 anos)"/>
    <n v="4"/>
    <s v="feminino"/>
    <s v="divorciada/casada"/>
    <s v="nenhum"/>
    <n v="4"/>
    <s v="poupança ou seguro de vida"/>
    <n v="24"/>
    <s v="Jovem (18-25)"/>
    <s v="nenhum"/>
    <s v="aluguel"/>
    <n v="1"/>
    <s v="Func. Público/Qualificado"/>
    <n v="1"/>
    <s v="não"/>
    <s v="sim"/>
    <n v="1"/>
  </r>
  <r>
    <n v="871"/>
    <x v="0"/>
    <s v="sem conta corrente"/>
    <s v="sem conta no banco"/>
    <n v="36"/>
    <s v="pgto em atraso no passado"/>
    <s v="moveis e equipamentos"/>
    <n v="7678"/>
    <s v="&gt;= 500 &lt; 1000 $"/>
    <s v="Alto (500-1000 $)"/>
    <s v="&lt; 7 anos"/>
    <s v="Estável (4-7 anos)"/>
    <n v="2"/>
    <s v="feminino"/>
    <s v="divorciada/casada"/>
    <s v="nenhum"/>
    <n v="4"/>
    <s v="carro ou outros-quitado"/>
    <n v="40"/>
    <s v="Sénior (41-60)"/>
    <s v="nenhum"/>
    <s v="própria"/>
    <n v="2"/>
    <s v="Func. Público/Qualificado"/>
    <n v="1"/>
    <s v="sim"/>
    <s v="sim"/>
    <n v="1"/>
  </r>
  <r>
    <n v="872"/>
    <x v="0"/>
    <s v="&gt;= 200 $"/>
    <s v="saldo saudável"/>
    <n v="6"/>
    <s v="conta critica / dividas com terceiros"/>
    <s v="carro novo"/>
    <n v="1343"/>
    <s v="&lt; 100 $"/>
    <s v="Baixo (&lt; 100 $)"/>
    <s v="&gt;= 7 anos"/>
    <s v="Muito Estável (&gt; 7 anos)"/>
    <n v="1"/>
    <s v="masculino"/>
    <s v="solteiro"/>
    <s v="nenhum"/>
    <n v="4"/>
    <s v="imovel"/>
    <n v="46"/>
    <s v="Sénior (41-60)"/>
    <s v="nenhum"/>
    <s v="própria"/>
    <n v="2"/>
    <s v="Func. Público/Qualificado"/>
    <n v="2"/>
    <s v="não"/>
    <s v="não"/>
    <n v="1"/>
  </r>
  <r>
    <n v="873"/>
    <x v="0"/>
    <s v="&lt; 0 $"/>
    <s v="negativo/devedor"/>
    <n v="24"/>
    <s v="conta critica / dividas com terceiros"/>
    <s v="negocios"/>
    <n v="1382"/>
    <s v="&gt;= 100 &lt; 500 $"/>
    <s v="Médio (100-500$)"/>
    <s v="&lt; 7 anos"/>
    <s v="Estável (4-7 anos)"/>
    <n v="4"/>
    <s v="masculino"/>
    <s v="solteiro"/>
    <s v="nenhum"/>
    <n v="1"/>
    <s v="imovel"/>
    <n v="26"/>
    <s v="Adulto (26-40)"/>
    <s v="nenhum"/>
    <s v="própria"/>
    <n v="2"/>
    <s v="Func. Público/Qualificado"/>
    <n v="1"/>
    <s v="sim"/>
    <s v="sim"/>
    <n v="1"/>
  </r>
  <r>
    <n v="874"/>
    <x v="0"/>
    <s v="sem conta corrente"/>
    <s v="sem conta no banco"/>
    <n v="15"/>
    <s v="pgto em dia neste banco (em aberto)"/>
    <s v="eletrodomesticos"/>
    <n v="874"/>
    <s v="sem poupança"/>
    <s v="sem poupança"/>
    <s v="&lt; 1 ano"/>
    <s v="Iniciante (&lt; 1 ano)"/>
    <n v="4"/>
    <s v="feminino"/>
    <s v="divorciada/casada"/>
    <s v="nenhum"/>
    <n v="1"/>
    <s v="imovel"/>
    <n v="24"/>
    <s v="Jovem (18-25)"/>
    <s v="nenhum"/>
    <s v="própria"/>
    <n v="1"/>
    <s v="Func. Público/Qualificado"/>
    <n v="1"/>
    <s v="não"/>
    <s v="sim"/>
    <n v="1"/>
  </r>
  <r>
    <n v="875"/>
    <x v="0"/>
    <s v="&lt; 0 $"/>
    <s v="negativo/devedor"/>
    <n v="12"/>
    <s v="pgto em dia neste banco (em aberto)"/>
    <s v="moveis e equipamentos"/>
    <n v="3590"/>
    <s v="&lt; 100 $"/>
    <s v="Baixo (&lt; 100 $)"/>
    <s v="&lt; 4 anos"/>
    <s v="Intermediário (1-4 anos)"/>
    <n v="2"/>
    <s v="masculino"/>
    <s v="solteiro"/>
    <s v="codevedor"/>
    <n v="2"/>
    <s v="poupança ou seguro de vida"/>
    <n v="29"/>
    <s v="Adulto (26-40)"/>
    <s v="nenhum"/>
    <s v="própria"/>
    <n v="1"/>
    <s v="Empregado Comum"/>
    <n v="2"/>
    <s v="não"/>
    <s v="sim"/>
    <n v="1"/>
  </r>
  <r>
    <n v="876"/>
    <x v="0"/>
    <s v="&gt;= 0 &lt; 200 $"/>
    <s v="saldo baixo"/>
    <n v="11"/>
    <s v="conta critica / dividas com terceiros"/>
    <s v="carro novo"/>
    <n v="1322"/>
    <s v="&gt;= 1000 $"/>
    <s v="Muito alto (&gt;1000$)"/>
    <s v="&lt; 4 anos"/>
    <s v="Intermediário (1-4 anos)"/>
    <n v="4"/>
    <s v="feminino"/>
    <s v="divorciada/casada"/>
    <s v="nenhum"/>
    <n v="4"/>
    <s v="carro ou outros-quitado"/>
    <n v="40"/>
    <s v="Sénior (41-60)"/>
    <s v="nenhum"/>
    <s v="própria"/>
    <n v="2"/>
    <s v="Func. Público/Qualificado"/>
    <n v="1"/>
    <s v="não"/>
    <s v="sim"/>
    <n v="1"/>
  </r>
  <r>
    <n v="877"/>
    <x v="0"/>
    <s v="&lt; 0 $"/>
    <s v="negativo/devedor"/>
    <n v="18"/>
    <s v="pgto em dia neste banco (quitado)"/>
    <s v="radio ou televisao"/>
    <n v="1940"/>
    <s v="&lt; 100 $"/>
    <s v="Baixo (&lt; 100 $)"/>
    <s v="&lt; 1 ano"/>
    <s v="Iniciante (&lt; 1 ano)"/>
    <n v="3"/>
    <s v="masculino"/>
    <s v="solteiro"/>
    <s v="codevedor"/>
    <n v="4"/>
    <s v="sem bens"/>
    <n v="36"/>
    <s v="Adulto (26-40)"/>
    <s v="banco"/>
    <s v="gratuita"/>
    <n v="1"/>
    <s v="Executivo/Empresário"/>
    <n v="1"/>
    <s v="sim"/>
    <s v="sim"/>
    <n v="1"/>
  </r>
  <r>
    <n v="878"/>
    <x v="0"/>
    <s v="sem conta corrente"/>
    <s v="sem conta no banco"/>
    <n v="36"/>
    <s v="pgto em dia neste banco (em aberto)"/>
    <s v="radio ou televisao"/>
    <n v="3595"/>
    <s v="&lt; 100 $"/>
    <s v="Baixo (&lt; 100 $)"/>
    <s v="&gt;= 7 anos"/>
    <s v="Muito Estável (&gt; 7 anos)"/>
    <n v="4"/>
    <s v="masculino"/>
    <s v="solteiro"/>
    <s v="nenhum"/>
    <n v="2"/>
    <s v="carro ou outros-quitado"/>
    <n v="28"/>
    <s v="Adulto (26-40)"/>
    <s v="nenhum"/>
    <s v="própria"/>
    <n v="1"/>
    <s v="Func. Público/Qualificado"/>
    <n v="1"/>
    <s v="não"/>
    <s v="sim"/>
    <n v="1"/>
  </r>
  <r>
    <n v="879"/>
    <x v="1"/>
    <s v="&lt; 0 $"/>
    <s v="negativo/devedor"/>
    <n v="9"/>
    <s v="pgto em dia neste banco (em aberto)"/>
    <s v="carro novo"/>
    <n v="1422"/>
    <s v="&lt; 100 $"/>
    <s v="Baixo (&lt; 100 $)"/>
    <s v="&lt; 1 ano"/>
    <s v="Iniciante (&lt; 1 ano)"/>
    <n v="3"/>
    <s v="masculino"/>
    <s v="solteiro"/>
    <s v="nenhum"/>
    <n v="2"/>
    <s v="sem bens"/>
    <n v="27"/>
    <s v="Adulto (26-40)"/>
    <s v="nenhum"/>
    <s v="gratuita"/>
    <n v="1"/>
    <s v="Executivo/Empresário"/>
    <n v="1"/>
    <s v="sim"/>
    <s v="sim"/>
    <n v="2"/>
  </r>
  <r>
    <n v="880"/>
    <x v="0"/>
    <s v="sem conta corrente"/>
    <s v="sem conta no banco"/>
    <n v="30"/>
    <s v="conta critica / dividas com terceiros"/>
    <s v="radio ou televisao"/>
    <n v="6742"/>
    <s v="sem poupança"/>
    <s v="sem poupança"/>
    <s v="&lt; 7 anos"/>
    <s v="Estável (4-7 anos)"/>
    <n v="2"/>
    <s v="masculino"/>
    <s v="solteiro"/>
    <s v="nenhum"/>
    <n v="3"/>
    <s v="poupança ou seguro de vida"/>
    <n v="36"/>
    <s v="Adulto (26-40)"/>
    <s v="nenhum"/>
    <s v="própria"/>
    <n v="2"/>
    <s v="Func. Público/Qualificado"/>
    <n v="1"/>
    <s v="não"/>
    <s v="sim"/>
    <n v="1"/>
  </r>
  <r>
    <n v="881"/>
    <x v="0"/>
    <s v="sem conta corrente"/>
    <s v="sem conta no banco"/>
    <n v="24"/>
    <s v="pgto em dia neste banco (em aberto)"/>
    <s v="carro usado"/>
    <n v="7814"/>
    <s v="&lt; 100 $"/>
    <s v="Baixo (&lt; 100 $)"/>
    <s v="&lt; 7 anos"/>
    <s v="Estável (4-7 anos)"/>
    <n v="3"/>
    <s v="masculino"/>
    <s v="solteiro"/>
    <s v="nenhum"/>
    <n v="3"/>
    <s v="carro ou outros-quitado"/>
    <n v="38"/>
    <s v="Adulto (26-40)"/>
    <s v="nenhum"/>
    <s v="própria"/>
    <n v="1"/>
    <s v="Executivo/Empresário"/>
    <n v="1"/>
    <s v="sim"/>
    <s v="sim"/>
    <n v="1"/>
  </r>
  <r>
    <n v="882"/>
    <x v="0"/>
    <s v="sem conta corrente"/>
    <s v="sem conta no banco"/>
    <n v="24"/>
    <s v="pgto em dia neste banco (em aberto)"/>
    <s v="carro usado"/>
    <n v="9277"/>
    <s v="sem poupança"/>
    <s v="sem poupança"/>
    <s v="&lt; 4 anos"/>
    <s v="Intermediário (1-4 anos)"/>
    <n v="2"/>
    <s v="masculino"/>
    <s v="divorciado"/>
    <s v="nenhum"/>
    <n v="4"/>
    <s v="sem bens"/>
    <n v="48"/>
    <s v="Sénior (41-60)"/>
    <s v="nenhum"/>
    <s v="gratuita"/>
    <n v="1"/>
    <s v="Func. Público/Qualificado"/>
    <n v="1"/>
    <s v="sim"/>
    <s v="sim"/>
    <n v="1"/>
  </r>
  <r>
    <n v="883"/>
    <x v="0"/>
    <s v="&gt;= 0 &lt; 200 $"/>
    <s v="saldo baixo"/>
    <n v="30"/>
    <s v="conta critica / dividas com terceiros"/>
    <s v="carro novo"/>
    <n v="2181"/>
    <s v="sem poupança"/>
    <s v="sem poupança"/>
    <s v="&gt;= 7 anos"/>
    <s v="Muito Estável (&gt; 7 anos)"/>
    <n v="4"/>
    <s v="masculino"/>
    <s v="solteiro"/>
    <s v="nenhum"/>
    <n v="4"/>
    <s v="imovel"/>
    <n v="36"/>
    <s v="Adulto (26-40)"/>
    <s v="nenhum"/>
    <s v="própria"/>
    <n v="2"/>
    <s v="Func. Público/Qualificado"/>
    <n v="1"/>
    <s v="não"/>
    <s v="sim"/>
    <n v="1"/>
  </r>
  <r>
    <n v="884"/>
    <x v="0"/>
    <s v="sem conta corrente"/>
    <s v="sem conta no banco"/>
    <n v="18"/>
    <s v="conta critica / dividas com terceiros"/>
    <s v="radio ou televisao"/>
    <n v="1098"/>
    <s v="&lt; 100 $"/>
    <s v="Baixo (&lt; 100 $)"/>
    <s v="desempregado"/>
    <s v="desempregado"/>
    <n v="4"/>
    <s v="feminino"/>
    <s v="divorciada/casada"/>
    <s v="nenhum"/>
    <n v="4"/>
    <s v="carro ou outros-quitado"/>
    <n v="65"/>
    <s v="Idoso (60+)"/>
    <s v="nenhum"/>
    <s v="própria"/>
    <n v="2"/>
    <s v="Não qualificado/Desempregado"/>
    <n v="1"/>
    <s v="não"/>
    <s v="sim"/>
    <n v="1"/>
  </r>
  <r>
    <n v="885"/>
    <x v="1"/>
    <s v="&gt;= 0 &lt; 200 $"/>
    <s v="saldo baixo"/>
    <n v="24"/>
    <s v="pgto em dia neste banco (em aberto)"/>
    <s v="moveis e equipamentos"/>
    <n v="4057"/>
    <s v="&lt; 100 $"/>
    <s v="Baixo (&lt; 100 $)"/>
    <s v="&lt; 7 anos"/>
    <s v="Estável (4-7 anos)"/>
    <n v="3"/>
    <s v="masculino"/>
    <s v="divorciado"/>
    <s v="nenhum"/>
    <n v="3"/>
    <s v="carro ou outros-quitado"/>
    <n v="43"/>
    <s v="Sénior (41-60)"/>
    <s v="nenhum"/>
    <s v="própria"/>
    <n v="1"/>
    <s v="Func. Público/Qualificado"/>
    <n v="1"/>
    <s v="sim"/>
    <s v="sim"/>
    <n v="2"/>
  </r>
  <r>
    <n v="886"/>
    <x v="1"/>
    <s v="&lt; 0 $"/>
    <s v="negativo/devedor"/>
    <n v="12"/>
    <s v="pgto em dia neste banco (em aberto)"/>
    <s v="educacao"/>
    <n v="795"/>
    <s v="&lt; 100 $"/>
    <s v="Baixo (&lt; 100 $)"/>
    <s v="&lt; 1 ano"/>
    <s v="Iniciante (&lt; 1 ano)"/>
    <n v="4"/>
    <s v="feminino"/>
    <s v="divorciada/casada"/>
    <s v="nenhum"/>
    <n v="4"/>
    <s v="poupança ou seguro de vida"/>
    <n v="53"/>
    <s v="Sénior (41-60)"/>
    <s v="nenhum"/>
    <s v="própria"/>
    <n v="1"/>
    <s v="Func. Público/Qualificado"/>
    <n v="1"/>
    <s v="não"/>
    <s v="sim"/>
    <n v="2"/>
  </r>
  <r>
    <n v="887"/>
    <x v="0"/>
    <s v="&gt;= 0 &lt; 200 $"/>
    <s v="saldo baixo"/>
    <n v="24"/>
    <s v="conta critica / dividas com terceiros"/>
    <s v="negocios"/>
    <n v="2825"/>
    <s v="sem poupança"/>
    <s v="sem poupança"/>
    <s v="&lt; 7 anos"/>
    <s v="Estável (4-7 anos)"/>
    <n v="4"/>
    <s v="masculino"/>
    <s v="solteiro"/>
    <s v="nenhum"/>
    <n v="3"/>
    <s v="sem bens"/>
    <n v="34"/>
    <s v="Adulto (26-40)"/>
    <s v="nenhum"/>
    <s v="própria"/>
    <n v="2"/>
    <s v="Func. Público/Qualificado"/>
    <n v="2"/>
    <s v="sim"/>
    <s v="sim"/>
    <n v="1"/>
  </r>
  <r>
    <n v="888"/>
    <x v="1"/>
    <s v="&gt;= 0 &lt; 200 $"/>
    <s v="saldo baixo"/>
    <n v="48"/>
    <s v="pgto em dia neste banco (em aberto)"/>
    <s v="negocios"/>
    <n v="15672"/>
    <s v="&lt; 100 $"/>
    <s v="Baixo (&lt; 100 $)"/>
    <s v="&lt; 4 anos"/>
    <s v="Intermediário (1-4 anos)"/>
    <n v="2"/>
    <s v="masculino"/>
    <s v="solteiro"/>
    <s v="nenhum"/>
    <n v="2"/>
    <s v="carro ou outros-quitado"/>
    <n v="23"/>
    <s v="Jovem (18-25)"/>
    <s v="nenhum"/>
    <s v="própria"/>
    <n v="1"/>
    <s v="Func. Público/Qualificado"/>
    <n v="1"/>
    <s v="sim"/>
    <s v="sim"/>
    <n v="2"/>
  </r>
  <r>
    <n v="889"/>
    <x v="0"/>
    <s v="sem conta corrente"/>
    <s v="sem conta no banco"/>
    <n v="36"/>
    <s v="conta critica / dividas com terceiros"/>
    <s v="carro novo"/>
    <n v="6614"/>
    <s v="&lt; 100 $"/>
    <s v="Baixo (&lt; 100 $)"/>
    <s v="&gt;= 7 anos"/>
    <s v="Muito Estável (&gt; 7 anos)"/>
    <n v="4"/>
    <s v="masculino"/>
    <s v="solteiro"/>
    <s v="nenhum"/>
    <n v="4"/>
    <s v="carro ou outros-quitado"/>
    <n v="34"/>
    <s v="Adulto (26-40)"/>
    <s v="nenhum"/>
    <s v="própria"/>
    <n v="2"/>
    <s v="Executivo/Empresário"/>
    <n v="1"/>
    <s v="sim"/>
    <s v="sim"/>
    <n v="1"/>
  </r>
  <r>
    <n v="890"/>
    <x v="0"/>
    <s v="sem conta corrente"/>
    <s v="sem conta no banco"/>
    <n v="28"/>
    <s v="pgto em dia neste banco (quitado)"/>
    <s v="carro usado"/>
    <n v="7824"/>
    <s v="sem poupança"/>
    <s v="sem poupança"/>
    <s v="&lt; 1 ano"/>
    <s v="Iniciante (&lt; 1 ano)"/>
    <n v="3"/>
    <s v="masculino"/>
    <s v="solteiro"/>
    <s v="garantidor"/>
    <n v="4"/>
    <s v="imovel"/>
    <n v="40"/>
    <s v="Sénior (41-60)"/>
    <s v="banco"/>
    <s v="aluguel"/>
    <n v="2"/>
    <s v="Func. Público/Qualificado"/>
    <n v="2"/>
    <s v="sim"/>
    <s v="sim"/>
    <n v="1"/>
  </r>
  <r>
    <n v="891"/>
    <x v="0"/>
    <s v="&lt; 0 $"/>
    <s v="negativo/devedor"/>
    <n v="27"/>
    <s v="conta critica / dividas com terceiros"/>
    <s v="negocios"/>
    <n v="2442"/>
    <s v="&lt; 100 $"/>
    <s v="Baixo (&lt; 100 $)"/>
    <s v="&gt;= 7 anos"/>
    <s v="Muito Estável (&gt; 7 anos)"/>
    <n v="4"/>
    <s v="masculino"/>
    <s v="solteiro"/>
    <s v="nenhum"/>
    <n v="4"/>
    <s v="carro ou outros-quitado"/>
    <n v="43"/>
    <s v="Sénior (41-60)"/>
    <s v="loja"/>
    <s v="própria"/>
    <n v="4"/>
    <s v="Executivo/Empresário"/>
    <n v="2"/>
    <s v="sim"/>
    <s v="sim"/>
    <n v="1"/>
  </r>
  <r>
    <n v="892"/>
    <x v="0"/>
    <s v="sem conta corrente"/>
    <s v="sem conta no banco"/>
    <n v="15"/>
    <s v="conta critica / dividas com terceiros"/>
    <s v="radio ou televisao"/>
    <n v="1829"/>
    <s v="&lt; 100 $"/>
    <s v="Baixo (&lt; 100 $)"/>
    <s v="&gt;= 7 anos"/>
    <s v="Muito Estável (&gt; 7 anos)"/>
    <n v="4"/>
    <s v="masculino"/>
    <s v="solteiro"/>
    <s v="nenhum"/>
    <n v="4"/>
    <s v="carro ou outros-quitado"/>
    <n v="46"/>
    <s v="Sénior (41-60)"/>
    <s v="nenhum"/>
    <s v="própria"/>
    <n v="2"/>
    <s v="Func. Público/Qualificado"/>
    <n v="1"/>
    <s v="sim"/>
    <s v="sim"/>
    <n v="1"/>
  </r>
  <r>
    <n v="893"/>
    <x v="0"/>
    <s v="&lt; 0 $"/>
    <s v="negativo/devedor"/>
    <n v="12"/>
    <s v="conta critica / dividas com terceiros"/>
    <s v="carro novo"/>
    <n v="2171"/>
    <s v="&lt; 100 $"/>
    <s v="Baixo (&lt; 100 $)"/>
    <s v="&lt; 4 anos"/>
    <s v="Intermediário (1-4 anos)"/>
    <n v="4"/>
    <s v="masculino"/>
    <s v="solteiro"/>
    <s v="nenhum"/>
    <n v="4"/>
    <s v="poupança ou seguro de vida"/>
    <n v="38"/>
    <s v="Adulto (26-40)"/>
    <s v="banco"/>
    <s v="própria"/>
    <n v="2"/>
    <s v="Empregado Comum"/>
    <n v="1"/>
    <s v="não"/>
    <s v="não"/>
    <n v="1"/>
  </r>
  <r>
    <n v="894"/>
    <x v="0"/>
    <s v="&gt;= 0 &lt; 200 $"/>
    <s v="saldo baixo"/>
    <n v="36"/>
    <s v="conta critica / dividas com terceiros"/>
    <s v="carro usado"/>
    <n v="5800"/>
    <s v="&lt; 100 $"/>
    <s v="Baixo (&lt; 100 $)"/>
    <s v="&lt; 4 anos"/>
    <s v="Intermediário (1-4 anos)"/>
    <n v="3"/>
    <s v="masculino"/>
    <s v="solteiro"/>
    <s v="nenhum"/>
    <n v="4"/>
    <s v="carro ou outros-quitado"/>
    <n v="34"/>
    <s v="Adulto (26-40)"/>
    <s v="nenhum"/>
    <s v="própria"/>
    <n v="2"/>
    <s v="Func. Público/Qualificado"/>
    <n v="1"/>
    <s v="sim"/>
    <s v="sim"/>
    <n v="1"/>
  </r>
  <r>
    <n v="895"/>
    <x v="0"/>
    <s v="sem conta corrente"/>
    <s v="sem conta no banco"/>
    <n v="18"/>
    <s v="conta critica / dividas com terceiros"/>
    <s v="radio ou televisao"/>
    <n v="1169"/>
    <s v="sem poupança"/>
    <s v="sem poupança"/>
    <s v="&lt; 4 anos"/>
    <s v="Intermediário (1-4 anos)"/>
    <n v="4"/>
    <s v="masculino"/>
    <s v="solteiro"/>
    <s v="nenhum"/>
    <n v="3"/>
    <s v="poupança ou seguro de vida"/>
    <n v="29"/>
    <s v="Adulto (26-40)"/>
    <s v="nenhum"/>
    <s v="própria"/>
    <n v="2"/>
    <s v="Func. Público/Qualificado"/>
    <n v="1"/>
    <s v="sim"/>
    <s v="sim"/>
    <n v="1"/>
  </r>
  <r>
    <n v="896"/>
    <x v="0"/>
    <s v="sem conta corrente"/>
    <s v="sem conta no banco"/>
    <n v="36"/>
    <s v="pgto em atraso no passado"/>
    <s v="carro usado"/>
    <n v="8947"/>
    <s v="sem poupança"/>
    <s v="sem poupança"/>
    <s v="&lt; 7 anos"/>
    <s v="Estável (4-7 anos)"/>
    <n v="3"/>
    <s v="masculino"/>
    <s v="solteiro"/>
    <s v="nenhum"/>
    <n v="2"/>
    <s v="carro ou outros-quitado"/>
    <n v="31"/>
    <s v="Adulto (26-40)"/>
    <s v="loja"/>
    <s v="própria"/>
    <n v="1"/>
    <s v="Executivo/Empresário"/>
    <n v="2"/>
    <s v="sim"/>
    <s v="sim"/>
    <n v="1"/>
  </r>
  <r>
    <n v="897"/>
    <x v="0"/>
    <s v="&lt; 0 $"/>
    <s v="negativo/devedor"/>
    <n v="21"/>
    <s v="pgto em dia neste banco (em aberto)"/>
    <s v="radio ou televisao"/>
    <n v="2606"/>
    <s v="&lt; 100 $"/>
    <s v="Baixo (&lt; 100 $)"/>
    <s v="&lt; 1 ano"/>
    <s v="Iniciante (&lt; 1 ano)"/>
    <n v="4"/>
    <s v="feminino"/>
    <s v="divorciada/casada"/>
    <s v="nenhum"/>
    <n v="4"/>
    <s v="poupança ou seguro de vida"/>
    <n v="28"/>
    <s v="Adulto (26-40)"/>
    <s v="nenhum"/>
    <s v="aluguel"/>
    <n v="1"/>
    <s v="Executivo/Empresário"/>
    <n v="1"/>
    <s v="sim"/>
    <s v="sim"/>
    <n v="1"/>
  </r>
  <r>
    <n v="898"/>
    <x v="0"/>
    <s v="sem conta corrente"/>
    <s v="sem conta no banco"/>
    <n v="12"/>
    <s v="conta critica / dividas com terceiros"/>
    <s v="moveis e equipamentos"/>
    <n v="1592"/>
    <s v="&gt;= 1000 $"/>
    <s v="Muito alto (&gt;1000$)"/>
    <s v="&lt; 7 anos"/>
    <s v="Estável (4-7 anos)"/>
    <n v="3"/>
    <s v="feminino"/>
    <s v="divorciada/casada"/>
    <s v="nenhum"/>
    <n v="2"/>
    <s v="poupança ou seguro de vida"/>
    <n v="35"/>
    <s v="Adulto (26-40)"/>
    <s v="nenhum"/>
    <s v="própria"/>
    <n v="1"/>
    <s v="Func. Público/Qualificado"/>
    <n v="1"/>
    <s v="não"/>
    <s v="não"/>
    <n v="1"/>
  </r>
  <r>
    <n v="899"/>
    <x v="0"/>
    <s v="sem conta corrente"/>
    <s v="sem conta no banco"/>
    <n v="15"/>
    <s v="pgto em dia neste banco (em aberto)"/>
    <s v="moveis e equipamentos"/>
    <n v="2186"/>
    <s v="sem poupança"/>
    <s v="sem poupança"/>
    <s v="&lt; 7 anos"/>
    <s v="Estável (4-7 anos)"/>
    <n v="1"/>
    <s v="feminino"/>
    <s v="divorciada/casada"/>
    <s v="nenhum"/>
    <n v="4"/>
    <s v="imovel"/>
    <n v="33"/>
    <s v="Adulto (26-40)"/>
    <s v="banco"/>
    <s v="aluguel"/>
    <n v="1"/>
    <s v="Empregado Comum"/>
    <n v="1"/>
    <s v="não"/>
    <s v="sim"/>
    <n v="1"/>
  </r>
  <r>
    <n v="900"/>
    <x v="1"/>
    <s v="&lt; 0 $"/>
    <s v="negativo/devedor"/>
    <n v="18"/>
    <s v="pgto em dia neste banco (em aberto)"/>
    <s v="moveis e equipamentos"/>
    <n v="4153"/>
    <s v="&lt; 100 $"/>
    <s v="Baixo (&lt; 100 $)"/>
    <s v="&lt; 4 anos"/>
    <s v="Intermediário (1-4 anos)"/>
    <n v="2"/>
    <s v="masculino"/>
    <s v="solteiro"/>
    <s v="codevedor"/>
    <n v="3"/>
    <s v="carro ou outros-quitado"/>
    <n v="42"/>
    <s v="Sénior (41-60)"/>
    <s v="nenhum"/>
    <s v="própria"/>
    <n v="1"/>
    <s v="Func. Público/Qualificado"/>
    <n v="1"/>
    <s v="não"/>
    <s v="sim"/>
    <n v="2"/>
  </r>
  <r>
    <n v="901"/>
    <x v="1"/>
    <s v="&lt; 0 $"/>
    <s v="negativo/devedor"/>
    <n v="16"/>
    <s v="conta critica / dividas com terceiros"/>
    <s v="carro novo"/>
    <n v="2625"/>
    <s v="&lt; 100 $"/>
    <s v="Baixo (&lt; 100 $)"/>
    <s v="&gt;= 7 anos"/>
    <s v="Muito Estável (&gt; 7 anos)"/>
    <n v="2"/>
    <s v="masculino"/>
    <s v="solteiro"/>
    <s v="garantidor"/>
    <n v="4"/>
    <s v="poupança ou seguro de vida"/>
    <n v="43"/>
    <s v="Sénior (41-60)"/>
    <s v="banco"/>
    <s v="aluguel"/>
    <n v="1"/>
    <s v="Func. Público/Qualificado"/>
    <n v="1"/>
    <s v="sim"/>
    <s v="sim"/>
    <n v="2"/>
  </r>
  <r>
    <n v="902"/>
    <x v="0"/>
    <s v="sem conta corrente"/>
    <s v="sem conta no banco"/>
    <n v="20"/>
    <s v="conta critica / dividas com terceiros"/>
    <s v="carro novo"/>
    <n v="3485"/>
    <s v="sem poupança"/>
    <s v="sem poupança"/>
    <s v="&lt; 1 ano"/>
    <s v="Iniciante (&lt; 1 ano)"/>
    <n v="2"/>
    <s v="masculino"/>
    <s v="divorciado"/>
    <s v="nenhum"/>
    <n v="4"/>
    <s v="imovel"/>
    <n v="44"/>
    <s v="Sénior (41-60)"/>
    <s v="nenhum"/>
    <s v="própria"/>
    <n v="2"/>
    <s v="Func. Público/Qualificado"/>
    <n v="1"/>
    <s v="sim"/>
    <s v="sim"/>
    <n v="1"/>
  </r>
  <r>
    <n v="903"/>
    <x v="0"/>
    <s v="sem conta corrente"/>
    <s v="sem conta no banco"/>
    <n v="36"/>
    <s v="conta critica / dividas com terceiros"/>
    <s v="carro usado"/>
    <n v="10477"/>
    <s v="sem poupança"/>
    <s v="sem poupança"/>
    <s v="&gt;= 7 anos"/>
    <s v="Muito Estável (&gt; 7 anos)"/>
    <n v="2"/>
    <s v="masculino"/>
    <s v="solteiro"/>
    <s v="nenhum"/>
    <n v="4"/>
    <s v="sem bens"/>
    <n v="42"/>
    <s v="Sénior (41-60)"/>
    <s v="nenhum"/>
    <s v="gratuita"/>
    <n v="2"/>
    <s v="Func. Público/Qualificado"/>
    <n v="1"/>
    <s v="não"/>
    <s v="sim"/>
    <n v="1"/>
  </r>
  <r>
    <n v="904"/>
    <x v="0"/>
    <s v="sem conta corrente"/>
    <s v="sem conta no banco"/>
    <n v="15"/>
    <s v="pgto em dia neste banco (em aberto)"/>
    <s v="radio ou televisao"/>
    <n v="1386"/>
    <s v="sem poupança"/>
    <s v="sem poupança"/>
    <s v="&lt; 4 anos"/>
    <s v="Intermediário (1-4 anos)"/>
    <n v="4"/>
    <s v="masculino"/>
    <s v="casado/viuvo"/>
    <s v="nenhum"/>
    <n v="2"/>
    <s v="imovel"/>
    <n v="40"/>
    <s v="Sénior (41-60)"/>
    <s v="nenhum"/>
    <s v="aluguel"/>
    <n v="1"/>
    <s v="Func. Público/Qualificado"/>
    <n v="1"/>
    <s v="sim"/>
    <s v="sim"/>
    <n v="1"/>
  </r>
  <r>
    <n v="905"/>
    <x v="0"/>
    <s v="sem conta corrente"/>
    <s v="sem conta no banco"/>
    <n v="24"/>
    <s v="pgto em dia neste banco (em aberto)"/>
    <s v="radio ou televisao"/>
    <n v="1278"/>
    <s v="&lt; 100 $"/>
    <s v="Baixo (&lt; 100 $)"/>
    <s v="&gt;= 7 anos"/>
    <s v="Muito Estável (&gt; 7 anos)"/>
    <n v="4"/>
    <s v="masculino"/>
    <s v="solteiro"/>
    <s v="nenhum"/>
    <n v="1"/>
    <s v="imovel"/>
    <n v="36"/>
    <s v="Adulto (26-40)"/>
    <s v="nenhum"/>
    <s v="própria"/>
    <n v="1"/>
    <s v="Executivo/Empresário"/>
    <n v="1"/>
    <s v="sim"/>
    <s v="sim"/>
    <n v="1"/>
  </r>
  <r>
    <n v="906"/>
    <x v="0"/>
    <s v="&lt; 0 $"/>
    <s v="negativo/devedor"/>
    <n v="12"/>
    <s v="pgto em dia neste banco (em aberto)"/>
    <s v="radio ou televisao"/>
    <n v="1107"/>
    <s v="&lt; 100 $"/>
    <s v="Baixo (&lt; 100 $)"/>
    <s v="&lt; 4 anos"/>
    <s v="Intermediário (1-4 anos)"/>
    <n v="2"/>
    <s v="masculino"/>
    <s v="solteiro"/>
    <s v="nenhum"/>
    <n v="2"/>
    <s v="imovel"/>
    <n v="20"/>
    <s v="Jovem (18-25)"/>
    <s v="nenhum"/>
    <s v="aluguel"/>
    <n v="1"/>
    <s v="Executivo/Empresário"/>
    <n v="2"/>
    <s v="sim"/>
    <s v="sim"/>
    <n v="1"/>
  </r>
  <r>
    <n v="907"/>
    <x v="0"/>
    <s v="&lt; 0 $"/>
    <s v="negativo/devedor"/>
    <n v="21"/>
    <s v="pgto em dia neste banco (em aberto)"/>
    <s v="carro novo"/>
    <n v="3763"/>
    <s v="sem poupança"/>
    <s v="sem poupança"/>
    <s v="&lt; 7 anos"/>
    <s v="Estável (4-7 anos)"/>
    <n v="2"/>
    <s v="masculino"/>
    <s v="solteiro"/>
    <s v="codevedor"/>
    <n v="2"/>
    <s v="imovel"/>
    <n v="24"/>
    <s v="Jovem (18-25)"/>
    <s v="nenhum"/>
    <s v="própria"/>
    <n v="1"/>
    <s v="Empregado Comum"/>
    <n v="1"/>
    <s v="não"/>
    <s v="não"/>
    <n v="1"/>
  </r>
  <r>
    <n v="908"/>
    <x v="0"/>
    <s v="&gt;= 0 &lt; 200 $"/>
    <s v="saldo baixo"/>
    <n v="36"/>
    <s v="pgto em dia neste banco (em aberto)"/>
    <s v="educacao"/>
    <n v="3711"/>
    <s v="sem poupança"/>
    <s v="sem poupança"/>
    <s v="&lt; 4 anos"/>
    <s v="Intermediário (1-4 anos)"/>
    <n v="2"/>
    <s v="masculino"/>
    <s v="casado/viuvo"/>
    <s v="nenhum"/>
    <n v="2"/>
    <s v="carro ou outros-quitado"/>
    <n v="27"/>
    <s v="Adulto (26-40)"/>
    <s v="nenhum"/>
    <s v="própria"/>
    <n v="1"/>
    <s v="Func. Público/Qualificado"/>
    <n v="1"/>
    <s v="não"/>
    <s v="sim"/>
    <n v="1"/>
  </r>
  <r>
    <n v="909"/>
    <x v="0"/>
    <s v="sem conta corrente"/>
    <s v="sem conta no banco"/>
    <n v="15"/>
    <s v="pgto em atraso no passado"/>
    <s v="carro usado"/>
    <n v="3594"/>
    <s v="&lt; 100 $"/>
    <s v="Baixo (&lt; 100 $)"/>
    <s v="&lt; 1 ano"/>
    <s v="Iniciante (&lt; 1 ano)"/>
    <n v="1"/>
    <s v="feminino"/>
    <s v="divorciada/casada"/>
    <s v="nenhum"/>
    <n v="2"/>
    <s v="poupança ou seguro de vida"/>
    <n v="46"/>
    <s v="Sénior (41-60)"/>
    <s v="nenhum"/>
    <s v="própria"/>
    <n v="2"/>
    <s v="Empregado Comum"/>
    <n v="1"/>
    <s v="não"/>
    <s v="sim"/>
    <n v="1"/>
  </r>
  <r>
    <n v="910"/>
    <x v="0"/>
    <s v="&gt;= 0 &lt; 200 $"/>
    <s v="saldo baixo"/>
    <n v="9"/>
    <s v="pgto em dia neste banco (em aberto)"/>
    <s v="carro novo"/>
    <n v="3195"/>
    <s v="sem poupança"/>
    <s v="sem poupança"/>
    <s v="&lt; 4 anos"/>
    <s v="Intermediário (1-4 anos)"/>
    <n v="1"/>
    <s v="feminino"/>
    <s v="divorciada/casada"/>
    <s v="nenhum"/>
    <n v="2"/>
    <s v="imovel"/>
    <n v="33"/>
    <s v="Adulto (26-40)"/>
    <s v="nenhum"/>
    <s v="própria"/>
    <n v="1"/>
    <s v="Empregado Comum"/>
    <n v="1"/>
    <s v="não"/>
    <s v="sim"/>
    <n v="1"/>
  </r>
  <r>
    <n v="911"/>
    <x v="0"/>
    <s v="sem conta corrente"/>
    <s v="sem conta no banco"/>
    <n v="36"/>
    <s v="pgto em atraso no passado"/>
    <s v="radio ou televisao"/>
    <n v="4454"/>
    <s v="&lt; 100 $"/>
    <s v="Baixo (&lt; 100 $)"/>
    <s v="&lt; 4 anos"/>
    <s v="Intermediário (1-4 anos)"/>
    <n v="4"/>
    <s v="feminino"/>
    <s v="divorciada/casada"/>
    <s v="nenhum"/>
    <n v="4"/>
    <s v="imovel"/>
    <n v="34"/>
    <s v="Adulto (26-40)"/>
    <s v="nenhum"/>
    <s v="própria"/>
    <n v="2"/>
    <s v="Func. Público/Qualificado"/>
    <n v="1"/>
    <s v="não"/>
    <s v="sim"/>
    <n v="1"/>
  </r>
  <r>
    <n v="912"/>
    <x v="1"/>
    <s v="&gt;= 0 &lt; 200 $"/>
    <s v="saldo baixo"/>
    <n v="24"/>
    <s v="conta critica / dividas com terceiros"/>
    <s v="moveis e equipamentos"/>
    <n v="4736"/>
    <s v="&lt; 100 $"/>
    <s v="Baixo (&lt; 100 $)"/>
    <s v="&lt; 1 ano"/>
    <s v="Iniciante (&lt; 1 ano)"/>
    <n v="2"/>
    <s v="feminino"/>
    <s v="divorciada/casada"/>
    <s v="nenhum"/>
    <n v="4"/>
    <s v="carro ou outros-quitado"/>
    <n v="25"/>
    <s v="Adulto (26-40)"/>
    <s v="banco"/>
    <s v="própria"/>
    <n v="1"/>
    <s v="Empregado Comum"/>
    <n v="1"/>
    <s v="não"/>
    <s v="sim"/>
    <n v="2"/>
  </r>
  <r>
    <n v="913"/>
    <x v="0"/>
    <s v="&gt;= 0 &lt; 200 $"/>
    <s v="saldo baixo"/>
    <n v="30"/>
    <s v="pgto em dia neste banco (em aberto)"/>
    <s v="radio ou televisao"/>
    <n v="2991"/>
    <s v="sem poupança"/>
    <s v="sem poupança"/>
    <s v="&gt;= 7 anos"/>
    <s v="Muito Estável (&gt; 7 anos)"/>
    <n v="2"/>
    <s v="feminino"/>
    <s v="divorciada/casada"/>
    <s v="nenhum"/>
    <n v="4"/>
    <s v="carro ou outros-quitado"/>
    <n v="25"/>
    <s v="Adulto (26-40)"/>
    <s v="nenhum"/>
    <s v="própria"/>
    <n v="1"/>
    <s v="Func. Público/Qualificado"/>
    <n v="1"/>
    <s v="não"/>
    <s v="sim"/>
    <n v="1"/>
  </r>
  <r>
    <n v="914"/>
    <x v="0"/>
    <s v="sem conta corrente"/>
    <s v="sem conta no banco"/>
    <n v="11"/>
    <s v="pgto em dia neste banco (em aberto)"/>
    <s v="negocios"/>
    <n v="2142"/>
    <s v="&gt;= 1000 $"/>
    <s v="Muito alto (&gt;1000$)"/>
    <s v="&gt;= 7 anos"/>
    <s v="Muito Estável (&gt; 7 anos)"/>
    <n v="1"/>
    <s v="masculino"/>
    <s v="divorciado"/>
    <s v="nenhum"/>
    <n v="2"/>
    <s v="imovel"/>
    <n v="28"/>
    <s v="Adulto (26-40)"/>
    <s v="nenhum"/>
    <s v="própria"/>
    <n v="1"/>
    <s v="Func. Público/Qualificado"/>
    <n v="1"/>
    <s v="sim"/>
    <s v="sim"/>
    <n v="1"/>
  </r>
  <r>
    <n v="915"/>
    <x v="1"/>
    <s v="&lt; 0 $"/>
    <s v="negativo/devedor"/>
    <n v="24"/>
    <s v="pgto em dia neste banco (quitado)"/>
    <s v="negocios"/>
    <n v="3161"/>
    <s v="&lt; 100 $"/>
    <s v="Baixo (&lt; 100 $)"/>
    <s v="&lt; 4 anos"/>
    <s v="Intermediário (1-4 anos)"/>
    <n v="4"/>
    <s v="masculino"/>
    <s v="solteiro"/>
    <s v="nenhum"/>
    <n v="2"/>
    <s v="poupança ou seguro de vida"/>
    <n v="31"/>
    <s v="Adulto (26-40)"/>
    <s v="nenhum"/>
    <s v="aluguel"/>
    <n v="1"/>
    <s v="Func. Público/Qualificado"/>
    <n v="1"/>
    <s v="sim"/>
    <s v="sim"/>
    <n v="2"/>
  </r>
  <r>
    <n v="916"/>
    <x v="1"/>
    <s v="&gt;= 0 &lt; 200 $"/>
    <s v="saldo baixo"/>
    <n v="48"/>
    <s v="nenhum/pgto em dia"/>
    <s v="outros"/>
    <n v="18424"/>
    <s v="&lt; 100 $"/>
    <s v="Baixo (&lt; 100 $)"/>
    <s v="&lt; 4 anos"/>
    <s v="Intermediário (1-4 anos)"/>
    <n v="1"/>
    <s v="feminino"/>
    <s v="divorciada/casada"/>
    <s v="nenhum"/>
    <n v="2"/>
    <s v="poupança ou seguro de vida"/>
    <n v="32"/>
    <s v="Adulto (26-40)"/>
    <s v="banco"/>
    <s v="própria"/>
    <n v="1"/>
    <s v="Executivo/Empresário"/>
    <n v="1"/>
    <s v="sim"/>
    <s v="não"/>
    <n v="2"/>
  </r>
  <r>
    <n v="917"/>
    <x v="0"/>
    <s v="sem conta corrente"/>
    <s v="sem conta no banco"/>
    <n v="10"/>
    <s v="pgto em dia neste banco (em aberto)"/>
    <s v="carro usado"/>
    <n v="2848"/>
    <s v="&gt;= 100 &lt; 500 $"/>
    <s v="Médio (100-500$)"/>
    <s v="&lt; 4 anos"/>
    <s v="Intermediário (1-4 anos)"/>
    <n v="1"/>
    <s v="masculino"/>
    <s v="solteiro"/>
    <s v="codevedor"/>
    <n v="2"/>
    <s v="imovel"/>
    <n v="32"/>
    <s v="Adulto (26-40)"/>
    <s v="nenhum"/>
    <s v="própria"/>
    <n v="1"/>
    <s v="Func. Público/Qualificado"/>
    <n v="2"/>
    <s v="não"/>
    <s v="sim"/>
    <n v="1"/>
  </r>
  <r>
    <n v="918"/>
    <x v="1"/>
    <s v="&lt; 0 $"/>
    <s v="negativo/devedor"/>
    <n v="6"/>
    <s v="pgto em dia neste banco (em aberto)"/>
    <s v="carro novo"/>
    <n v="14896"/>
    <s v="&lt; 100 $"/>
    <s v="Baixo (&lt; 100 $)"/>
    <s v="&gt;= 7 anos"/>
    <s v="Muito Estável (&gt; 7 anos)"/>
    <n v="1"/>
    <s v="masculino"/>
    <s v="solteiro"/>
    <s v="nenhum"/>
    <n v="4"/>
    <s v="sem bens"/>
    <n v="68"/>
    <s v="Idoso (60+)"/>
    <s v="banco"/>
    <s v="própria"/>
    <n v="1"/>
    <s v="Executivo/Empresário"/>
    <n v="1"/>
    <s v="sim"/>
    <s v="sim"/>
    <n v="2"/>
  </r>
  <r>
    <n v="919"/>
    <x v="1"/>
    <s v="&lt; 0 $"/>
    <s v="negativo/devedor"/>
    <n v="24"/>
    <s v="pgto em dia neste banco (em aberto)"/>
    <s v="moveis e equipamentos"/>
    <n v="2359"/>
    <s v="&gt;= 100 &lt; 500 $"/>
    <s v="Médio (100-500$)"/>
    <s v="desempregado"/>
    <s v="desempregado"/>
    <n v="1"/>
    <s v="masculino"/>
    <s v="divorciado"/>
    <s v="nenhum"/>
    <n v="1"/>
    <s v="poupança ou seguro de vida"/>
    <n v="33"/>
    <s v="Adulto (26-40)"/>
    <s v="nenhum"/>
    <s v="própria"/>
    <n v="1"/>
    <s v="Func. Público/Qualificado"/>
    <n v="1"/>
    <s v="não"/>
    <s v="sim"/>
    <n v="2"/>
  </r>
  <r>
    <n v="920"/>
    <x v="1"/>
    <s v="&lt; 0 $"/>
    <s v="negativo/devedor"/>
    <n v="24"/>
    <s v="pgto em dia neste banco (em aberto)"/>
    <s v="moveis e equipamentos"/>
    <n v="3345"/>
    <s v="&lt; 100 $"/>
    <s v="Baixo (&lt; 100 $)"/>
    <s v="&gt;= 7 anos"/>
    <s v="Muito Estável (&gt; 7 anos)"/>
    <n v="4"/>
    <s v="masculino"/>
    <s v="solteiro"/>
    <s v="nenhum"/>
    <n v="2"/>
    <s v="poupança ou seguro de vida"/>
    <n v="39"/>
    <s v="Adulto (26-40)"/>
    <s v="nenhum"/>
    <s v="aluguel"/>
    <n v="1"/>
    <s v="Executivo/Empresário"/>
    <n v="1"/>
    <s v="sim"/>
    <s v="sim"/>
    <n v="2"/>
  </r>
  <r>
    <n v="921"/>
    <x v="0"/>
    <s v="sem conta corrente"/>
    <s v="sem conta no banco"/>
    <n v="18"/>
    <s v="conta critica / dividas com terceiros"/>
    <s v="moveis e equipamentos"/>
    <n v="1817"/>
    <s v="&lt; 100 $"/>
    <s v="Baixo (&lt; 100 $)"/>
    <s v="&lt; 4 anos"/>
    <s v="Intermediário (1-4 anos)"/>
    <n v="4"/>
    <s v="feminino"/>
    <s v="divorciada/casada"/>
    <s v="nenhum"/>
    <n v="2"/>
    <s v="sem bens"/>
    <n v="28"/>
    <s v="Adulto (26-40)"/>
    <s v="nenhum"/>
    <s v="própria"/>
    <n v="2"/>
    <s v="Func. Público/Qualificado"/>
    <n v="1"/>
    <s v="não"/>
    <s v="sim"/>
    <n v="1"/>
  </r>
  <r>
    <n v="922"/>
    <x v="0"/>
    <s v="sem conta corrente"/>
    <s v="sem conta no banco"/>
    <n v="48"/>
    <s v="pgto em atraso no passado"/>
    <s v="radio ou televisao"/>
    <n v="12749"/>
    <s v="&gt;= 500 &lt; 1000 $"/>
    <s v="Alto (500-1000 $)"/>
    <s v="&lt; 7 anos"/>
    <s v="Estável (4-7 anos)"/>
    <n v="4"/>
    <s v="masculino"/>
    <s v="solteiro"/>
    <s v="nenhum"/>
    <n v="1"/>
    <s v="carro ou outros-quitado"/>
    <n v="37"/>
    <s v="Adulto (26-40)"/>
    <s v="nenhum"/>
    <s v="própria"/>
    <n v="1"/>
    <s v="Executivo/Empresário"/>
    <n v="1"/>
    <s v="sim"/>
    <s v="sim"/>
    <n v="1"/>
  </r>
  <r>
    <n v="923"/>
    <x v="1"/>
    <s v="&lt; 0 $"/>
    <s v="negativo/devedor"/>
    <n v="9"/>
    <s v="pgto em dia neste banco (em aberto)"/>
    <s v="radio ou televisao"/>
    <n v="1366"/>
    <s v="&lt; 100 $"/>
    <s v="Baixo (&lt; 100 $)"/>
    <s v="&lt; 1 ano"/>
    <s v="Iniciante (&lt; 1 ano)"/>
    <n v="3"/>
    <s v="feminino"/>
    <s v="divorciada/casada"/>
    <s v="nenhum"/>
    <n v="4"/>
    <s v="poupança ou seguro de vida"/>
    <n v="22"/>
    <s v="Jovem (18-25)"/>
    <s v="nenhum"/>
    <s v="aluguel"/>
    <n v="1"/>
    <s v="Func. Público/Qualificado"/>
    <n v="1"/>
    <s v="não"/>
    <s v="sim"/>
    <n v="2"/>
  </r>
  <r>
    <n v="924"/>
    <x v="0"/>
    <s v="&gt;= 0 &lt; 200 $"/>
    <s v="saldo baixo"/>
    <n v="12"/>
    <s v="pgto em dia neste banco (em aberto)"/>
    <s v="carro novo"/>
    <n v="2002"/>
    <s v="&lt; 100 $"/>
    <s v="Baixo (&lt; 100 $)"/>
    <s v="&lt; 7 anos"/>
    <s v="Estável (4-7 anos)"/>
    <n v="3"/>
    <s v="masculino"/>
    <s v="solteiro"/>
    <s v="nenhum"/>
    <n v="4"/>
    <s v="poupança ou seguro de vida"/>
    <n v="30"/>
    <s v="Adulto (26-40)"/>
    <s v="nenhum"/>
    <s v="aluguel"/>
    <n v="1"/>
    <s v="Func. Público/Qualificado"/>
    <n v="2"/>
    <s v="sim"/>
    <s v="sim"/>
    <n v="1"/>
  </r>
  <r>
    <n v="925"/>
    <x v="1"/>
    <s v="&lt; 0 $"/>
    <s v="negativo/devedor"/>
    <n v="24"/>
    <s v="pgto em dia neste banco (quitado)"/>
    <s v="moveis e equipamentos"/>
    <n v="6872"/>
    <s v="&lt; 100 $"/>
    <s v="Baixo (&lt; 100 $)"/>
    <s v="&lt; 1 ano"/>
    <s v="Iniciante (&lt; 1 ano)"/>
    <n v="2"/>
    <s v="masculino"/>
    <s v="divorciado"/>
    <s v="nenhum"/>
    <n v="1"/>
    <s v="poupança ou seguro de vida"/>
    <n v="55"/>
    <s v="Sénior (41-60)"/>
    <s v="banco"/>
    <s v="própria"/>
    <n v="1"/>
    <s v="Func. Público/Qualificado"/>
    <n v="1"/>
    <s v="sim"/>
    <s v="sim"/>
    <n v="2"/>
  </r>
  <r>
    <n v="926"/>
    <x v="1"/>
    <s v="&lt; 0 $"/>
    <s v="negativo/devedor"/>
    <n v="12"/>
    <s v="pgto em dia neste banco (quitado)"/>
    <s v="carro novo"/>
    <n v="697"/>
    <s v="&lt; 100 $"/>
    <s v="Baixo (&lt; 100 $)"/>
    <s v="&lt; 1 ano"/>
    <s v="Iniciante (&lt; 1 ano)"/>
    <n v="4"/>
    <s v="masculino"/>
    <s v="solteiro"/>
    <s v="nenhum"/>
    <n v="2"/>
    <s v="carro ou outros-quitado"/>
    <n v="46"/>
    <s v="Sénior (41-60)"/>
    <s v="banco"/>
    <s v="própria"/>
    <n v="2"/>
    <s v="Func. Público/Qualificado"/>
    <n v="1"/>
    <s v="sim"/>
    <s v="sim"/>
    <n v="2"/>
  </r>
  <r>
    <n v="927"/>
    <x v="0"/>
    <s v="&lt; 0 $"/>
    <s v="negativo/devedor"/>
    <n v="18"/>
    <s v="conta critica / dividas com terceiros"/>
    <s v="moveis e equipamentos"/>
    <n v="1049"/>
    <s v="&lt; 100 $"/>
    <s v="Baixo (&lt; 100 $)"/>
    <s v="&lt; 1 ano"/>
    <s v="Iniciante (&lt; 1 ano)"/>
    <n v="4"/>
    <s v="feminino"/>
    <s v="divorciada/casada"/>
    <s v="nenhum"/>
    <n v="4"/>
    <s v="poupança ou seguro de vida"/>
    <n v="21"/>
    <s v="Jovem (18-25)"/>
    <s v="nenhum"/>
    <s v="aluguel"/>
    <n v="1"/>
    <s v="Func. Público/Qualificado"/>
    <n v="1"/>
    <s v="não"/>
    <s v="sim"/>
    <n v="1"/>
  </r>
  <r>
    <n v="928"/>
    <x v="1"/>
    <s v="&lt; 0 $"/>
    <s v="negativo/devedor"/>
    <n v="48"/>
    <s v="pgto em dia neste banco (em aberto)"/>
    <s v="carro usado"/>
    <n v="10297"/>
    <s v="&lt; 100 $"/>
    <s v="Baixo (&lt; 100 $)"/>
    <s v="&lt; 7 anos"/>
    <s v="Estável (4-7 anos)"/>
    <n v="4"/>
    <s v="masculino"/>
    <s v="solteiro"/>
    <s v="nenhum"/>
    <n v="4"/>
    <s v="sem bens"/>
    <n v="39"/>
    <s v="Adulto (26-40)"/>
    <s v="loja"/>
    <s v="gratuita"/>
    <n v="3"/>
    <s v="Func. Público/Qualificado"/>
    <n v="2"/>
    <s v="sim"/>
    <s v="sim"/>
    <n v="2"/>
  </r>
  <r>
    <n v="929"/>
    <x v="0"/>
    <s v="sem conta corrente"/>
    <s v="sem conta no banco"/>
    <n v="30"/>
    <s v="pgto em dia neste banco (em aberto)"/>
    <s v="radio ou televisao"/>
    <n v="1867"/>
    <s v="sem poupança"/>
    <s v="sem poupança"/>
    <s v="&gt;= 7 anos"/>
    <s v="Muito Estável (&gt; 7 anos)"/>
    <n v="4"/>
    <s v="masculino"/>
    <s v="solteiro"/>
    <s v="nenhum"/>
    <n v="4"/>
    <s v="carro ou outros-quitado"/>
    <n v="58"/>
    <s v="Sénior (41-60)"/>
    <s v="nenhum"/>
    <s v="própria"/>
    <n v="1"/>
    <s v="Func. Público/Qualificado"/>
    <n v="1"/>
    <s v="sim"/>
    <s v="sim"/>
    <n v="1"/>
  </r>
  <r>
    <n v="930"/>
    <x v="0"/>
    <s v="&lt; 0 $"/>
    <s v="negativo/devedor"/>
    <n v="12"/>
    <s v="pgto em atraso no passado"/>
    <s v="carro novo"/>
    <n v="1344"/>
    <s v="&lt; 100 $"/>
    <s v="Baixo (&lt; 100 $)"/>
    <s v="&lt; 4 anos"/>
    <s v="Intermediário (1-4 anos)"/>
    <n v="4"/>
    <s v="masculino"/>
    <s v="solteiro"/>
    <s v="nenhum"/>
    <n v="2"/>
    <s v="imovel"/>
    <n v="43"/>
    <s v="Sénior (41-60)"/>
    <s v="nenhum"/>
    <s v="própria"/>
    <n v="2"/>
    <s v="Empregado Comum"/>
    <n v="2"/>
    <s v="não"/>
    <s v="sim"/>
    <n v="1"/>
  </r>
  <r>
    <n v="931"/>
    <x v="0"/>
    <s v="&lt; 0 $"/>
    <s v="negativo/devedor"/>
    <n v="24"/>
    <s v="pgto em dia neste banco (em aberto)"/>
    <s v="moveis e equipamentos"/>
    <n v="1747"/>
    <s v="&lt; 100 $"/>
    <s v="Baixo (&lt; 100 $)"/>
    <s v="&lt; 1 ano"/>
    <s v="Iniciante (&lt; 1 ano)"/>
    <n v="4"/>
    <s v="masculino"/>
    <s v="solteiro"/>
    <s v="codevedor"/>
    <n v="1"/>
    <s v="poupança ou seguro de vida"/>
    <n v="24"/>
    <s v="Jovem (18-25)"/>
    <s v="nenhum"/>
    <s v="própria"/>
    <n v="1"/>
    <s v="Empregado Comum"/>
    <n v="1"/>
    <s v="não"/>
    <s v="não"/>
    <n v="1"/>
  </r>
  <r>
    <n v="932"/>
    <x v="1"/>
    <s v="&gt;= 0 &lt; 200 $"/>
    <s v="saldo baixo"/>
    <n v="9"/>
    <s v="pgto em dia neste banco (em aberto)"/>
    <s v="radio ou televisao"/>
    <n v="1670"/>
    <s v="&lt; 100 $"/>
    <s v="Baixo (&lt; 100 $)"/>
    <s v="&lt; 1 ano"/>
    <s v="Iniciante (&lt; 1 ano)"/>
    <n v="4"/>
    <s v="feminino"/>
    <s v="divorciada/casada"/>
    <s v="nenhum"/>
    <n v="2"/>
    <s v="carro ou outros-quitado"/>
    <n v="22"/>
    <s v="Jovem (18-25)"/>
    <s v="nenhum"/>
    <s v="própria"/>
    <n v="1"/>
    <s v="Func. Público/Qualificado"/>
    <n v="1"/>
    <s v="sim"/>
    <s v="sim"/>
    <n v="2"/>
  </r>
  <r>
    <n v="933"/>
    <x v="0"/>
    <s v="sem conta corrente"/>
    <s v="sem conta no banco"/>
    <n v="9"/>
    <s v="conta critica / dividas com terceiros"/>
    <s v="carro novo"/>
    <n v="1224"/>
    <s v="&lt; 100 $"/>
    <s v="Baixo (&lt; 100 $)"/>
    <s v="&lt; 4 anos"/>
    <s v="Intermediário (1-4 anos)"/>
    <n v="3"/>
    <s v="masculino"/>
    <s v="solteiro"/>
    <s v="nenhum"/>
    <n v="1"/>
    <s v="imovel"/>
    <n v="30"/>
    <s v="Adulto (26-40)"/>
    <s v="nenhum"/>
    <s v="própria"/>
    <n v="2"/>
    <s v="Func. Público/Qualificado"/>
    <n v="1"/>
    <s v="não"/>
    <s v="sim"/>
    <n v="1"/>
  </r>
  <r>
    <n v="934"/>
    <x v="0"/>
    <s v="sem conta corrente"/>
    <s v="sem conta no banco"/>
    <n v="12"/>
    <s v="conta critica / dividas com terceiros"/>
    <s v="radio ou televisao"/>
    <n v="522"/>
    <s v="&gt;= 500 &lt; 1000 $"/>
    <s v="Alto (500-1000 $)"/>
    <s v="&gt;= 7 anos"/>
    <s v="Muito Estável (&gt; 7 anos)"/>
    <n v="4"/>
    <s v="masculino"/>
    <s v="solteiro"/>
    <s v="nenhum"/>
    <n v="4"/>
    <s v="poupança ou seguro de vida"/>
    <n v="42"/>
    <s v="Sénior (41-60)"/>
    <s v="nenhum"/>
    <s v="própria"/>
    <n v="2"/>
    <s v="Func. Público/Qualificado"/>
    <n v="2"/>
    <s v="sim"/>
    <s v="sim"/>
    <n v="1"/>
  </r>
  <r>
    <n v="935"/>
    <x v="0"/>
    <s v="&lt; 0 $"/>
    <s v="negativo/devedor"/>
    <n v="12"/>
    <s v="pgto em dia neste banco (em aberto)"/>
    <s v="radio ou televisao"/>
    <n v="1498"/>
    <s v="&lt; 100 $"/>
    <s v="Baixo (&lt; 100 $)"/>
    <s v="&lt; 4 anos"/>
    <s v="Intermediário (1-4 anos)"/>
    <n v="4"/>
    <s v="feminino"/>
    <s v="divorciada/casada"/>
    <s v="nenhum"/>
    <n v="1"/>
    <s v="carro ou outros-quitado"/>
    <n v="23"/>
    <s v="Jovem (18-25)"/>
    <s v="banco"/>
    <s v="própria"/>
    <n v="1"/>
    <s v="Func. Público/Qualificado"/>
    <n v="1"/>
    <s v="não"/>
    <s v="sim"/>
    <n v="1"/>
  </r>
  <r>
    <n v="936"/>
    <x v="1"/>
    <s v="&gt;= 0 &lt; 200 $"/>
    <s v="saldo baixo"/>
    <n v="30"/>
    <s v="pgto em atraso no passado"/>
    <s v="radio ou televisao"/>
    <n v="1919"/>
    <s v="&gt;= 100 &lt; 500 $"/>
    <s v="Médio (100-500$)"/>
    <s v="&lt; 1 ano"/>
    <s v="Iniciante (&lt; 1 ano)"/>
    <n v="4"/>
    <s v="masculino"/>
    <s v="solteiro"/>
    <s v="nenhum"/>
    <n v="3"/>
    <s v="sem bens"/>
    <n v="30"/>
    <s v="Adulto (26-40)"/>
    <s v="loja"/>
    <s v="própria"/>
    <n v="2"/>
    <s v="Executivo/Empresário"/>
    <n v="1"/>
    <s v="não"/>
    <s v="sim"/>
    <n v="2"/>
  </r>
  <r>
    <n v="937"/>
    <x v="1"/>
    <s v="&gt;= 200 $"/>
    <s v="saldo saudável"/>
    <n v="9"/>
    <s v="pgto em dia neste banco (em aberto)"/>
    <s v="radio ou televisao"/>
    <n v="745"/>
    <s v="&lt; 100 $"/>
    <s v="Baixo (&lt; 100 $)"/>
    <s v="&lt; 4 anos"/>
    <s v="Intermediário (1-4 anos)"/>
    <n v="3"/>
    <s v="feminino"/>
    <s v="divorciada/casada"/>
    <s v="nenhum"/>
    <n v="2"/>
    <s v="imovel"/>
    <n v="28"/>
    <s v="Adulto (26-40)"/>
    <s v="nenhum"/>
    <s v="própria"/>
    <n v="1"/>
    <s v="Empregado Comum"/>
    <n v="1"/>
    <s v="não"/>
    <s v="sim"/>
    <n v="2"/>
  </r>
  <r>
    <n v="938"/>
    <x v="0"/>
    <s v="&gt;= 0 &lt; 200 $"/>
    <s v="saldo baixo"/>
    <n v="6"/>
    <s v="pgto em dia neste banco (em aberto)"/>
    <s v="radio ou televisao"/>
    <n v="2063"/>
    <s v="&lt; 100 $"/>
    <s v="Baixo (&lt; 100 $)"/>
    <s v="&lt; 1 ano"/>
    <s v="Iniciante (&lt; 1 ano)"/>
    <n v="4"/>
    <s v="masculino"/>
    <s v="casado/viuvo"/>
    <s v="nenhum"/>
    <n v="3"/>
    <s v="carro ou outros-quitado"/>
    <n v="30"/>
    <s v="Adulto (26-40)"/>
    <s v="nenhum"/>
    <s v="aluguel"/>
    <n v="1"/>
    <s v="Executivo/Empresário"/>
    <n v="1"/>
    <s v="sim"/>
    <s v="sim"/>
    <n v="1"/>
  </r>
  <r>
    <n v="939"/>
    <x v="1"/>
    <s v="&gt;= 0 &lt; 200 $"/>
    <s v="saldo baixo"/>
    <n v="60"/>
    <s v="pgto em dia neste banco (em aberto)"/>
    <s v="educacao"/>
    <n v="6288"/>
    <s v="&lt; 100 $"/>
    <s v="Baixo (&lt; 100 $)"/>
    <s v="&lt; 4 anos"/>
    <s v="Intermediário (1-4 anos)"/>
    <n v="4"/>
    <s v="masculino"/>
    <s v="solteiro"/>
    <s v="nenhum"/>
    <n v="4"/>
    <s v="sem bens"/>
    <n v="42"/>
    <s v="Sénior (41-60)"/>
    <s v="nenhum"/>
    <s v="gratuita"/>
    <n v="1"/>
    <s v="Func. Público/Qualificado"/>
    <n v="1"/>
    <s v="não"/>
    <s v="sim"/>
    <n v="2"/>
  </r>
  <r>
    <n v="940"/>
    <x v="0"/>
    <s v="sem conta corrente"/>
    <s v="sem conta no banco"/>
    <n v="24"/>
    <s v="conta critica / dividas com terceiros"/>
    <s v="carro usado"/>
    <n v="6842"/>
    <s v="sem poupança"/>
    <s v="sem poupança"/>
    <s v="&lt; 4 anos"/>
    <s v="Intermediário (1-4 anos)"/>
    <n v="2"/>
    <s v="masculino"/>
    <s v="solteiro"/>
    <s v="nenhum"/>
    <n v="4"/>
    <s v="poupança ou seguro de vida"/>
    <n v="46"/>
    <s v="Sénior (41-60)"/>
    <s v="nenhum"/>
    <s v="própria"/>
    <n v="2"/>
    <s v="Executivo/Empresário"/>
    <n v="2"/>
    <s v="sim"/>
    <s v="sim"/>
    <n v="1"/>
  </r>
  <r>
    <n v="941"/>
    <x v="0"/>
    <s v="sem conta corrente"/>
    <s v="sem conta no banco"/>
    <n v="12"/>
    <s v="pgto em dia neste banco (em aberto)"/>
    <s v="carro novo"/>
    <n v="3527"/>
    <s v="sem poupança"/>
    <s v="sem poupança"/>
    <s v="&lt; 1 ano"/>
    <s v="Iniciante (&lt; 1 ano)"/>
    <n v="2"/>
    <s v="masculino"/>
    <s v="solteiro"/>
    <s v="nenhum"/>
    <n v="3"/>
    <s v="poupança ou seguro de vida"/>
    <n v="45"/>
    <s v="Sénior (41-60)"/>
    <s v="nenhum"/>
    <s v="própria"/>
    <n v="1"/>
    <s v="Executivo/Empresário"/>
    <n v="2"/>
    <s v="sim"/>
    <s v="sim"/>
    <n v="1"/>
  </r>
  <r>
    <n v="942"/>
    <x v="0"/>
    <s v="sem conta corrente"/>
    <s v="sem conta no banco"/>
    <n v="10"/>
    <s v="pgto em dia neste banco (em aberto)"/>
    <s v="carro novo"/>
    <n v="1546"/>
    <s v="&lt; 100 $"/>
    <s v="Baixo (&lt; 100 $)"/>
    <s v="&lt; 4 anos"/>
    <s v="Intermediário (1-4 anos)"/>
    <n v="3"/>
    <s v="masculino"/>
    <s v="solteiro"/>
    <s v="nenhum"/>
    <n v="2"/>
    <s v="imovel"/>
    <n v="31"/>
    <s v="Adulto (26-40)"/>
    <s v="nenhum"/>
    <s v="própria"/>
    <n v="1"/>
    <s v="Empregado Comum"/>
    <n v="2"/>
    <s v="não"/>
    <s v="não"/>
    <n v="1"/>
  </r>
  <r>
    <n v="943"/>
    <x v="0"/>
    <s v="sem conta corrente"/>
    <s v="sem conta no banco"/>
    <n v="24"/>
    <s v="pgto em dia neste banco (em aberto)"/>
    <s v="moveis e equipamentos"/>
    <n v="929"/>
    <s v="sem poupança"/>
    <s v="sem poupança"/>
    <s v="&lt; 7 anos"/>
    <s v="Estável (4-7 anos)"/>
    <n v="4"/>
    <s v="masculino"/>
    <s v="solteiro"/>
    <s v="nenhum"/>
    <n v="2"/>
    <s v="carro ou outros-quitado"/>
    <n v="31"/>
    <s v="Adulto (26-40)"/>
    <s v="loja"/>
    <s v="própria"/>
    <n v="1"/>
    <s v="Func. Público/Qualificado"/>
    <n v="1"/>
    <s v="sim"/>
    <s v="sim"/>
    <n v="1"/>
  </r>
  <r>
    <n v="944"/>
    <x v="0"/>
    <s v="sem conta corrente"/>
    <s v="sem conta no banco"/>
    <n v="4"/>
    <s v="conta critica / dividas com terceiros"/>
    <s v="carro novo"/>
    <n v="1455"/>
    <s v="&lt; 100 $"/>
    <s v="Baixo (&lt; 100 $)"/>
    <s v="&lt; 7 anos"/>
    <s v="Estável (4-7 anos)"/>
    <n v="2"/>
    <s v="masculino"/>
    <s v="solteiro"/>
    <s v="nenhum"/>
    <n v="1"/>
    <s v="imovel"/>
    <n v="42"/>
    <s v="Sénior (41-60)"/>
    <s v="nenhum"/>
    <s v="própria"/>
    <n v="3"/>
    <s v="Empregado Comum"/>
    <n v="2"/>
    <s v="não"/>
    <s v="sim"/>
    <n v="1"/>
  </r>
  <r>
    <n v="945"/>
    <x v="0"/>
    <s v="&lt; 0 $"/>
    <s v="negativo/devedor"/>
    <n v="15"/>
    <s v="pgto em dia neste banco (em aberto)"/>
    <s v="moveis e equipamentos"/>
    <n v="1845"/>
    <s v="&lt; 100 $"/>
    <s v="Baixo (&lt; 100 $)"/>
    <s v="&lt; 1 ano"/>
    <s v="Iniciante (&lt; 1 ano)"/>
    <n v="4"/>
    <s v="feminino"/>
    <s v="divorciada/casada"/>
    <s v="garantidor"/>
    <n v="1"/>
    <s v="poupança ou seguro de vida"/>
    <n v="46"/>
    <s v="Sénior (41-60)"/>
    <s v="nenhum"/>
    <s v="aluguel"/>
    <n v="1"/>
    <s v="Func. Público/Qualificado"/>
    <n v="1"/>
    <s v="não"/>
    <s v="sim"/>
    <n v="1"/>
  </r>
  <r>
    <n v="946"/>
    <x v="0"/>
    <s v="&gt;= 0 &lt; 200 $"/>
    <s v="saldo baixo"/>
    <n v="48"/>
    <s v="nenhum/pgto em dia"/>
    <s v="carro novo"/>
    <n v="8358"/>
    <s v="&gt;= 500 &lt; 1000 $"/>
    <s v="Alto (500-1000 $)"/>
    <s v="&lt; 1 ano"/>
    <s v="Iniciante (&lt; 1 ano)"/>
    <n v="1"/>
    <s v="feminino"/>
    <s v="divorciada/casada"/>
    <s v="nenhum"/>
    <n v="1"/>
    <s v="carro ou outros-quitado"/>
    <n v="30"/>
    <s v="Adulto (26-40)"/>
    <s v="nenhum"/>
    <s v="própria"/>
    <n v="2"/>
    <s v="Func. Público/Qualificado"/>
    <n v="1"/>
    <s v="não"/>
    <s v="sim"/>
    <n v="1"/>
  </r>
  <r>
    <n v="947"/>
    <x v="1"/>
    <s v="&lt; 0 $"/>
    <s v="negativo/devedor"/>
    <n v="24"/>
    <s v="pgto em dia neste banco (quitado)"/>
    <s v="moveis e equipamentos"/>
    <n v="3349"/>
    <s v="&gt;= 500 &lt; 1000 $"/>
    <s v="Alto (500-1000 $)"/>
    <s v="&lt; 1 ano"/>
    <s v="Iniciante (&lt; 1 ano)"/>
    <n v="4"/>
    <s v="masculino"/>
    <s v="solteiro"/>
    <s v="nenhum"/>
    <n v="4"/>
    <s v="sem bens"/>
    <n v="30"/>
    <s v="Adulto (26-40)"/>
    <s v="nenhum"/>
    <s v="gratuita"/>
    <n v="1"/>
    <s v="Func. Público/Qualificado"/>
    <n v="2"/>
    <s v="sim"/>
    <s v="sim"/>
    <n v="2"/>
  </r>
  <r>
    <n v="948"/>
    <x v="0"/>
    <s v="sem conta corrente"/>
    <s v="sem conta no banco"/>
    <n v="12"/>
    <s v="pgto em dia neste banco (em aberto)"/>
    <s v="carro novo"/>
    <n v="2859"/>
    <s v="sem poupança"/>
    <s v="sem poupança"/>
    <s v="desempregado"/>
    <s v="desempregado"/>
    <n v="4"/>
    <s v="masculino"/>
    <s v="solteiro"/>
    <s v="nenhum"/>
    <n v="4"/>
    <s v="sem bens"/>
    <n v="38"/>
    <s v="Adulto (26-40)"/>
    <s v="nenhum"/>
    <s v="própria"/>
    <n v="1"/>
    <s v="Executivo/Empresário"/>
    <n v="1"/>
    <s v="sim"/>
    <s v="sim"/>
    <n v="1"/>
  </r>
  <r>
    <n v="949"/>
    <x v="1"/>
    <s v="sem conta corrente"/>
    <s v="sem conta no banco"/>
    <n v="18"/>
    <s v="pgto em dia neste banco (em aberto)"/>
    <s v="moveis e equipamentos"/>
    <n v="1533"/>
    <s v="&lt; 100 $"/>
    <s v="Baixo (&lt; 100 $)"/>
    <s v="&lt; 1 ano"/>
    <s v="Iniciante (&lt; 1 ano)"/>
    <n v="4"/>
    <s v="masculino"/>
    <s v="casado/viuvo"/>
    <s v="codevedor"/>
    <n v="1"/>
    <s v="poupança ou seguro de vida"/>
    <n v="43"/>
    <s v="Sénior (41-60)"/>
    <s v="nenhum"/>
    <s v="própria"/>
    <n v="1"/>
    <s v="Empregado Comum"/>
    <n v="2"/>
    <s v="não"/>
    <s v="sim"/>
    <n v="2"/>
  </r>
  <r>
    <n v="950"/>
    <x v="1"/>
    <s v="sem conta corrente"/>
    <s v="sem conta no banco"/>
    <n v="24"/>
    <s v="pgto em dia neste banco (em aberto)"/>
    <s v="radio ou televisao"/>
    <n v="3621"/>
    <s v="&gt;= 100 &lt; 500 $"/>
    <s v="Médio (100-500$)"/>
    <s v="&gt;= 7 anos"/>
    <s v="Muito Estável (&gt; 7 anos)"/>
    <n v="2"/>
    <s v="masculino"/>
    <s v="solteiro"/>
    <s v="nenhum"/>
    <n v="4"/>
    <s v="carro ou outros-quitado"/>
    <n v="31"/>
    <s v="Adulto (26-40)"/>
    <s v="nenhum"/>
    <s v="própria"/>
    <n v="2"/>
    <s v="Func. Público/Qualificado"/>
    <n v="1"/>
    <s v="não"/>
    <s v="sim"/>
    <n v="2"/>
  </r>
  <r>
    <n v="951"/>
    <x v="0"/>
    <s v="&gt;= 0 &lt; 200 $"/>
    <s v="saldo baixo"/>
    <n v="18"/>
    <s v="conta critica / dividas com terceiros"/>
    <s v="negocios"/>
    <n v="3590"/>
    <s v="&lt; 100 $"/>
    <s v="Baixo (&lt; 100 $)"/>
    <s v="desempregado"/>
    <s v="desempregado"/>
    <n v="3"/>
    <s v="masculino"/>
    <s v="casado/viuvo"/>
    <s v="nenhum"/>
    <n v="3"/>
    <s v="carro ou outros-quitado"/>
    <n v="40"/>
    <s v="Sénior (41-60)"/>
    <s v="nenhum"/>
    <s v="própria"/>
    <n v="3"/>
    <s v="Não qualificado/Desempregado"/>
    <n v="2"/>
    <s v="sim"/>
    <s v="sim"/>
    <n v="1"/>
  </r>
  <r>
    <n v="952"/>
    <x v="1"/>
    <s v="&lt; 0 $"/>
    <s v="negativo/devedor"/>
    <n v="36"/>
    <s v="pgto em atraso no passado"/>
    <s v="negocios"/>
    <n v="2145"/>
    <s v="&lt; 100 $"/>
    <s v="Baixo (&lt; 100 $)"/>
    <s v="&lt; 7 anos"/>
    <s v="Estável (4-7 anos)"/>
    <n v="2"/>
    <s v="masculino"/>
    <s v="solteiro"/>
    <s v="nenhum"/>
    <n v="1"/>
    <s v="carro ou outros-quitado"/>
    <n v="24"/>
    <s v="Jovem (18-25)"/>
    <s v="nenhum"/>
    <s v="própria"/>
    <n v="2"/>
    <s v="Func. Público/Qualificado"/>
    <n v="1"/>
    <s v="sim"/>
    <s v="sim"/>
    <n v="2"/>
  </r>
  <r>
    <n v="953"/>
    <x v="1"/>
    <s v="&gt;= 0 &lt; 200 $"/>
    <s v="saldo baixo"/>
    <n v="24"/>
    <s v="pgto em dia neste banco (em aberto)"/>
    <s v="carro usado"/>
    <n v="4113"/>
    <s v="&gt;= 500 &lt; 1000 $"/>
    <s v="Alto (500-1000 $)"/>
    <s v="&lt; 1 ano"/>
    <s v="Iniciante (&lt; 1 ano)"/>
    <n v="3"/>
    <s v="feminino"/>
    <s v="divorciada/casada"/>
    <s v="nenhum"/>
    <n v="4"/>
    <s v="carro ou outros-quitado"/>
    <n v="28"/>
    <s v="Adulto (26-40)"/>
    <s v="nenhum"/>
    <s v="aluguel"/>
    <n v="1"/>
    <s v="Func. Público/Qualificado"/>
    <n v="1"/>
    <s v="não"/>
    <s v="sim"/>
    <n v="2"/>
  </r>
  <r>
    <n v="954"/>
    <x v="1"/>
    <s v="sem conta corrente"/>
    <s v="sem conta no banco"/>
    <n v="36"/>
    <s v="pgto em dia neste banco (em aberto)"/>
    <s v="moveis e equipamentos"/>
    <n v="10974"/>
    <s v="&lt; 100 $"/>
    <s v="Baixo (&lt; 100 $)"/>
    <s v="desempregado"/>
    <s v="desempregado"/>
    <n v="4"/>
    <s v="feminino"/>
    <s v="divorciada/casada"/>
    <s v="nenhum"/>
    <n v="2"/>
    <s v="carro ou outros-quitado"/>
    <n v="26"/>
    <s v="Adulto (26-40)"/>
    <s v="nenhum"/>
    <s v="própria"/>
    <n v="2"/>
    <s v="Executivo/Empresário"/>
    <n v="1"/>
    <s v="sim"/>
    <s v="sim"/>
    <n v="2"/>
  </r>
  <r>
    <n v="955"/>
    <x v="0"/>
    <s v="&lt; 0 $"/>
    <s v="negativo/devedor"/>
    <n v="12"/>
    <s v="pgto em dia neste banco (em aberto)"/>
    <s v="carro novo"/>
    <n v="1893"/>
    <s v="&lt; 100 $"/>
    <s v="Baixo (&lt; 100 $)"/>
    <s v="&lt; 4 anos"/>
    <s v="Intermediário (1-4 anos)"/>
    <n v="4"/>
    <s v="feminino"/>
    <s v="divorciada/casada"/>
    <s v="garantidor"/>
    <n v="4"/>
    <s v="poupança ou seguro de vida"/>
    <n v="29"/>
    <s v="Adulto (26-40)"/>
    <s v="nenhum"/>
    <s v="própria"/>
    <n v="1"/>
    <s v="Func. Público/Qualificado"/>
    <n v="1"/>
    <s v="sim"/>
    <s v="sim"/>
    <n v="1"/>
  </r>
  <r>
    <n v="956"/>
    <x v="0"/>
    <s v="&lt; 0 $"/>
    <s v="negativo/devedor"/>
    <n v="24"/>
    <s v="conta critica / dividas com terceiros"/>
    <s v="radio ou televisao"/>
    <n v="1231"/>
    <s v="&gt;= 1000 $"/>
    <s v="Muito alto (&gt;1000$)"/>
    <s v="&gt;= 7 anos"/>
    <s v="Muito Estável (&gt; 7 anos)"/>
    <n v="4"/>
    <s v="feminino"/>
    <s v="divorciada/casada"/>
    <s v="nenhum"/>
    <n v="4"/>
    <s v="poupança ou seguro de vida"/>
    <n v="57"/>
    <s v="Sénior (41-60)"/>
    <s v="nenhum"/>
    <s v="aluguel"/>
    <n v="2"/>
    <s v="Executivo/Empresário"/>
    <n v="1"/>
    <s v="sim"/>
    <s v="sim"/>
    <n v="1"/>
  </r>
  <r>
    <n v="957"/>
    <x v="0"/>
    <s v="&gt;= 200 $"/>
    <s v="saldo saudável"/>
    <n v="30"/>
    <s v="conta critica / dividas com terceiros"/>
    <s v="radio ou televisao"/>
    <n v="3656"/>
    <s v="sem poupança"/>
    <s v="sem poupança"/>
    <s v="&gt;= 7 anos"/>
    <s v="Muito Estável (&gt; 7 anos)"/>
    <n v="4"/>
    <s v="masculino"/>
    <s v="solteiro"/>
    <s v="nenhum"/>
    <n v="4"/>
    <s v="poupança ou seguro de vida"/>
    <n v="49"/>
    <s v="Sénior (41-60)"/>
    <s v="loja"/>
    <s v="própria"/>
    <n v="2"/>
    <s v="Empregado Comum"/>
    <n v="1"/>
    <s v="não"/>
    <s v="sim"/>
    <n v="1"/>
  </r>
  <r>
    <n v="958"/>
    <x v="0"/>
    <s v="&gt;= 0 &lt; 200 $"/>
    <s v="saldo baixo"/>
    <n v="9"/>
    <s v="conta critica / dividas com terceiros"/>
    <s v="radio ou televisao"/>
    <n v="1154"/>
    <s v="&lt; 100 $"/>
    <s v="Baixo (&lt; 100 $)"/>
    <s v="&gt;= 7 anos"/>
    <s v="Muito Estável (&gt; 7 anos)"/>
    <n v="2"/>
    <s v="masculino"/>
    <s v="solteiro"/>
    <s v="nenhum"/>
    <n v="4"/>
    <s v="imovel"/>
    <n v="37"/>
    <s v="Adulto (26-40)"/>
    <s v="nenhum"/>
    <s v="própria"/>
    <n v="3"/>
    <s v="Empregado Comum"/>
    <n v="1"/>
    <s v="não"/>
    <s v="sim"/>
    <n v="1"/>
  </r>
  <r>
    <n v="959"/>
    <x v="1"/>
    <s v="&lt; 0 $"/>
    <s v="negativo/devedor"/>
    <n v="28"/>
    <s v="pgto em dia neste banco (em aberto)"/>
    <s v="carro novo"/>
    <n v="4006"/>
    <s v="&lt; 100 $"/>
    <s v="Baixo (&lt; 100 $)"/>
    <s v="&lt; 4 anos"/>
    <s v="Intermediário (1-4 anos)"/>
    <n v="3"/>
    <s v="masculino"/>
    <s v="solteiro"/>
    <s v="nenhum"/>
    <n v="2"/>
    <s v="carro ou outros-quitado"/>
    <n v="45"/>
    <s v="Sénior (41-60)"/>
    <s v="nenhum"/>
    <s v="própria"/>
    <n v="1"/>
    <s v="Empregado Comum"/>
    <n v="1"/>
    <s v="não"/>
    <s v="sim"/>
    <n v="2"/>
  </r>
  <r>
    <n v="960"/>
    <x v="0"/>
    <s v="&gt;= 0 &lt; 200 $"/>
    <s v="saldo baixo"/>
    <n v="24"/>
    <s v="pgto em dia neste banco (em aberto)"/>
    <s v="moveis e equipamentos"/>
    <n v="3069"/>
    <s v="&gt;= 100 &lt; 500 $"/>
    <s v="Médio (100-500$)"/>
    <s v="&gt;= 7 anos"/>
    <s v="Muito Estável (&gt; 7 anos)"/>
    <n v="4"/>
    <s v="masculino"/>
    <s v="solteiro"/>
    <s v="nenhum"/>
    <n v="4"/>
    <s v="sem bens"/>
    <n v="30"/>
    <s v="Adulto (26-40)"/>
    <s v="nenhum"/>
    <s v="gratuita"/>
    <n v="1"/>
    <s v="Func. Público/Qualificado"/>
    <n v="1"/>
    <s v="não"/>
    <s v="sim"/>
    <n v="1"/>
  </r>
  <r>
    <n v="961"/>
    <x v="0"/>
    <s v="sem conta corrente"/>
    <s v="sem conta no banco"/>
    <n v="6"/>
    <s v="conta critica / dividas com terceiros"/>
    <s v="radio ou televisao"/>
    <n v="1740"/>
    <s v="&lt; 100 $"/>
    <s v="Baixo (&lt; 100 $)"/>
    <s v="&gt;= 7 anos"/>
    <s v="Muito Estável (&gt; 7 anos)"/>
    <n v="2"/>
    <s v="masculino"/>
    <s v="casado/viuvo"/>
    <s v="nenhum"/>
    <n v="2"/>
    <s v="imovel"/>
    <n v="30"/>
    <s v="Adulto (26-40)"/>
    <s v="nenhum"/>
    <s v="aluguel"/>
    <n v="2"/>
    <s v="Func. Público/Qualificado"/>
    <n v="1"/>
    <s v="não"/>
    <s v="sim"/>
    <n v="1"/>
  </r>
  <r>
    <n v="962"/>
    <x v="0"/>
    <s v="&gt;= 0 &lt; 200 $"/>
    <s v="saldo baixo"/>
    <n v="21"/>
    <s v="pgto em atraso no passado"/>
    <s v="carro novo"/>
    <n v="2353"/>
    <s v="&lt; 100 $"/>
    <s v="Baixo (&lt; 100 $)"/>
    <s v="&lt; 4 anos"/>
    <s v="Intermediário (1-4 anos)"/>
    <n v="1"/>
    <s v="masculino"/>
    <s v="divorciado"/>
    <s v="nenhum"/>
    <n v="4"/>
    <s v="poupança ou seguro de vida"/>
    <n v="47"/>
    <s v="Sénior (41-60)"/>
    <s v="nenhum"/>
    <s v="própria"/>
    <n v="2"/>
    <s v="Func. Público/Qualificado"/>
    <n v="1"/>
    <s v="não"/>
    <s v="sim"/>
    <n v="1"/>
  </r>
  <r>
    <n v="963"/>
    <x v="0"/>
    <s v="sem conta corrente"/>
    <s v="sem conta no banco"/>
    <n v="15"/>
    <s v="pgto em dia neste banco (em aberto)"/>
    <s v="carro novo"/>
    <n v="3556"/>
    <s v="sem poupança"/>
    <s v="sem poupança"/>
    <s v="&lt; 4 anos"/>
    <s v="Intermediário (1-4 anos)"/>
    <n v="3"/>
    <s v="masculino"/>
    <s v="solteiro"/>
    <s v="nenhum"/>
    <n v="2"/>
    <s v="sem bens"/>
    <n v="29"/>
    <s v="Adulto (26-40)"/>
    <s v="nenhum"/>
    <s v="própria"/>
    <n v="1"/>
    <s v="Func. Público/Qualificado"/>
    <n v="1"/>
    <s v="não"/>
    <s v="sim"/>
    <n v="1"/>
  </r>
  <r>
    <n v="964"/>
    <x v="1"/>
    <s v="sem conta corrente"/>
    <s v="sem conta no banco"/>
    <n v="24"/>
    <s v="pgto em dia neste banco (em aberto)"/>
    <s v="radio ou televisao"/>
    <n v="2397"/>
    <s v="&gt;= 500 &lt; 1000 $"/>
    <s v="Alto (500-1000 $)"/>
    <s v="&gt;= 7 anos"/>
    <s v="Muito Estável (&gt; 7 anos)"/>
    <n v="3"/>
    <s v="masculino"/>
    <s v="solteiro"/>
    <s v="nenhum"/>
    <n v="2"/>
    <s v="carro ou outros-quitado"/>
    <n v="35"/>
    <s v="Adulto (26-40)"/>
    <s v="banco"/>
    <s v="própria"/>
    <n v="2"/>
    <s v="Func. Público/Qualificado"/>
    <n v="1"/>
    <s v="sim"/>
    <s v="sim"/>
    <n v="2"/>
  </r>
  <r>
    <n v="965"/>
    <x v="0"/>
    <s v="&gt;= 0 &lt; 200 $"/>
    <s v="saldo baixo"/>
    <n v="6"/>
    <s v="pgto em dia neste banco (em aberto)"/>
    <s v="reparos"/>
    <n v="454"/>
    <s v="&lt; 100 $"/>
    <s v="Baixo (&lt; 100 $)"/>
    <s v="&lt; 1 ano"/>
    <s v="Iniciante (&lt; 1 ano)"/>
    <n v="3"/>
    <s v="masculino"/>
    <s v="casado/viuvo"/>
    <s v="nenhum"/>
    <n v="1"/>
    <s v="poupança ou seguro de vida"/>
    <n v="22"/>
    <s v="Jovem (18-25)"/>
    <s v="nenhum"/>
    <s v="própria"/>
    <n v="1"/>
    <s v="Empregado Comum"/>
    <n v="1"/>
    <s v="não"/>
    <s v="sim"/>
    <n v="1"/>
  </r>
  <r>
    <n v="966"/>
    <x v="0"/>
    <s v="&gt;= 0 &lt; 200 $"/>
    <s v="saldo baixo"/>
    <n v="30"/>
    <s v="pgto em dia neste banco (em aberto)"/>
    <s v="radio ou televisao"/>
    <n v="1715"/>
    <s v="sem poupança"/>
    <s v="sem poupança"/>
    <s v="&lt; 4 anos"/>
    <s v="Intermediário (1-4 anos)"/>
    <n v="4"/>
    <s v="feminino"/>
    <s v="divorciada/casada"/>
    <s v="nenhum"/>
    <n v="1"/>
    <s v="carro ou outros-quitado"/>
    <n v="26"/>
    <s v="Adulto (26-40)"/>
    <s v="nenhum"/>
    <s v="própria"/>
    <n v="1"/>
    <s v="Func. Público/Qualificado"/>
    <n v="1"/>
    <s v="não"/>
    <s v="sim"/>
    <n v="1"/>
  </r>
  <r>
    <n v="967"/>
    <x v="1"/>
    <s v="&gt;= 0 &lt; 200 $"/>
    <s v="saldo baixo"/>
    <n v="27"/>
    <s v="conta critica / dividas com terceiros"/>
    <s v="radio ou televisao"/>
    <n v="2520"/>
    <s v="&gt;= 500 &lt; 1000 $"/>
    <s v="Alto (500-1000 $)"/>
    <s v="&lt; 4 anos"/>
    <s v="Intermediário (1-4 anos)"/>
    <n v="4"/>
    <s v="masculino"/>
    <s v="solteiro"/>
    <s v="nenhum"/>
    <n v="2"/>
    <s v="poupança ou seguro de vida"/>
    <n v="23"/>
    <s v="Jovem (18-25)"/>
    <s v="nenhum"/>
    <s v="própria"/>
    <n v="2"/>
    <s v="Empregado Comum"/>
    <n v="1"/>
    <s v="não"/>
    <s v="sim"/>
    <n v="2"/>
  </r>
  <r>
    <n v="968"/>
    <x v="0"/>
    <s v="sem conta corrente"/>
    <s v="sem conta no banco"/>
    <n v="15"/>
    <s v="pgto em dia neste banco (em aberto)"/>
    <s v="radio ou televisao"/>
    <n v="3568"/>
    <s v="&lt; 100 $"/>
    <s v="Baixo (&lt; 100 $)"/>
    <s v="&gt;= 7 anos"/>
    <s v="Muito Estável (&gt; 7 anos)"/>
    <n v="4"/>
    <s v="feminino"/>
    <s v="divorciada/casada"/>
    <s v="nenhum"/>
    <n v="2"/>
    <s v="carro ou outros-quitado"/>
    <n v="54"/>
    <s v="Sénior (41-60)"/>
    <s v="banco"/>
    <s v="aluguel"/>
    <n v="1"/>
    <s v="Executivo/Empresário"/>
    <n v="1"/>
    <s v="sim"/>
    <s v="sim"/>
    <n v="1"/>
  </r>
  <r>
    <n v="969"/>
    <x v="0"/>
    <s v="sem conta corrente"/>
    <s v="sem conta no banco"/>
    <n v="42"/>
    <s v="pgto em dia neste banco (em aberto)"/>
    <s v="radio ou televisao"/>
    <n v="7166"/>
    <s v="sem poupança"/>
    <s v="sem poupança"/>
    <s v="&lt; 7 anos"/>
    <s v="Estável (4-7 anos)"/>
    <n v="2"/>
    <s v="masculino"/>
    <s v="casado/viuvo"/>
    <s v="nenhum"/>
    <n v="4"/>
    <s v="poupança ou seguro de vida"/>
    <n v="29"/>
    <s v="Adulto (26-40)"/>
    <s v="nenhum"/>
    <s v="aluguel"/>
    <n v="1"/>
    <s v="Func. Público/Qualificado"/>
    <n v="1"/>
    <s v="sim"/>
    <s v="sim"/>
    <n v="1"/>
  </r>
  <r>
    <n v="970"/>
    <x v="0"/>
    <s v="&lt; 0 $"/>
    <s v="negativo/devedor"/>
    <n v="11"/>
    <s v="conta critica / dividas com terceiros"/>
    <s v="carro novo"/>
    <n v="3939"/>
    <s v="&lt; 100 $"/>
    <s v="Baixo (&lt; 100 $)"/>
    <s v="&lt; 4 anos"/>
    <s v="Intermediário (1-4 anos)"/>
    <n v="1"/>
    <s v="masculino"/>
    <s v="solteiro"/>
    <s v="nenhum"/>
    <n v="2"/>
    <s v="imovel"/>
    <n v="40"/>
    <s v="Sénior (41-60)"/>
    <s v="nenhum"/>
    <s v="própria"/>
    <n v="2"/>
    <s v="Empregado Comum"/>
    <n v="2"/>
    <s v="não"/>
    <s v="sim"/>
    <n v="1"/>
  </r>
  <r>
    <n v="971"/>
    <x v="0"/>
    <s v="&gt;= 0 &lt; 200 $"/>
    <s v="saldo baixo"/>
    <n v="15"/>
    <s v="pgto em dia neste banco (em aberto)"/>
    <s v="reparos"/>
    <n v="1514"/>
    <s v="&gt;= 100 &lt; 500 $"/>
    <s v="Médio (100-500$)"/>
    <s v="&lt; 4 anos"/>
    <s v="Intermediário (1-4 anos)"/>
    <n v="4"/>
    <s v="masculino"/>
    <s v="solteiro"/>
    <s v="garantidor"/>
    <n v="2"/>
    <s v="imovel"/>
    <n v="22"/>
    <s v="Jovem (18-25)"/>
    <s v="nenhum"/>
    <s v="própria"/>
    <n v="1"/>
    <s v="Func. Público/Qualificado"/>
    <n v="1"/>
    <s v="não"/>
    <s v="sim"/>
    <n v="1"/>
  </r>
  <r>
    <n v="972"/>
    <x v="0"/>
    <s v="sem conta corrente"/>
    <s v="sem conta no banco"/>
    <n v="24"/>
    <s v="pgto em dia neste banco (em aberto)"/>
    <s v="carro novo"/>
    <n v="7393"/>
    <s v="&lt; 100 $"/>
    <s v="Baixo (&lt; 100 $)"/>
    <s v="&lt; 4 anos"/>
    <s v="Intermediário (1-4 anos)"/>
    <n v="1"/>
    <s v="masculino"/>
    <s v="solteiro"/>
    <s v="nenhum"/>
    <n v="4"/>
    <s v="poupança ou seguro de vida"/>
    <n v="43"/>
    <s v="Sénior (41-60)"/>
    <s v="nenhum"/>
    <s v="própria"/>
    <n v="1"/>
    <s v="Empregado Comum"/>
    <n v="2"/>
    <s v="não"/>
    <s v="sim"/>
    <n v="1"/>
  </r>
  <r>
    <n v="973"/>
    <x v="1"/>
    <s v="&lt; 0 $"/>
    <s v="negativo/devedor"/>
    <n v="24"/>
    <s v="pgto em dia neste banco (quitado)"/>
    <s v="carro novo"/>
    <n v="1193"/>
    <s v="&lt; 100 $"/>
    <s v="Baixo (&lt; 100 $)"/>
    <s v="desempregado"/>
    <s v="desempregado"/>
    <n v="1"/>
    <s v="feminino"/>
    <s v="divorciada/casada"/>
    <s v="codevedor"/>
    <n v="4"/>
    <s v="sem bens"/>
    <n v="29"/>
    <s v="Adulto (26-40)"/>
    <s v="nenhum"/>
    <s v="aluguel"/>
    <n v="2"/>
    <s v="Não qualificado/Desempregado"/>
    <n v="1"/>
    <s v="não"/>
    <s v="sim"/>
    <n v="2"/>
  </r>
  <r>
    <n v="974"/>
    <x v="1"/>
    <s v="&lt; 0 $"/>
    <s v="negativo/devedor"/>
    <n v="60"/>
    <s v="pgto em dia neste banco (em aberto)"/>
    <s v="negocios"/>
    <n v="7297"/>
    <s v="&lt; 100 $"/>
    <s v="Baixo (&lt; 100 $)"/>
    <s v="&gt;= 7 anos"/>
    <s v="Muito Estável (&gt; 7 anos)"/>
    <n v="4"/>
    <s v="masculino"/>
    <s v="solteiro"/>
    <s v="codevedor"/>
    <n v="4"/>
    <s v="sem bens"/>
    <n v="36"/>
    <s v="Adulto (26-40)"/>
    <s v="nenhum"/>
    <s v="aluguel"/>
    <n v="1"/>
    <s v="Func. Público/Qualificado"/>
    <n v="1"/>
    <s v="não"/>
    <s v="sim"/>
    <n v="2"/>
  </r>
  <r>
    <n v="975"/>
    <x v="0"/>
    <s v="sem conta corrente"/>
    <s v="sem conta no banco"/>
    <n v="30"/>
    <s v="conta critica / dividas com terceiros"/>
    <s v="radio ou televisao"/>
    <n v="2831"/>
    <s v="&lt; 100 $"/>
    <s v="Baixo (&lt; 100 $)"/>
    <s v="&lt; 4 anos"/>
    <s v="Intermediário (1-4 anos)"/>
    <n v="4"/>
    <s v="feminino"/>
    <s v="divorciada/casada"/>
    <s v="nenhum"/>
    <n v="2"/>
    <s v="carro ou outros-quitado"/>
    <n v="33"/>
    <s v="Adulto (26-40)"/>
    <s v="nenhum"/>
    <s v="própria"/>
    <n v="1"/>
    <s v="Func. Público/Qualificado"/>
    <n v="1"/>
    <s v="sim"/>
    <s v="sim"/>
    <n v="1"/>
  </r>
  <r>
    <n v="976"/>
    <x v="0"/>
    <s v="&gt;= 200 $"/>
    <s v="saldo saudável"/>
    <n v="24"/>
    <s v="pgto em dia neste banco (em aberto)"/>
    <s v="radio ou televisao"/>
    <n v="1258"/>
    <s v="&gt;= 500 &lt; 1000 $"/>
    <s v="Alto (500-1000 $)"/>
    <s v="&lt; 4 anos"/>
    <s v="Intermediário (1-4 anos)"/>
    <n v="3"/>
    <s v="feminino"/>
    <s v="divorciada/casada"/>
    <s v="nenhum"/>
    <n v="3"/>
    <s v="carro ou outros-quitado"/>
    <n v="57"/>
    <s v="Sénior (41-60)"/>
    <s v="nenhum"/>
    <s v="própria"/>
    <n v="1"/>
    <s v="Empregado Comum"/>
    <n v="1"/>
    <s v="não"/>
    <s v="sim"/>
    <n v="1"/>
  </r>
  <r>
    <n v="977"/>
    <x v="0"/>
    <s v="&gt;= 0 &lt; 200 $"/>
    <s v="saldo baixo"/>
    <n v="6"/>
    <s v="pgto em dia neste banco (em aberto)"/>
    <s v="radio ou televisao"/>
    <n v="753"/>
    <s v="&lt; 100 $"/>
    <s v="Baixo (&lt; 100 $)"/>
    <s v="&lt; 4 anos"/>
    <s v="Intermediário (1-4 anos)"/>
    <n v="2"/>
    <s v="feminino"/>
    <s v="divorciada/casada"/>
    <s v="garantidor"/>
    <n v="3"/>
    <s v="imovel"/>
    <n v="64"/>
    <s v="Idoso (60+)"/>
    <s v="nenhum"/>
    <s v="própria"/>
    <n v="1"/>
    <s v="Func. Público/Qualificado"/>
    <n v="1"/>
    <s v="não"/>
    <s v="sim"/>
    <n v="1"/>
  </r>
  <r>
    <n v="978"/>
    <x v="0"/>
    <s v="&gt;= 0 &lt; 200 $"/>
    <s v="saldo baixo"/>
    <n v="18"/>
    <s v="pgto em atraso no passado"/>
    <s v="negocios"/>
    <n v="2427"/>
    <s v="sem poupança"/>
    <s v="sem poupança"/>
    <s v="&gt;= 7 anos"/>
    <s v="Muito Estável (&gt; 7 anos)"/>
    <n v="4"/>
    <s v="masculino"/>
    <s v="solteiro"/>
    <s v="nenhum"/>
    <n v="2"/>
    <s v="poupança ou seguro de vida"/>
    <n v="42"/>
    <s v="Sénior (41-60)"/>
    <s v="nenhum"/>
    <s v="própria"/>
    <n v="2"/>
    <s v="Func. Público/Qualificado"/>
    <n v="1"/>
    <s v="não"/>
    <s v="sim"/>
    <n v="1"/>
  </r>
  <r>
    <n v="979"/>
    <x v="1"/>
    <s v="sem conta corrente"/>
    <s v="sem conta no banco"/>
    <n v="24"/>
    <s v="pgto em atraso no passado"/>
    <s v="carro novo"/>
    <n v="2538"/>
    <s v="&lt; 100 $"/>
    <s v="Baixo (&lt; 100 $)"/>
    <s v="&gt;= 7 anos"/>
    <s v="Muito Estável (&gt; 7 anos)"/>
    <n v="4"/>
    <s v="masculino"/>
    <s v="solteiro"/>
    <s v="nenhum"/>
    <n v="4"/>
    <s v="carro ou outros-quitado"/>
    <n v="47"/>
    <s v="Sénior (41-60)"/>
    <s v="nenhum"/>
    <s v="própria"/>
    <n v="2"/>
    <s v="Empregado Comum"/>
    <n v="2"/>
    <s v="não"/>
    <s v="sim"/>
    <n v="2"/>
  </r>
  <r>
    <n v="980"/>
    <x v="1"/>
    <s v="&gt;= 0 &lt; 200 $"/>
    <s v="saldo baixo"/>
    <n v="15"/>
    <s v="pgto em dia neste banco (quitado)"/>
    <s v="carro novo"/>
    <n v="1264"/>
    <s v="&gt;= 100 &lt; 500 $"/>
    <s v="Médio (100-500$)"/>
    <s v="&lt; 4 anos"/>
    <s v="Intermediário (1-4 anos)"/>
    <n v="2"/>
    <s v="masculino"/>
    <s v="casado/viuvo"/>
    <s v="nenhum"/>
    <n v="2"/>
    <s v="poupança ou seguro de vida"/>
    <n v="25"/>
    <s v="Adulto (26-40)"/>
    <s v="nenhum"/>
    <s v="aluguel"/>
    <n v="1"/>
    <s v="Func. Público/Qualificado"/>
    <n v="1"/>
    <s v="não"/>
    <s v="sim"/>
    <n v="2"/>
  </r>
  <r>
    <n v="981"/>
    <x v="1"/>
    <s v="&gt;= 0 &lt; 200 $"/>
    <s v="saldo baixo"/>
    <n v="30"/>
    <s v="conta critica / dividas com terceiros"/>
    <s v="moveis e equipamentos"/>
    <n v="8386"/>
    <s v="&lt; 100 $"/>
    <s v="Baixo (&lt; 100 $)"/>
    <s v="&lt; 7 anos"/>
    <s v="Estável (4-7 anos)"/>
    <n v="2"/>
    <s v="masculino"/>
    <s v="solteiro"/>
    <s v="nenhum"/>
    <n v="2"/>
    <s v="poupança ou seguro de vida"/>
    <n v="49"/>
    <s v="Sénior (41-60)"/>
    <s v="nenhum"/>
    <s v="própria"/>
    <n v="1"/>
    <s v="Func. Público/Qualificado"/>
    <n v="1"/>
    <s v="não"/>
    <s v="sim"/>
    <n v="2"/>
  </r>
  <r>
    <n v="982"/>
    <x v="1"/>
    <s v="sem conta corrente"/>
    <s v="sem conta no banco"/>
    <n v="48"/>
    <s v="pgto em dia neste banco (em aberto)"/>
    <s v="negocios"/>
    <n v="4844"/>
    <s v="&lt; 100 $"/>
    <s v="Baixo (&lt; 100 $)"/>
    <s v="desempregado"/>
    <s v="desempregado"/>
    <n v="3"/>
    <s v="masculino"/>
    <s v="solteiro"/>
    <s v="nenhum"/>
    <n v="2"/>
    <s v="carro ou outros-quitado"/>
    <n v="33"/>
    <s v="Adulto (26-40)"/>
    <s v="banco"/>
    <s v="aluguel"/>
    <n v="1"/>
    <s v="Executivo/Empresário"/>
    <n v="1"/>
    <s v="sim"/>
    <s v="sim"/>
    <n v="2"/>
  </r>
  <r>
    <n v="983"/>
    <x v="0"/>
    <s v="&gt;= 200 $"/>
    <s v="saldo saudável"/>
    <n v="21"/>
    <s v="pgto em dia neste banco (em aberto)"/>
    <s v="carro novo"/>
    <n v="2923"/>
    <s v="&gt;= 100 &lt; 500 $"/>
    <s v="Médio (100-500$)"/>
    <s v="&lt; 4 anos"/>
    <s v="Intermediário (1-4 anos)"/>
    <n v="1"/>
    <s v="feminino"/>
    <s v="divorciada/casada"/>
    <s v="nenhum"/>
    <n v="1"/>
    <s v="carro ou outros-quitado"/>
    <n v="28"/>
    <s v="Adulto (26-40)"/>
    <s v="banco"/>
    <s v="própria"/>
    <n v="1"/>
    <s v="Executivo/Empresário"/>
    <n v="1"/>
    <s v="sim"/>
    <s v="sim"/>
    <n v="1"/>
  </r>
  <r>
    <n v="984"/>
    <x v="1"/>
    <s v="&lt; 0 $"/>
    <s v="negativo/devedor"/>
    <n v="36"/>
    <s v="pgto em dia neste banco (em aberto)"/>
    <s v="carro usado"/>
    <n v="8229"/>
    <s v="&lt; 100 $"/>
    <s v="Baixo (&lt; 100 $)"/>
    <s v="&lt; 4 anos"/>
    <s v="Intermediário (1-4 anos)"/>
    <n v="2"/>
    <s v="masculino"/>
    <s v="solteiro"/>
    <s v="nenhum"/>
    <n v="2"/>
    <s v="poupança ou seguro de vida"/>
    <n v="26"/>
    <s v="Adulto (26-40)"/>
    <s v="nenhum"/>
    <s v="própria"/>
    <n v="1"/>
    <s v="Func. Público/Qualificado"/>
    <n v="2"/>
    <s v="não"/>
    <s v="sim"/>
    <n v="2"/>
  </r>
  <r>
    <n v="985"/>
    <x v="0"/>
    <s v="sem conta corrente"/>
    <s v="sem conta no banco"/>
    <n v="24"/>
    <s v="conta critica / dividas com terceiros"/>
    <s v="moveis e equipamentos"/>
    <n v="2028"/>
    <s v="&lt; 100 $"/>
    <s v="Baixo (&lt; 100 $)"/>
    <s v="&lt; 7 anos"/>
    <s v="Estável (4-7 anos)"/>
    <n v="2"/>
    <s v="masculino"/>
    <s v="solteiro"/>
    <s v="nenhum"/>
    <n v="2"/>
    <s v="poupança ou seguro de vida"/>
    <n v="30"/>
    <s v="Adulto (26-40)"/>
    <s v="nenhum"/>
    <s v="própria"/>
    <n v="2"/>
    <s v="Empregado Comum"/>
    <n v="1"/>
    <s v="não"/>
    <s v="sim"/>
    <n v="1"/>
  </r>
  <r>
    <n v="986"/>
    <x v="0"/>
    <s v="&lt; 0 $"/>
    <s v="negativo/devedor"/>
    <n v="15"/>
    <s v="conta critica / dividas com terceiros"/>
    <s v="moveis e equipamentos"/>
    <n v="1433"/>
    <s v="&lt; 100 $"/>
    <s v="Baixo (&lt; 100 $)"/>
    <s v="&lt; 4 anos"/>
    <s v="Intermediário (1-4 anos)"/>
    <n v="4"/>
    <s v="feminino"/>
    <s v="divorciada/casada"/>
    <s v="nenhum"/>
    <n v="3"/>
    <s v="poupança ou seguro de vida"/>
    <n v="25"/>
    <s v="Adulto (26-40)"/>
    <s v="nenhum"/>
    <s v="aluguel"/>
    <n v="2"/>
    <s v="Func. Público/Qualificado"/>
    <n v="1"/>
    <s v="não"/>
    <s v="sim"/>
    <n v="1"/>
  </r>
  <r>
    <n v="987"/>
    <x v="0"/>
    <s v="&gt;= 200 $"/>
    <s v="saldo saudável"/>
    <n v="42"/>
    <s v="nenhum/pgto em dia"/>
    <s v="negocios"/>
    <n v="6289"/>
    <s v="&lt; 100 $"/>
    <s v="Baixo (&lt; 100 $)"/>
    <s v="&lt; 1 ano"/>
    <s v="Iniciante (&lt; 1 ano)"/>
    <n v="2"/>
    <s v="masculino"/>
    <s v="divorciado"/>
    <s v="nenhum"/>
    <n v="1"/>
    <s v="poupança ou seguro de vida"/>
    <n v="33"/>
    <s v="Adulto (26-40)"/>
    <s v="nenhum"/>
    <s v="própria"/>
    <n v="2"/>
    <s v="Func. Público/Qualificado"/>
    <n v="1"/>
    <s v="não"/>
    <s v="sim"/>
    <n v="1"/>
  </r>
  <r>
    <n v="988"/>
    <x v="0"/>
    <s v="sem conta corrente"/>
    <s v="sem conta no banco"/>
    <n v="13"/>
    <s v="pgto em dia neste banco (em aberto)"/>
    <s v="radio ou televisao"/>
    <n v="1409"/>
    <s v="&gt;= 100 &lt; 500 $"/>
    <s v="Médio (100-500$)"/>
    <s v="desempregado"/>
    <s v="desempregado"/>
    <n v="2"/>
    <s v="feminino"/>
    <s v="divorciada/casada"/>
    <s v="nenhum"/>
    <n v="4"/>
    <s v="imovel"/>
    <n v="64"/>
    <s v="Idoso (60+)"/>
    <s v="nenhum"/>
    <s v="própria"/>
    <n v="1"/>
    <s v="Func. Público/Qualificado"/>
    <n v="1"/>
    <s v="não"/>
    <s v="sim"/>
    <n v="1"/>
  </r>
  <r>
    <n v="989"/>
    <x v="0"/>
    <s v="&lt; 0 $"/>
    <s v="negativo/devedor"/>
    <n v="24"/>
    <s v="pgto em dia neste banco (em aberto)"/>
    <s v="carro usado"/>
    <n v="6579"/>
    <s v="&lt; 100 $"/>
    <s v="Baixo (&lt; 100 $)"/>
    <s v="desempregado"/>
    <s v="desempregado"/>
    <n v="4"/>
    <s v="masculino"/>
    <s v="solteiro"/>
    <s v="nenhum"/>
    <n v="2"/>
    <s v="sem bens"/>
    <n v="29"/>
    <s v="Adulto (26-40)"/>
    <s v="nenhum"/>
    <s v="gratuita"/>
    <n v="1"/>
    <s v="Executivo/Empresário"/>
    <n v="1"/>
    <s v="sim"/>
    <s v="sim"/>
    <n v="1"/>
  </r>
  <r>
    <n v="990"/>
    <x v="0"/>
    <s v="&gt;= 0 &lt; 200 $"/>
    <s v="saldo baixo"/>
    <n v="24"/>
    <s v="conta critica / dividas com terceiros"/>
    <s v="radio ou televisao"/>
    <n v="1743"/>
    <s v="&lt; 100 $"/>
    <s v="Baixo (&lt; 100 $)"/>
    <s v="&gt;= 7 anos"/>
    <s v="Muito Estável (&gt; 7 anos)"/>
    <n v="4"/>
    <s v="masculino"/>
    <s v="solteiro"/>
    <s v="nenhum"/>
    <n v="2"/>
    <s v="poupança ou seguro de vida"/>
    <n v="48"/>
    <s v="Sénior (41-60)"/>
    <s v="nenhum"/>
    <s v="própria"/>
    <n v="2"/>
    <s v="Empregado Comum"/>
    <n v="1"/>
    <s v="não"/>
    <s v="sim"/>
    <n v="1"/>
  </r>
  <r>
    <n v="991"/>
    <x v="0"/>
    <s v="sem conta corrente"/>
    <s v="sem conta no banco"/>
    <n v="12"/>
    <s v="conta critica / dividas com terceiros"/>
    <s v="educacao"/>
    <n v="3565"/>
    <s v="sem poupança"/>
    <s v="sem poupança"/>
    <s v="&lt; 1 ano"/>
    <s v="Iniciante (&lt; 1 ano)"/>
    <n v="2"/>
    <s v="masculino"/>
    <s v="solteiro"/>
    <s v="nenhum"/>
    <n v="1"/>
    <s v="poupança ou seguro de vida"/>
    <n v="37"/>
    <s v="Adulto (26-40)"/>
    <s v="nenhum"/>
    <s v="própria"/>
    <n v="2"/>
    <s v="Empregado Comum"/>
    <n v="2"/>
    <s v="não"/>
    <s v="sim"/>
    <n v="1"/>
  </r>
  <r>
    <n v="992"/>
    <x v="0"/>
    <s v="sem conta corrente"/>
    <s v="sem conta no banco"/>
    <n v="15"/>
    <s v="pgto em dia neste banco (quitado)"/>
    <s v="radio ou televisao"/>
    <n v="1569"/>
    <s v="&gt;= 100 &lt; 500 $"/>
    <s v="Médio (100-500$)"/>
    <s v="&gt;= 7 anos"/>
    <s v="Muito Estável (&gt; 7 anos)"/>
    <n v="4"/>
    <s v="masculino"/>
    <s v="solteiro"/>
    <s v="nenhum"/>
    <n v="4"/>
    <s v="carro ou outros-quitado"/>
    <n v="34"/>
    <s v="Adulto (26-40)"/>
    <s v="banco"/>
    <s v="própria"/>
    <n v="1"/>
    <s v="Empregado Comum"/>
    <n v="2"/>
    <s v="não"/>
    <s v="sim"/>
    <n v="1"/>
  </r>
  <r>
    <n v="993"/>
    <x v="0"/>
    <s v="&lt; 0 $"/>
    <s v="negativo/devedor"/>
    <n v="18"/>
    <s v="pgto em dia neste banco (em aberto)"/>
    <s v="radio ou televisao"/>
    <n v="1936"/>
    <s v="sem poupança"/>
    <s v="sem poupança"/>
    <s v="&lt; 7 anos"/>
    <s v="Estável (4-7 anos)"/>
    <n v="2"/>
    <s v="masculino"/>
    <s v="casado/viuvo"/>
    <s v="nenhum"/>
    <n v="4"/>
    <s v="carro ou outros-quitado"/>
    <n v="23"/>
    <s v="Jovem (18-25)"/>
    <s v="nenhum"/>
    <s v="aluguel"/>
    <n v="2"/>
    <s v="Empregado Comum"/>
    <n v="1"/>
    <s v="não"/>
    <s v="sim"/>
    <n v="1"/>
  </r>
  <r>
    <n v="994"/>
    <x v="0"/>
    <s v="&lt; 0 $"/>
    <s v="negativo/devedor"/>
    <n v="36"/>
    <s v="pgto em dia neste banco (em aberto)"/>
    <s v="moveis e equipamentos"/>
    <n v="3959"/>
    <s v="&lt; 100 $"/>
    <s v="Baixo (&lt; 100 $)"/>
    <s v="desempregado"/>
    <s v="desempregado"/>
    <n v="4"/>
    <s v="masculino"/>
    <s v="solteiro"/>
    <s v="nenhum"/>
    <n v="3"/>
    <s v="poupança ou seguro de vida"/>
    <n v="30"/>
    <s v="Adulto (26-40)"/>
    <s v="nenhum"/>
    <s v="própria"/>
    <n v="1"/>
    <s v="Executivo/Empresário"/>
    <n v="1"/>
    <s v="sim"/>
    <s v="sim"/>
    <n v="1"/>
  </r>
  <r>
    <n v="995"/>
    <x v="0"/>
    <s v="sem conta corrente"/>
    <s v="sem conta no banco"/>
    <n v="12"/>
    <s v="pgto em dia neste banco (em aberto)"/>
    <s v="carro novo"/>
    <n v="2390"/>
    <s v="sem poupança"/>
    <s v="sem poupança"/>
    <s v="&gt;= 7 anos"/>
    <s v="Muito Estável (&gt; 7 anos)"/>
    <n v="4"/>
    <s v="masculino"/>
    <s v="solteiro"/>
    <s v="nenhum"/>
    <n v="3"/>
    <s v="carro ou outros-quitado"/>
    <n v="50"/>
    <s v="Sénior (41-60)"/>
    <s v="nenhum"/>
    <s v="própria"/>
    <n v="1"/>
    <s v="Func. Público/Qualificado"/>
    <n v="1"/>
    <s v="sim"/>
    <s v="sim"/>
    <n v="1"/>
  </r>
  <r>
    <n v="996"/>
    <x v="0"/>
    <s v="sem conta corrente"/>
    <s v="sem conta no banco"/>
    <n v="12"/>
    <s v="pgto em dia neste banco (em aberto)"/>
    <s v="moveis e equipamentos"/>
    <n v="1736"/>
    <s v="&lt; 100 $"/>
    <s v="Baixo (&lt; 100 $)"/>
    <s v="&lt; 7 anos"/>
    <s v="Estável (4-7 anos)"/>
    <n v="3"/>
    <s v="feminino"/>
    <s v="divorciada/casada"/>
    <s v="nenhum"/>
    <n v="4"/>
    <s v="imovel"/>
    <n v="31"/>
    <s v="Adulto (26-40)"/>
    <s v="nenhum"/>
    <s v="própria"/>
    <n v="1"/>
    <s v="Empregado Comum"/>
    <n v="1"/>
    <s v="não"/>
    <s v="sim"/>
    <n v="1"/>
  </r>
  <r>
    <n v="997"/>
    <x v="0"/>
    <s v="&lt; 0 $"/>
    <s v="negativo/devedor"/>
    <n v="30"/>
    <s v="pgto em dia neste banco (em aberto)"/>
    <s v="carro usado"/>
    <n v="3857"/>
    <s v="&lt; 100 $"/>
    <s v="Baixo (&lt; 100 $)"/>
    <s v="&lt; 4 anos"/>
    <s v="Intermediário (1-4 anos)"/>
    <n v="4"/>
    <s v="masculino"/>
    <s v="divorciado"/>
    <s v="nenhum"/>
    <n v="4"/>
    <s v="poupança ou seguro de vida"/>
    <n v="40"/>
    <s v="Sénior (41-60)"/>
    <s v="nenhum"/>
    <s v="própria"/>
    <n v="1"/>
    <s v="Executivo/Empresário"/>
    <n v="1"/>
    <s v="sim"/>
    <s v="sim"/>
    <n v="1"/>
  </r>
  <r>
    <n v="998"/>
    <x v="0"/>
    <s v="sem conta corrente"/>
    <s v="sem conta no banco"/>
    <n v="12"/>
    <s v="pgto em dia neste banco (em aberto)"/>
    <s v="radio ou televisao"/>
    <n v="804"/>
    <s v="&lt; 100 $"/>
    <s v="Baixo (&lt; 100 $)"/>
    <s v="&gt;= 7 anos"/>
    <s v="Muito Estável (&gt; 7 anos)"/>
    <n v="4"/>
    <s v="masculino"/>
    <s v="solteiro"/>
    <s v="nenhum"/>
    <n v="4"/>
    <s v="carro ou outros-quitado"/>
    <n v="38"/>
    <s v="Adulto (26-40)"/>
    <s v="nenhum"/>
    <s v="própria"/>
    <n v="1"/>
    <s v="Func. Público/Qualificado"/>
    <n v="1"/>
    <s v="não"/>
    <s v="sim"/>
    <n v="1"/>
  </r>
  <r>
    <n v="999"/>
    <x v="1"/>
    <s v="&lt; 0 $"/>
    <s v="negativo/devedor"/>
    <n v="45"/>
    <s v="pgto em dia neste banco (em aberto)"/>
    <s v="radio ou televisao"/>
    <n v="1845"/>
    <s v="&lt; 100 $"/>
    <s v="Baixo (&lt; 100 $)"/>
    <s v="&lt; 4 anos"/>
    <s v="Intermediário (1-4 anos)"/>
    <n v="4"/>
    <s v="masculino"/>
    <s v="solteiro"/>
    <s v="nenhum"/>
    <n v="4"/>
    <s v="sem bens"/>
    <n v="23"/>
    <s v="Jovem (18-25)"/>
    <s v="nenhum"/>
    <s v="gratuita"/>
    <n v="1"/>
    <s v="Func. Público/Qualificado"/>
    <n v="1"/>
    <s v="sim"/>
    <s v="sim"/>
    <n v="2"/>
  </r>
  <r>
    <n v="1000"/>
    <x v="0"/>
    <s v="&gt;= 0 &lt; 200 $"/>
    <s v="saldo baixo"/>
    <n v="45"/>
    <s v="conta critica / dividas com terceiros"/>
    <s v="carro usado"/>
    <n v="4576"/>
    <s v="&gt;= 100 &lt; 500 $"/>
    <s v="Médio (100-500$)"/>
    <s v="desempregado"/>
    <s v="desempregado"/>
    <n v="3"/>
    <s v="masculino"/>
    <s v="solteiro"/>
    <s v="nenhum"/>
    <n v="4"/>
    <s v="carro ou outros-quitado"/>
    <n v="27"/>
    <s v="Adulto (26-40)"/>
    <s v="nenhum"/>
    <s v="própria"/>
    <n v="1"/>
    <s v="Func. Público/Qualificado"/>
    <n v="1"/>
    <s v="não"/>
    <s v="sim"/>
    <n v="1"/>
  </r>
  <r>
    <m/>
    <x v="2"/>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BD76FE-F57D-4674-84E7-8118BADEBB94}" name="Tabela dinâmica5" cacheId="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9">
  <location ref="B51:F57" firstHeaderRow="1" firstDataRow="2" firstDataCol="1" rowPageCount="1" colPageCount="1"/>
  <pivotFields count="28">
    <pivotField dataField="1" showAll="0"/>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axis="axisRow" showAll="0">
      <items count="5">
        <item x="3"/>
        <item x="0"/>
        <item x="1"/>
        <item x="2"/>
        <item t="default"/>
      </items>
    </pivotField>
    <pivotField showAll="0"/>
    <pivotField axis="axisCol" showAll="0">
      <items count="4">
        <item x="2"/>
        <item x="1"/>
        <item x="0"/>
        <item t="default"/>
      </items>
    </pivotField>
    <pivotField showAll="0"/>
    <pivotField showAll="0">
      <items count="5">
        <item x="1"/>
        <item x="2"/>
        <item x="0"/>
        <item x="3"/>
        <item t="default"/>
      </items>
    </pivotField>
    <pivotField showAll="0"/>
    <pivotField showAll="0"/>
    <pivotField showAll="0">
      <items count="3">
        <item x="1"/>
        <item x="0"/>
        <item t="default"/>
      </items>
    </pivotField>
    <pivotField showAll="0"/>
  </pivotFields>
  <rowFields count="1">
    <field x="19"/>
  </rowFields>
  <rowItems count="5">
    <i>
      <x/>
    </i>
    <i>
      <x v="1"/>
    </i>
    <i>
      <x v="2"/>
    </i>
    <i>
      <x v="3"/>
    </i>
    <i t="grand">
      <x/>
    </i>
  </rowItems>
  <colFields count="1">
    <field x="21"/>
  </colFields>
  <colItems count="4">
    <i>
      <x/>
    </i>
    <i>
      <x v="1"/>
    </i>
    <i>
      <x v="2"/>
    </i>
    <i t="grand">
      <x/>
    </i>
  </colItems>
  <pageFields count="1">
    <pageField fld="1" hier="-1"/>
  </pageFields>
  <dataFields count="1">
    <dataField name="Contagem de ID_Cliente" fld="0" subtotal="count" baseField="19" baseItem="0"/>
  </dataFields>
  <chartFormats count="5">
    <chartFormat chart="7" format="6" series="1">
      <pivotArea type="data" outline="0" fieldPosition="0">
        <references count="2">
          <reference field="4294967294" count="1" selected="0">
            <x v="0"/>
          </reference>
          <reference field="21" count="1" selected="0">
            <x v="0"/>
          </reference>
        </references>
      </pivotArea>
    </chartFormat>
    <chartFormat chart="7" format="7" series="1">
      <pivotArea type="data" outline="0" fieldPosition="0">
        <references count="2">
          <reference field="4294967294" count="1" selected="0">
            <x v="0"/>
          </reference>
          <reference field="21" count="1" selected="0">
            <x v="1"/>
          </reference>
        </references>
      </pivotArea>
    </chartFormat>
    <chartFormat chart="7" format="8" series="1">
      <pivotArea type="data" outline="0" fieldPosition="0">
        <references count="2">
          <reference field="4294967294" count="1" selected="0">
            <x v="0"/>
          </reference>
          <reference field="21" count="1" selected="0">
            <x v="2"/>
          </reference>
        </references>
      </pivotArea>
    </chartFormat>
    <chartFormat chart="7" format="9">
      <pivotArea type="data" outline="0" fieldPosition="0">
        <references count="3">
          <reference field="4294967294" count="1" selected="0">
            <x v="0"/>
          </reference>
          <reference field="19" count="1" selected="0">
            <x v="0"/>
          </reference>
          <reference field="21" count="1" selected="0">
            <x v="2"/>
          </reference>
        </references>
      </pivotArea>
    </chartFormat>
    <chartFormat chart="7"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C42A51-A8EC-4A89-BA76-E6A823C8B63A}" name="Tabela dinâmica3" cacheId="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7">
  <location ref="B21:E29" firstHeaderRow="1" firstDataRow="2" firstDataCol="1"/>
  <pivotFields count="28">
    <pivotField showAll="0"/>
    <pivotField axis="axisCol" showAll="0">
      <items count="3">
        <item x="1"/>
        <item x="0"/>
        <item t="default"/>
      </items>
    </pivotField>
    <pivotField showAll="0"/>
    <pivotField showAll="0"/>
    <pivotField axis="axisRow" showAll="0">
      <items count="9">
        <item x="0"/>
        <item x="1"/>
        <item x="2"/>
        <item x="3"/>
        <item x="4"/>
        <item x="5"/>
        <item x="6"/>
        <item x="7"/>
        <item t="default"/>
      </items>
    </pivotField>
    <pivotField showAll="0"/>
    <pivotField showAll="0">
      <items count="11">
        <item x="3"/>
        <item x="4"/>
        <item x="1"/>
        <item x="6"/>
        <item x="2"/>
        <item x="5"/>
        <item x="8"/>
        <item x="0"/>
        <item x="9"/>
        <item x="7"/>
        <item t="default"/>
      </items>
    </pivotField>
    <pivotField dataField="1" showAll="0"/>
    <pivotField showAll="0"/>
    <pivotField showAll="0"/>
    <pivotField showAll="0"/>
    <pivotField showAll="0"/>
    <pivotField showAll="0"/>
    <pivotField showAll="0">
      <items count="3">
        <item x="1"/>
        <item x="0"/>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items count="5">
        <item x="1"/>
        <item x="2"/>
        <item x="0"/>
        <item x="3"/>
        <item t="default"/>
      </items>
    </pivotField>
    <pivotField showAll="0"/>
    <pivotField showAll="0"/>
    <pivotField showAll="0">
      <items count="3">
        <item x="1"/>
        <item x="0"/>
        <item t="default"/>
      </items>
    </pivotField>
    <pivotField showAll="0"/>
  </pivotFields>
  <rowFields count="1">
    <field x="4"/>
  </rowFields>
  <rowItems count="7">
    <i>
      <x v="1"/>
    </i>
    <i>
      <x v="2"/>
    </i>
    <i>
      <x v="3"/>
    </i>
    <i>
      <x v="4"/>
    </i>
    <i>
      <x v="5"/>
    </i>
    <i>
      <x v="6"/>
    </i>
    <i t="grand">
      <x/>
    </i>
  </rowItems>
  <colFields count="1">
    <field x="1"/>
  </colFields>
  <colItems count="3">
    <i>
      <x/>
    </i>
    <i>
      <x v="1"/>
    </i>
    <i t="grand">
      <x/>
    </i>
  </colItems>
  <dataFields count="1">
    <dataField name="Média de Valor do crédito" fld="7" subtotal="average" baseField="4" baseItem="4" numFmtId="164"/>
  </dataFields>
  <formats count="3">
    <format dxfId="3">
      <pivotArea collapsedLevelsAreSubtotals="1" fieldPosition="0">
        <references count="2">
          <reference field="1" count="1" selected="0">
            <x v="0"/>
          </reference>
          <reference field="4" count="1">
            <x v="2"/>
          </reference>
        </references>
      </pivotArea>
    </format>
    <format dxfId="2">
      <pivotArea collapsedLevelsAreSubtotals="1" fieldPosition="0">
        <references count="2">
          <reference field="1" count="1" selected="0">
            <x v="1"/>
          </reference>
          <reference field="4" count="1">
            <x v="6"/>
          </reference>
        </references>
      </pivotArea>
    </format>
    <format dxfId="1">
      <pivotArea outline="0" collapsedLevelsAreSubtotals="1" fieldPosition="0"/>
    </format>
  </formats>
  <chartFormats count="3">
    <chartFormat chart="6" format="4" series="1">
      <pivotArea type="data" outline="0" fieldPosition="0">
        <references count="2">
          <reference field="4294967294" count="1" selected="0">
            <x v="0"/>
          </reference>
          <reference field="1" count="1" selected="0">
            <x v="0"/>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B28665-4F96-4696-AFB6-47B20A6DCC59}" name="Tabela dinâmica9" cacheId="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B100:C101" firstHeaderRow="0" firstDataRow="1" firstDataCol="0"/>
  <pivotFields count="28">
    <pivotField showAll="0"/>
    <pivotField showAll="0">
      <items count="3">
        <item x="1"/>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1"/>
        <item x="2"/>
        <item x="0"/>
        <item x="3"/>
        <item t="default"/>
      </items>
    </pivotField>
    <pivotField showAll="0"/>
    <pivotField showAll="0"/>
    <pivotField showAll="0">
      <items count="3">
        <item x="1"/>
        <item x="0"/>
        <item t="default"/>
      </items>
    </pivotField>
    <pivotField showAll="0"/>
  </pivotFields>
  <rowItems count="1">
    <i/>
  </rowItems>
  <colFields count="1">
    <field x="-2"/>
  </colFields>
  <colItems count="2">
    <i>
      <x/>
    </i>
    <i i="1">
      <x v="1"/>
    </i>
  </colItems>
  <dataFields count="2">
    <dataField name="Soma de Valor do crédito" fld="7" baseField="0" baseItem="0" numFmtId="164"/>
    <dataField name="Média de Valor do crédito2" fld="7" subtotal="average" baseField="0" baseItem="1"/>
  </dataFields>
  <formats count="1">
    <format dxfId="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31B7801-CA9F-40F4-B56A-BACDAF7EFAB6}" name="Tabela dinâmica4" cacheId="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8">
  <location ref="B35:E42" firstHeaderRow="1" firstDataRow="2" firstDataCol="1"/>
  <pivotFields count="28">
    <pivotField dataField="1" showAll="0"/>
    <pivotField axis="axisCol" showAll="0">
      <items count="3">
        <item x="1"/>
        <item x="0"/>
        <item t="default"/>
      </items>
    </pivotField>
    <pivotField showAll="0"/>
    <pivotField showAll="0"/>
    <pivotField showAll="0"/>
    <pivotField axis="axisRow" showAll="0">
      <items count="6">
        <item x="0"/>
        <item x="3"/>
        <item x="2"/>
        <item x="1"/>
        <item x="4"/>
        <item t="default"/>
      </items>
    </pivotField>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1"/>
        <item x="2"/>
        <item x="0"/>
        <item x="3"/>
        <item t="default"/>
      </items>
    </pivotField>
    <pivotField showAll="0"/>
    <pivotField showAll="0"/>
    <pivotField showAll="0">
      <items count="3">
        <item x="1"/>
        <item x="0"/>
        <item t="default"/>
      </items>
    </pivotField>
    <pivotField showAll="0"/>
  </pivotFields>
  <rowFields count="1">
    <field x="5"/>
  </rowFields>
  <rowItems count="6">
    <i>
      <x/>
    </i>
    <i>
      <x v="1"/>
    </i>
    <i>
      <x v="2"/>
    </i>
    <i>
      <x v="3"/>
    </i>
    <i>
      <x v="4"/>
    </i>
    <i t="grand">
      <x/>
    </i>
  </rowItems>
  <colFields count="1">
    <field x="1"/>
  </colFields>
  <colItems count="3">
    <i>
      <x/>
    </i>
    <i>
      <x v="1"/>
    </i>
    <i t="grand">
      <x/>
    </i>
  </colItems>
  <dataFields count="1">
    <dataField name="Soma de ID_Cliente" fld="0" showDataAs="percentOfRow" baseField="0" baseItem="0" numFmtId="10"/>
  </dataFields>
  <chartFormats count="3">
    <chartFormat chart="7" format="4" series="1">
      <pivotArea type="data" outline="0" fieldPosition="0">
        <references count="2">
          <reference field="4294967294" count="1" selected="0">
            <x v="0"/>
          </reference>
          <reference field="1" count="1" selected="0">
            <x v="0"/>
          </reference>
        </references>
      </pivotArea>
    </chartFormat>
    <chartFormat chart="7" format="5" series="1">
      <pivotArea type="data" outline="0" fieldPosition="0">
        <references count="2">
          <reference field="4294967294" count="1" selected="0">
            <x v="0"/>
          </reference>
          <reference field="1" count="1" selected="0">
            <x v="1"/>
          </reference>
        </references>
      </pivotArea>
    </chartFormat>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53D2BC-A508-4C54-A8A9-B37EB1AFB0BE}" name="Tabela dinâmica7" cacheId="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B90:B91" firstHeaderRow="1" firstDataRow="1" firstDataCol="0"/>
  <pivotFields count="28">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ntagem de ID_Client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86B4F21-F9F9-4E35-B105-390FB45CAC30}" name="Tabela dinâmica2" cacheId="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20">
  <location ref="B4:E16" firstHeaderRow="1" firstDataRow="2" firstDataCol="1"/>
  <pivotFields count="28">
    <pivotField dataField="1" showAll="0"/>
    <pivotField axis="axisCol" showAll="0">
      <items count="3">
        <item x="1"/>
        <item x="0"/>
        <item t="default"/>
      </items>
    </pivotField>
    <pivotField showAll="0"/>
    <pivotField showAll="0"/>
    <pivotField showAll="0">
      <items count="9">
        <item x="0"/>
        <item x="1"/>
        <item x="2"/>
        <item x="3"/>
        <item x="4"/>
        <item x="5"/>
        <item x="6"/>
        <item x="7"/>
        <item t="default"/>
      </items>
    </pivotField>
    <pivotField showAll="0"/>
    <pivotField axis="axisRow" showAll="0">
      <items count="11">
        <item x="3"/>
        <item x="4"/>
        <item x="1"/>
        <item x="6"/>
        <item x="2"/>
        <item x="5"/>
        <item x="8"/>
        <item x="0"/>
        <item x="9"/>
        <item x="7"/>
        <item t="default"/>
      </items>
    </pivotField>
    <pivotField showAll="0"/>
    <pivotField showAll="0"/>
    <pivotField showAll="0"/>
    <pivotField showAll="0"/>
    <pivotField showAll="0"/>
    <pivotField showAll="0"/>
    <pivotField showAll="0">
      <items count="3">
        <item x="1"/>
        <item x="0"/>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pivotField showAll="0">
      <items count="5">
        <item x="1"/>
        <item x="2"/>
        <item x="0"/>
        <item x="3"/>
        <item t="default"/>
      </items>
    </pivotField>
    <pivotField showAll="0"/>
    <pivotField showAll="0"/>
    <pivotField showAll="0">
      <items count="3">
        <item x="1"/>
        <item x="0"/>
        <item t="default"/>
      </items>
    </pivotField>
    <pivotField showAll="0"/>
  </pivotFields>
  <rowFields count="1">
    <field x="6"/>
  </rowFields>
  <rowItems count="11">
    <i>
      <x/>
    </i>
    <i>
      <x v="1"/>
    </i>
    <i>
      <x v="2"/>
    </i>
    <i>
      <x v="3"/>
    </i>
    <i>
      <x v="4"/>
    </i>
    <i>
      <x v="5"/>
    </i>
    <i>
      <x v="6"/>
    </i>
    <i>
      <x v="7"/>
    </i>
    <i>
      <x v="8"/>
    </i>
    <i>
      <x v="9"/>
    </i>
    <i t="grand">
      <x/>
    </i>
  </rowItems>
  <colFields count="1">
    <field x="1"/>
  </colFields>
  <colItems count="3">
    <i>
      <x/>
    </i>
    <i>
      <x v="1"/>
    </i>
    <i t="grand">
      <x/>
    </i>
  </colItems>
  <dataFields count="1">
    <dataField name="Contagem de ID_Cliente" fld="0" subtotal="count" showDataAs="percentOfRow" baseField="6" baseItem="0" numFmtId="10"/>
  </dataFields>
  <formats count="2">
    <format dxfId="5">
      <pivotArea field="6" type="button" dataOnly="0" labelOnly="1" outline="0" axis="axisRow" fieldPosition="0"/>
    </format>
    <format dxfId="4">
      <pivotArea outline="0" fieldPosition="0">
        <references count="1">
          <reference field="4294967294" count="1">
            <x v="0"/>
          </reference>
        </references>
      </pivotArea>
    </format>
  </formats>
  <chartFormats count="5">
    <chartFormat chart="13" format="2" series="1">
      <pivotArea type="data" outline="0" fieldPosition="0">
        <references count="2">
          <reference field="4294967294" count="1" selected="0">
            <x v="0"/>
          </reference>
          <reference field="1" count="1" selected="0">
            <x v="0"/>
          </reference>
        </references>
      </pivotArea>
    </chartFormat>
    <chartFormat chart="13" format="3" series="1">
      <pivotArea type="data" outline="0" fieldPosition="0">
        <references count="2">
          <reference field="4294967294" count="1" selected="0">
            <x v="0"/>
          </reference>
          <reference field="1" count="1" selected="0">
            <x v="1"/>
          </reference>
        </references>
      </pivotArea>
    </chartFormat>
    <chartFormat chart="19" format="4" series="1">
      <pivotArea type="data" outline="0" fieldPosition="0">
        <references count="2">
          <reference field="4294967294" count="1" selected="0">
            <x v="0"/>
          </reference>
          <reference field="1" count="1" selected="0">
            <x v="0"/>
          </reference>
        </references>
      </pivotArea>
    </chartFormat>
    <chartFormat chart="19" format="5" series="1">
      <pivotArea type="data" outline="0" fieldPosition="0">
        <references count="2">
          <reference field="4294967294" count="1" selected="0">
            <x v="0"/>
          </reference>
          <reference field="1" count="1" selected="0">
            <x v="1"/>
          </reference>
        </references>
      </pivotArea>
    </chartFormat>
    <chartFormat chart="1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E7FB99-1CDB-4A47-B819-AD59F016218F}" name="Tabela dinâmica6" cacheId="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13">
  <location ref="B70:E76" firstHeaderRow="1" firstDataRow="2" firstDataCol="1"/>
  <pivotFields count="28">
    <pivotField dataField="1"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axis="axisRow" showAll="0">
      <items count="5">
        <item x="3"/>
        <item x="1"/>
        <item x="2"/>
        <item x="0"/>
        <item t="default"/>
      </items>
    </pivotField>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1"/>
        <item x="2"/>
        <item x="0"/>
        <item x="3"/>
        <item t="default"/>
      </items>
    </pivotField>
    <pivotField showAll="0"/>
    <pivotField showAll="0"/>
    <pivotField showAll="0">
      <items count="3">
        <item x="1"/>
        <item x="0"/>
        <item t="default"/>
      </items>
    </pivotField>
    <pivotField showAll="0"/>
  </pivotFields>
  <rowFields count="1">
    <field x="12"/>
  </rowFields>
  <rowItems count="5">
    <i>
      <x/>
    </i>
    <i>
      <x v="1"/>
    </i>
    <i>
      <x v="2"/>
    </i>
    <i>
      <x v="3"/>
    </i>
    <i t="grand">
      <x/>
    </i>
  </rowItems>
  <colFields count="1">
    <field x="1"/>
  </colFields>
  <colItems count="3">
    <i>
      <x/>
    </i>
    <i>
      <x v="1"/>
    </i>
    <i t="grand">
      <x/>
    </i>
  </colItems>
  <dataFields count="1">
    <dataField name="Soma de ID_Cliente" fld="0" showDataAs="percentOfRow" baseField="0" baseItem="0" numFmtId="10"/>
  </dataFields>
  <chartFormats count="3">
    <chartFormat chart="12" format="4" series="1">
      <pivotArea type="data" outline="0" fieldPosition="0">
        <references count="2">
          <reference field="4294967294" count="1" selected="0">
            <x v="0"/>
          </reference>
          <reference field="1" count="1" selected="0">
            <x v="0"/>
          </reference>
        </references>
      </pivotArea>
    </chartFormat>
    <chartFormat chart="12" format="5" series="1">
      <pivotArea type="data" outline="0" fieldPosition="0">
        <references count="2">
          <reference field="4294967294" count="1" selected="0">
            <x v="0"/>
          </reference>
          <reference field="1" count="1" selected="0">
            <x v="1"/>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AAEC8E92-500F-403C-8E75-32D4DD52ECAE}" autoFormatId="16" applyNumberFormats="0" applyBorderFormats="0" applyFontFormats="0" applyPatternFormats="0" applyAlignmentFormats="0" applyWidthHeightFormats="0">
  <queryTableRefresh nextId="33">
    <queryTableFields count="28">
      <queryTableField id="27" name="ID_Cliente" tableColumnId="27"/>
      <queryTableField id="1" name="Status de Risco" tableColumnId="1"/>
      <queryTableField id="2" name="Movimentação na conta" tableColumnId="2"/>
      <queryTableField id="3" name="Status conta corrente" tableColumnId="3"/>
      <queryTableField id="4" name="Duração em meses" tableColumnId="4"/>
      <queryTableField id="5" name="Histórico de pagamentos" tableColumnId="5"/>
      <queryTableField id="6" name="Finalidade do crédito" tableColumnId="6"/>
      <queryTableField id="7" name="Valor do crédito" tableColumnId="7"/>
      <queryTableField id="8" name="Saldo em conta poupança/títulos" tableColumnId="8"/>
      <queryTableField id="9" name="Status poupança" tableColumnId="9"/>
      <queryTableField id="10" name="Emprego atual desde" tableColumnId="10"/>
      <queryTableField id="11" name="Status emprego" tableColumnId="11"/>
      <queryTableField id="12" name="Comprometimento de Renda" tableColumnId="12"/>
      <queryTableField id="13" name="Sexo" tableColumnId="13"/>
      <queryTableField id="14" name="Estado civil" tableColumnId="14"/>
      <queryTableField id="15" name="Outros devedores/garantidores" tableColumnId="15"/>
      <queryTableField id="16" name="Residência atual desde" tableColumnId="16"/>
      <queryTableField id="17" name="Bem/Propriedade Principal" tableColumnId="17"/>
      <queryTableField id="18" name="Idade em anos" tableColumnId="18"/>
      <queryTableField id="29" name="Faixa Etária" tableColumnId="28"/>
      <queryTableField id="19" name="Parcelamento com terceiros" tableColumnId="19"/>
      <queryTableField id="20" name="Forma de Moradia" tableColumnId="20"/>
      <queryTableField id="21" name="Número de créditos existentes neste banco" tableColumnId="21"/>
      <queryTableField id="22" name="Emprego" tableColumnId="22"/>
      <queryTableField id="23" name="Número de dependentes" tableColumnId="23"/>
      <queryTableField id="24" name="Possui Telefone" tableColumnId="24"/>
      <queryTableField id="25" name="Trabalhador estrangeiro" tableColumnId="25"/>
      <queryTableField id="26" name="Target"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Emprego" xr10:uid="{26B7DC81-8CF3-4F24-BEBC-9D934125FA7A}" sourceName="Emprego">
  <pivotTables>
    <pivotTable tabId="1" name="Tabela dinâmica3"/>
    <pivotTable tabId="1" name="Tabela dinâmica2"/>
    <pivotTable tabId="1" name="Tabela dinâmica4"/>
    <pivotTable tabId="1" name="Tabela dinâmica5"/>
    <pivotTable tabId="1" name="Tabela dinâmica6"/>
    <pivotTable tabId="1" name="Tabela dinâmica9"/>
  </pivotTables>
  <data>
    <tabular pivotCacheId="1529414030">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_de_Risco" xr10:uid="{1970BD61-3613-4EB4-BBA5-7B5A16DB2575}" sourceName="Status de Risco">
  <pivotTables>
    <pivotTable tabId="1" name="Tabela dinâmica2"/>
    <pivotTable tabId="1" name="Tabela dinâmica3"/>
    <pivotTable tabId="1" name="Tabela dinâmica4"/>
    <pivotTable tabId="1" name="Tabela dinâmica5"/>
    <pivotTable tabId="1" name="Tabela dinâmica6"/>
    <pivotTable tabId="1" name="Tabela dinâmica9"/>
  </pivotTables>
  <data>
    <tabular pivotCacheId="1529414030" crossFilter="showItemsWithNoData">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exo" xr10:uid="{FBD4BBE2-D3A0-4106-AA90-7A5D96310FFF}" sourceName="Sexo">
  <pivotTables>
    <pivotTable tabId="1" name="Tabela dinâmica3"/>
    <pivotTable tabId="1" name="Tabela dinâmica2"/>
    <pivotTable tabId="1" name="Tabela dinâmica4"/>
    <pivotTable tabId="1" name="Tabela dinâmica5"/>
    <pivotTable tabId="1" name="Tabela dinâmica6"/>
    <pivotTable tabId="1" name="Tabela dinâmica9"/>
  </pivotTables>
  <data>
    <tabular pivotCacheId="152941403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rabalhador_estrangeiro" xr10:uid="{A88788D4-E162-47FF-8689-0682C637EE14}" sourceName="Trabalhador estrangeiro">
  <pivotTables>
    <pivotTable tabId="1" name="Tabela dinâmica3"/>
    <pivotTable tabId="1" name="Tabela dinâmica2"/>
    <pivotTable tabId="1" name="Tabela dinâmica4"/>
    <pivotTable tabId="1" name="Tabela dinâmica5"/>
    <pivotTable tabId="1" name="Tabela dinâmica6"/>
    <pivotTable tabId="1" name="Tabela dinâmica9"/>
  </pivotTables>
  <data>
    <tabular pivotCacheId="152941403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rego" xr10:uid="{ACCCBDF5-6F05-4489-BDD4-22A289D54E00}" cache="SegmentaçãodeDados_Emprego" caption="Emprego" style="Status risco" rowHeight="432000"/>
  <slicer name="Status de Risco" xr10:uid="{88FB71AD-5F80-4125-BAEB-892D4A3D335B}" cache="SegmentaçãodeDados_Status_de_Risco" caption="Status de Risco" style="Status risco" rowHeight="432000"/>
  <slicer name="Sexo" xr10:uid="{C8B80804-D4CB-41A2-B60D-1EF1E75B9E2E}" cache="SegmentaçãodeDados_Sexo" caption="Sexo" style="Status risco" rowHeight="432000"/>
  <slicer name="Trabalhador estrangeiro" xr10:uid="{3E6ED7B8-BDA2-422D-866F-6A80576E0C8B}" cache="SegmentaçãodeDados_Trabalhador_estrangeiro" caption="Trabalhador estrangeiro" style="Status risco" rowHeight="43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6288C-6078-42AF-B18E-166B2EE6D00F}" name="risco_de_credito_alemao_traduzido_ptgues" displayName="risco_de_credito_alemao_traduzido_ptgues" ref="A1:AB1001" tableType="queryTable" totalsRowShown="0">
  <autoFilter ref="A1:AB1001" xr:uid="{72D6288C-6078-42AF-B18E-166B2EE6D00F}"/>
  <tableColumns count="28">
    <tableColumn id="27" xr3:uid="{668E7AE1-53FA-46AB-AD02-1E8982524AA2}" uniqueName="27" name="ID_Cliente" queryTableFieldId="27"/>
    <tableColumn id="1" xr3:uid="{38DFB1B1-F91A-4CC8-B135-CCAC6AD3078A}" uniqueName="1" name="Status de Risco" queryTableFieldId="1" dataDxfId="23"/>
    <tableColumn id="2" xr3:uid="{08E62471-5FA3-4B1A-B456-D9E12D1C70D4}" uniqueName="2" name="Movimentação na conta" queryTableFieldId="2" dataDxfId="22"/>
    <tableColumn id="3" xr3:uid="{940141A3-FC22-4AB4-9E35-1F6E40D3C5A1}" uniqueName="3" name="Status conta corrente" queryTableFieldId="3" dataDxfId="21"/>
    <tableColumn id="4" xr3:uid="{41BA8564-FA94-47A1-B4B6-223F2212E0C2}" uniqueName="4" name="Duração em meses" queryTableFieldId="4"/>
    <tableColumn id="5" xr3:uid="{09B127B7-630B-4047-9FC7-6D678F408A3B}" uniqueName="5" name="Histórico de pagamentos" queryTableFieldId="5" dataDxfId="20"/>
    <tableColumn id="6" xr3:uid="{68BBD773-0A9B-4448-9EDE-4631E6F4EAE1}" uniqueName="6" name="Finalidade do crédito" queryTableFieldId="6" dataDxfId="19"/>
    <tableColumn id="7" xr3:uid="{463EA982-669E-4AE9-903C-86A33CC35581}" uniqueName="7" name="Valor do crédito" queryTableFieldId="7"/>
    <tableColumn id="8" xr3:uid="{9C897192-F6DE-47AA-9454-4F55825D7199}" uniqueName="8" name="Saldo em conta poupança/títulos" queryTableFieldId="8" dataDxfId="18"/>
    <tableColumn id="9" xr3:uid="{AFBDD2DD-F056-4CBD-98B5-C5103B029616}" uniqueName="9" name="Status poupança" queryTableFieldId="9" dataDxfId="17"/>
    <tableColumn id="10" xr3:uid="{F75D6DD1-E1D9-4829-91EF-8FCF28A9DA60}" uniqueName="10" name="Emprego atual desde" queryTableFieldId="10" dataDxfId="16"/>
    <tableColumn id="11" xr3:uid="{E26CAAA5-0AEE-420F-A9B0-3072949CB296}" uniqueName="11" name="Status emprego" queryTableFieldId="11" dataDxfId="15"/>
    <tableColumn id="12" xr3:uid="{90FB899F-527C-435D-BCF4-1C93A4F4A6FA}" uniqueName="12" name="Comprometimento de Renda" queryTableFieldId="12"/>
    <tableColumn id="13" xr3:uid="{97DB0900-E1A3-43A9-AAB3-518F1297F851}" uniqueName="13" name="Sexo" queryTableFieldId="13" dataDxfId="14"/>
    <tableColumn id="14" xr3:uid="{801C6AA6-A8A5-4F1F-AEAB-F115A4A3D5A7}" uniqueName="14" name="Estado civil" queryTableFieldId="14" dataDxfId="13"/>
    <tableColumn id="15" xr3:uid="{456C6B3B-DB93-45AC-A44E-14C2CAEB4609}" uniqueName="15" name="Outros devedores/garantidores" queryTableFieldId="15" dataDxfId="12"/>
    <tableColumn id="16" xr3:uid="{018281FB-767A-4740-88E9-3186B9B3258D}" uniqueName="16" name="Residência atual desde" queryTableFieldId="16"/>
    <tableColumn id="17" xr3:uid="{BB0C21D3-27CA-42AD-9B6B-4A3632B2071C}" uniqueName="17" name="Bem/Propriedade Principal" queryTableFieldId="17" dataDxfId="11"/>
    <tableColumn id="18" xr3:uid="{6F42311F-B960-4BFD-B4D9-3BCF61F86B6C}" uniqueName="18" name="Idade em anos" queryTableFieldId="18"/>
    <tableColumn id="28" xr3:uid="{D439480E-FD01-46C5-B00F-8132069DC49D}" uniqueName="28" name="Faixa Etária" queryTableFieldId="29"/>
    <tableColumn id="19" xr3:uid="{F9861808-91BE-4233-9D5A-A6730BA15F28}" uniqueName="19" name="Parcelamento com terceiros" queryTableFieldId="19" dataDxfId="10"/>
    <tableColumn id="20" xr3:uid="{E5EE4A71-7F1E-4F46-93B7-E5AF51507179}" uniqueName="20" name="Forma de Moradia" queryTableFieldId="20" dataDxfId="9"/>
    <tableColumn id="21" xr3:uid="{968E317C-590B-4981-B0F1-491CEC70E339}" uniqueName="21" name="Número de créditos existentes neste banco" queryTableFieldId="21"/>
    <tableColumn id="22" xr3:uid="{D626C13F-5D35-418C-A6A7-55EB85E260AD}" uniqueName="22" name="Emprego" queryTableFieldId="22" dataDxfId="8"/>
    <tableColumn id="23" xr3:uid="{E381CF32-80A7-434B-A26E-E34353E75D3F}" uniqueName="23" name="Número de dependentes" queryTableFieldId="23"/>
    <tableColumn id="24" xr3:uid="{351355C1-0DF9-4A4E-B286-548AA4C3B728}" uniqueName="24" name="Possui Telefone" queryTableFieldId="24" dataDxfId="7"/>
    <tableColumn id="25" xr3:uid="{96D7851C-C2BA-43A7-A5A9-8EDDB5026B3D}" uniqueName="25" name="Trabalhador estrangeiro" queryTableFieldId="25" dataDxfId="6"/>
    <tableColumn id="26" xr3:uid="{8C8A57C6-A23D-4536-8AB0-78030174A699}" uniqueName="26" name="Target" queryTableFieldId="26"/>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4BDE3-B52C-4363-A1EA-8304201468F1}">
  <sheetPr codeName="Planilha1"/>
  <dimension ref="A1:AB1001"/>
  <sheetViews>
    <sheetView topLeftCell="M1" workbookViewId="0">
      <selection activeCell="E3" sqref="E3"/>
    </sheetView>
  </sheetViews>
  <sheetFormatPr defaultRowHeight="14.4" x14ac:dyDescent="0.3"/>
  <cols>
    <col min="1" max="1" width="11.77734375" bestFit="1" customWidth="1"/>
    <col min="2" max="2" width="15.88671875" bestFit="1" customWidth="1"/>
    <col min="3" max="3" width="24.109375" bestFit="1" customWidth="1"/>
    <col min="4" max="4" width="21.44140625" bestFit="1" customWidth="1"/>
    <col min="5" max="5" width="19.109375" bestFit="1" customWidth="1"/>
    <col min="6" max="6" width="31.44140625" bestFit="1" customWidth="1"/>
    <col min="7" max="7" width="21" bestFit="1" customWidth="1"/>
    <col min="8" max="8" width="16.77734375" bestFit="1" customWidth="1"/>
    <col min="9" max="9" width="31.77734375" bestFit="1" customWidth="1"/>
    <col min="10" max="10" width="17.44140625" bestFit="1" customWidth="1"/>
    <col min="11" max="11" width="21.109375" bestFit="1" customWidth="1"/>
    <col min="12" max="12" width="20.88671875" bestFit="1" customWidth="1"/>
    <col min="13" max="13" width="28.109375" bestFit="1" customWidth="1"/>
    <col min="14" max="14" width="9.21875" bestFit="1" customWidth="1"/>
    <col min="15" max="15" width="16" bestFit="1" customWidth="1"/>
    <col min="16" max="16" width="30" bestFit="1" customWidth="1"/>
    <col min="17" max="17" width="22.44140625" bestFit="1" customWidth="1"/>
    <col min="18" max="18" width="26.21875" bestFit="1" customWidth="1"/>
    <col min="19" max="19" width="15.6640625" bestFit="1" customWidth="1"/>
    <col min="20" max="20" width="12.6640625" bestFit="1" customWidth="1"/>
    <col min="21" max="21" width="27" bestFit="1" customWidth="1"/>
    <col min="22" max="22" width="18.77734375" bestFit="1" customWidth="1"/>
    <col min="23" max="23" width="40" bestFit="1" customWidth="1"/>
    <col min="24" max="24" width="27.33203125" bestFit="1" customWidth="1"/>
    <col min="25" max="25" width="24.44140625" bestFit="1" customWidth="1"/>
    <col min="26" max="26" width="16.44140625" bestFit="1" customWidth="1"/>
    <col min="27" max="27" width="23.6640625" bestFit="1" customWidth="1"/>
    <col min="28" max="28" width="8.5546875" bestFit="1" customWidth="1"/>
    <col min="29" max="29" width="8.5546875" customWidth="1"/>
  </cols>
  <sheetData>
    <row r="1" spans="1:28" x14ac:dyDescent="0.3">
      <c r="A1" t="s">
        <v>93</v>
      </c>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94</v>
      </c>
      <c r="U1" t="s">
        <v>18</v>
      </c>
      <c r="V1" t="s">
        <v>19</v>
      </c>
      <c r="W1" t="s">
        <v>20</v>
      </c>
      <c r="X1" t="s">
        <v>21</v>
      </c>
      <c r="Y1" t="s">
        <v>22</v>
      </c>
      <c r="Z1" t="s">
        <v>23</v>
      </c>
      <c r="AA1" t="s">
        <v>24</v>
      </c>
      <c r="AB1" t="s">
        <v>25</v>
      </c>
    </row>
    <row r="2" spans="1:28" x14ac:dyDescent="0.3">
      <c r="A2">
        <v>1</v>
      </c>
      <c r="B2" t="s">
        <v>26</v>
      </c>
      <c r="C2" t="s">
        <v>27</v>
      </c>
      <c r="D2" t="s">
        <v>28</v>
      </c>
      <c r="E2">
        <v>6</v>
      </c>
      <c r="F2" t="s">
        <v>29</v>
      </c>
      <c r="G2" t="s">
        <v>30</v>
      </c>
      <c r="H2">
        <v>1169</v>
      </c>
      <c r="I2" t="s">
        <v>31</v>
      </c>
      <c r="J2" t="s">
        <v>31</v>
      </c>
      <c r="K2" t="s">
        <v>32</v>
      </c>
      <c r="L2" t="s">
        <v>33</v>
      </c>
      <c r="M2">
        <v>4</v>
      </c>
      <c r="N2" t="s">
        <v>34</v>
      </c>
      <c r="O2" t="s">
        <v>35</v>
      </c>
      <c r="P2" t="s">
        <v>36</v>
      </c>
      <c r="Q2">
        <v>4</v>
      </c>
      <c r="R2" t="s">
        <v>37</v>
      </c>
      <c r="S2">
        <v>67</v>
      </c>
      <c r="T2" t="s">
        <v>95</v>
      </c>
      <c r="U2" t="s">
        <v>36</v>
      </c>
      <c r="V2" t="s">
        <v>38</v>
      </c>
      <c r="W2">
        <v>2</v>
      </c>
      <c r="X2" t="s">
        <v>39</v>
      </c>
      <c r="Y2">
        <v>1</v>
      </c>
      <c r="Z2" t="s">
        <v>40</v>
      </c>
      <c r="AA2" t="s">
        <v>40</v>
      </c>
      <c r="AB2">
        <v>1</v>
      </c>
    </row>
    <row r="3" spans="1:28" x14ac:dyDescent="0.3">
      <c r="A3">
        <v>2</v>
      </c>
      <c r="B3" t="s">
        <v>41</v>
      </c>
      <c r="C3" t="s">
        <v>42</v>
      </c>
      <c r="D3" t="s">
        <v>43</v>
      </c>
      <c r="E3">
        <v>48</v>
      </c>
      <c r="F3" t="s">
        <v>44</v>
      </c>
      <c r="G3" t="s">
        <v>30</v>
      </c>
      <c r="H3">
        <v>5951</v>
      </c>
      <c r="I3" t="s">
        <v>45</v>
      </c>
      <c r="J3" t="s">
        <v>46</v>
      </c>
      <c r="K3" t="s">
        <v>47</v>
      </c>
      <c r="L3" t="s">
        <v>48</v>
      </c>
      <c r="M3">
        <v>2</v>
      </c>
      <c r="N3" t="s">
        <v>49</v>
      </c>
      <c r="O3" t="s">
        <v>50</v>
      </c>
      <c r="P3" t="s">
        <v>36</v>
      </c>
      <c r="Q3">
        <v>2</v>
      </c>
      <c r="R3" t="s">
        <v>37</v>
      </c>
      <c r="S3">
        <v>22</v>
      </c>
      <c r="T3" t="s">
        <v>96</v>
      </c>
      <c r="U3" t="s">
        <v>36</v>
      </c>
      <c r="V3" t="s">
        <v>38</v>
      </c>
      <c r="W3">
        <v>1</v>
      </c>
      <c r="X3" t="s">
        <v>39</v>
      </c>
      <c r="Y3">
        <v>1</v>
      </c>
      <c r="Z3" t="s">
        <v>51</v>
      </c>
      <c r="AA3" t="s">
        <v>40</v>
      </c>
      <c r="AB3">
        <v>2</v>
      </c>
    </row>
    <row r="4" spans="1:28" x14ac:dyDescent="0.3">
      <c r="A4">
        <v>3</v>
      </c>
      <c r="B4" t="s">
        <v>26</v>
      </c>
      <c r="C4" t="s">
        <v>52</v>
      </c>
      <c r="D4" t="s">
        <v>53</v>
      </c>
      <c r="E4">
        <v>12</v>
      </c>
      <c r="F4" t="s">
        <v>29</v>
      </c>
      <c r="G4" t="s">
        <v>54</v>
      </c>
      <c r="H4">
        <v>2096</v>
      </c>
      <c r="I4" t="s">
        <v>45</v>
      </c>
      <c r="J4" t="s">
        <v>46</v>
      </c>
      <c r="K4" t="s">
        <v>55</v>
      </c>
      <c r="L4" t="s">
        <v>56</v>
      </c>
      <c r="M4">
        <v>2</v>
      </c>
      <c r="N4" t="s">
        <v>34</v>
      </c>
      <c r="O4" t="s">
        <v>35</v>
      </c>
      <c r="P4" t="s">
        <v>36</v>
      </c>
      <c r="Q4">
        <v>3</v>
      </c>
      <c r="R4" t="s">
        <v>37</v>
      </c>
      <c r="S4">
        <v>49</v>
      </c>
      <c r="T4" t="s">
        <v>97</v>
      </c>
      <c r="U4" t="s">
        <v>36</v>
      </c>
      <c r="V4" t="s">
        <v>38</v>
      </c>
      <c r="W4">
        <v>1</v>
      </c>
      <c r="X4" t="s">
        <v>57</v>
      </c>
      <c r="Y4">
        <v>2</v>
      </c>
      <c r="Z4" t="s">
        <v>51</v>
      </c>
      <c r="AA4" t="s">
        <v>40</v>
      </c>
      <c r="AB4">
        <v>1</v>
      </c>
    </row>
    <row r="5" spans="1:28" x14ac:dyDescent="0.3">
      <c r="A5">
        <v>4</v>
      </c>
      <c r="B5" t="s">
        <v>26</v>
      </c>
      <c r="C5" t="s">
        <v>27</v>
      </c>
      <c r="D5" t="s">
        <v>28</v>
      </c>
      <c r="E5">
        <v>42</v>
      </c>
      <c r="F5" t="s">
        <v>44</v>
      </c>
      <c r="G5" t="s">
        <v>58</v>
      </c>
      <c r="H5">
        <v>7882</v>
      </c>
      <c r="I5" t="s">
        <v>45</v>
      </c>
      <c r="J5" t="s">
        <v>46</v>
      </c>
      <c r="K5" t="s">
        <v>55</v>
      </c>
      <c r="L5" t="s">
        <v>56</v>
      </c>
      <c r="M5">
        <v>2</v>
      </c>
      <c r="N5" t="s">
        <v>34</v>
      </c>
      <c r="O5" t="s">
        <v>35</v>
      </c>
      <c r="P5" t="s">
        <v>59</v>
      </c>
      <c r="Q5">
        <v>4</v>
      </c>
      <c r="R5" t="s">
        <v>60</v>
      </c>
      <c r="S5">
        <v>45</v>
      </c>
      <c r="T5" t="s">
        <v>97</v>
      </c>
      <c r="U5" t="s">
        <v>36</v>
      </c>
      <c r="V5" t="s">
        <v>61</v>
      </c>
      <c r="W5">
        <v>1</v>
      </c>
      <c r="X5" t="s">
        <v>39</v>
      </c>
      <c r="Y5">
        <v>2</v>
      </c>
      <c r="Z5" t="s">
        <v>51</v>
      </c>
      <c r="AA5" t="s">
        <v>40</v>
      </c>
      <c r="AB5">
        <v>1</v>
      </c>
    </row>
    <row r="6" spans="1:28" x14ac:dyDescent="0.3">
      <c r="A6">
        <v>5</v>
      </c>
      <c r="B6" t="s">
        <v>41</v>
      </c>
      <c r="C6" t="s">
        <v>27</v>
      </c>
      <c r="D6" t="s">
        <v>28</v>
      </c>
      <c r="E6">
        <v>24</v>
      </c>
      <c r="F6" t="s">
        <v>62</v>
      </c>
      <c r="G6" t="s">
        <v>63</v>
      </c>
      <c r="H6">
        <v>4870</v>
      </c>
      <c r="I6" t="s">
        <v>45</v>
      </c>
      <c r="J6" t="s">
        <v>46</v>
      </c>
      <c r="K6" t="s">
        <v>47</v>
      </c>
      <c r="L6" t="s">
        <v>48</v>
      </c>
      <c r="M6">
        <v>3</v>
      </c>
      <c r="N6" t="s">
        <v>34</v>
      </c>
      <c r="O6" t="s">
        <v>35</v>
      </c>
      <c r="P6" t="s">
        <v>36</v>
      </c>
      <c r="Q6">
        <v>4</v>
      </c>
      <c r="R6" t="s">
        <v>64</v>
      </c>
      <c r="S6">
        <v>53</v>
      </c>
      <c r="T6" t="s">
        <v>97</v>
      </c>
      <c r="U6" t="s">
        <v>36</v>
      </c>
      <c r="V6" t="s">
        <v>61</v>
      </c>
      <c r="W6">
        <v>2</v>
      </c>
      <c r="X6" t="s">
        <v>39</v>
      </c>
      <c r="Y6">
        <v>2</v>
      </c>
      <c r="Z6" t="s">
        <v>51</v>
      </c>
      <c r="AA6" t="s">
        <v>40</v>
      </c>
      <c r="AB6">
        <v>2</v>
      </c>
    </row>
    <row r="7" spans="1:28" x14ac:dyDescent="0.3">
      <c r="A7">
        <v>6</v>
      </c>
      <c r="B7" t="s">
        <v>26</v>
      </c>
      <c r="C7" t="s">
        <v>52</v>
      </c>
      <c r="D7" t="s">
        <v>53</v>
      </c>
      <c r="E7">
        <v>36</v>
      </c>
      <c r="F7" t="s">
        <v>44</v>
      </c>
      <c r="G7" t="s">
        <v>54</v>
      </c>
      <c r="H7">
        <v>9055</v>
      </c>
      <c r="I7" t="s">
        <v>31</v>
      </c>
      <c r="J7" t="s">
        <v>31</v>
      </c>
      <c r="K7" t="s">
        <v>47</v>
      </c>
      <c r="L7" t="s">
        <v>48</v>
      </c>
      <c r="M7">
        <v>2</v>
      </c>
      <c r="N7" t="s">
        <v>34</v>
      </c>
      <c r="O7" t="s">
        <v>35</v>
      </c>
      <c r="P7" t="s">
        <v>36</v>
      </c>
      <c r="Q7">
        <v>4</v>
      </c>
      <c r="R7" t="s">
        <v>64</v>
      </c>
      <c r="S7">
        <v>35</v>
      </c>
      <c r="T7" t="s">
        <v>98</v>
      </c>
      <c r="U7" t="s">
        <v>36</v>
      </c>
      <c r="V7" t="s">
        <v>61</v>
      </c>
      <c r="W7">
        <v>1</v>
      </c>
      <c r="X7" t="s">
        <v>57</v>
      </c>
      <c r="Y7">
        <v>2</v>
      </c>
      <c r="Z7" t="s">
        <v>40</v>
      </c>
      <c r="AA7" t="s">
        <v>40</v>
      </c>
      <c r="AB7">
        <v>1</v>
      </c>
    </row>
    <row r="8" spans="1:28" x14ac:dyDescent="0.3">
      <c r="A8">
        <v>7</v>
      </c>
      <c r="B8" t="s">
        <v>26</v>
      </c>
      <c r="C8" t="s">
        <v>52</v>
      </c>
      <c r="D8" t="s">
        <v>53</v>
      </c>
      <c r="E8">
        <v>24</v>
      </c>
      <c r="F8" t="s">
        <v>44</v>
      </c>
      <c r="G8" t="s">
        <v>58</v>
      </c>
      <c r="H8">
        <v>2835</v>
      </c>
      <c r="I8" t="s">
        <v>65</v>
      </c>
      <c r="J8" t="s">
        <v>66</v>
      </c>
      <c r="K8" t="s">
        <v>32</v>
      </c>
      <c r="L8" t="s">
        <v>33</v>
      </c>
      <c r="M8">
        <v>3</v>
      </c>
      <c r="N8" t="s">
        <v>34</v>
      </c>
      <c r="O8" t="s">
        <v>35</v>
      </c>
      <c r="P8" t="s">
        <v>36</v>
      </c>
      <c r="Q8">
        <v>4</v>
      </c>
      <c r="R8" t="s">
        <v>60</v>
      </c>
      <c r="S8">
        <v>53</v>
      </c>
      <c r="T8" t="s">
        <v>97</v>
      </c>
      <c r="U8" t="s">
        <v>36</v>
      </c>
      <c r="V8" t="s">
        <v>38</v>
      </c>
      <c r="W8">
        <v>1</v>
      </c>
      <c r="X8" t="s">
        <v>39</v>
      </c>
      <c r="Y8">
        <v>1</v>
      </c>
      <c r="Z8" t="s">
        <v>51</v>
      </c>
      <c r="AA8" t="s">
        <v>40</v>
      </c>
      <c r="AB8">
        <v>1</v>
      </c>
    </row>
    <row r="9" spans="1:28" x14ac:dyDescent="0.3">
      <c r="A9">
        <v>8</v>
      </c>
      <c r="B9" t="s">
        <v>26</v>
      </c>
      <c r="C9" t="s">
        <v>42</v>
      </c>
      <c r="D9" t="s">
        <v>43</v>
      </c>
      <c r="E9">
        <v>36</v>
      </c>
      <c r="F9" t="s">
        <v>44</v>
      </c>
      <c r="G9" t="s">
        <v>67</v>
      </c>
      <c r="H9">
        <v>6948</v>
      </c>
      <c r="I9" t="s">
        <v>45</v>
      </c>
      <c r="J9" t="s">
        <v>46</v>
      </c>
      <c r="K9" t="s">
        <v>47</v>
      </c>
      <c r="L9" t="s">
        <v>48</v>
      </c>
      <c r="M9">
        <v>2</v>
      </c>
      <c r="N9" t="s">
        <v>34</v>
      </c>
      <c r="O9" t="s">
        <v>35</v>
      </c>
      <c r="P9" t="s">
        <v>36</v>
      </c>
      <c r="Q9">
        <v>2</v>
      </c>
      <c r="R9" t="s">
        <v>68</v>
      </c>
      <c r="S9">
        <v>35</v>
      </c>
      <c r="T9" t="s">
        <v>98</v>
      </c>
      <c r="U9" t="s">
        <v>36</v>
      </c>
      <c r="V9" t="s">
        <v>69</v>
      </c>
      <c r="W9">
        <v>1</v>
      </c>
      <c r="X9" t="s">
        <v>70</v>
      </c>
      <c r="Y9">
        <v>1</v>
      </c>
      <c r="Z9" t="s">
        <v>40</v>
      </c>
      <c r="AA9" t="s">
        <v>40</v>
      </c>
      <c r="AB9">
        <v>1</v>
      </c>
    </row>
    <row r="10" spans="1:28" x14ac:dyDescent="0.3">
      <c r="A10">
        <v>9</v>
      </c>
      <c r="B10" t="s">
        <v>26</v>
      </c>
      <c r="C10" t="s">
        <v>52</v>
      </c>
      <c r="D10" t="s">
        <v>53</v>
      </c>
      <c r="E10">
        <v>12</v>
      </c>
      <c r="F10" t="s">
        <v>44</v>
      </c>
      <c r="G10" t="s">
        <v>30</v>
      </c>
      <c r="H10">
        <v>3059</v>
      </c>
      <c r="I10" t="s">
        <v>71</v>
      </c>
      <c r="J10" t="s">
        <v>72</v>
      </c>
      <c r="K10" t="s">
        <v>55</v>
      </c>
      <c r="L10" t="s">
        <v>56</v>
      </c>
      <c r="M10">
        <v>2</v>
      </c>
      <c r="N10" t="s">
        <v>34</v>
      </c>
      <c r="O10" t="s">
        <v>73</v>
      </c>
      <c r="P10" t="s">
        <v>36</v>
      </c>
      <c r="Q10">
        <v>4</v>
      </c>
      <c r="R10" t="s">
        <v>37</v>
      </c>
      <c r="S10">
        <v>61</v>
      </c>
      <c r="T10" t="s">
        <v>95</v>
      </c>
      <c r="U10" t="s">
        <v>36</v>
      </c>
      <c r="V10" t="s">
        <v>38</v>
      </c>
      <c r="W10">
        <v>1</v>
      </c>
      <c r="X10" t="s">
        <v>57</v>
      </c>
      <c r="Y10">
        <v>1</v>
      </c>
      <c r="Z10" t="s">
        <v>51</v>
      </c>
      <c r="AA10" t="s">
        <v>40</v>
      </c>
      <c r="AB10">
        <v>1</v>
      </c>
    </row>
    <row r="11" spans="1:28" x14ac:dyDescent="0.3">
      <c r="A11">
        <v>10</v>
      </c>
      <c r="B11" t="s">
        <v>41</v>
      </c>
      <c r="C11" t="s">
        <v>42</v>
      </c>
      <c r="D11" t="s">
        <v>43</v>
      </c>
      <c r="E11">
        <v>30</v>
      </c>
      <c r="F11" t="s">
        <v>29</v>
      </c>
      <c r="G11" t="s">
        <v>63</v>
      </c>
      <c r="H11">
        <v>5234</v>
      </c>
      <c r="I11" t="s">
        <v>45</v>
      </c>
      <c r="J11" t="s">
        <v>46</v>
      </c>
      <c r="K11" t="s">
        <v>74</v>
      </c>
      <c r="L11" t="s">
        <v>74</v>
      </c>
      <c r="M11">
        <v>4</v>
      </c>
      <c r="N11" t="s">
        <v>34</v>
      </c>
      <c r="O11" t="s">
        <v>75</v>
      </c>
      <c r="P11" t="s">
        <v>36</v>
      </c>
      <c r="Q11">
        <v>2</v>
      </c>
      <c r="R11" t="s">
        <v>68</v>
      </c>
      <c r="S11">
        <v>28</v>
      </c>
      <c r="T11" t="s">
        <v>98</v>
      </c>
      <c r="U11" t="s">
        <v>36</v>
      </c>
      <c r="V11" t="s">
        <v>38</v>
      </c>
      <c r="W11">
        <v>2</v>
      </c>
      <c r="X11" t="s">
        <v>70</v>
      </c>
      <c r="Y11">
        <v>1</v>
      </c>
      <c r="Z11" t="s">
        <v>51</v>
      </c>
      <c r="AA11" t="s">
        <v>40</v>
      </c>
      <c r="AB11">
        <v>2</v>
      </c>
    </row>
    <row r="12" spans="1:28" x14ac:dyDescent="0.3">
      <c r="A12">
        <v>11</v>
      </c>
      <c r="B12" t="s">
        <v>41</v>
      </c>
      <c r="C12" t="s">
        <v>42</v>
      </c>
      <c r="D12" t="s">
        <v>43</v>
      </c>
      <c r="E12">
        <v>12</v>
      </c>
      <c r="F12" t="s">
        <v>44</v>
      </c>
      <c r="G12" t="s">
        <v>63</v>
      </c>
      <c r="H12">
        <v>1295</v>
      </c>
      <c r="I12" t="s">
        <v>45</v>
      </c>
      <c r="J12" t="s">
        <v>46</v>
      </c>
      <c r="K12" t="s">
        <v>76</v>
      </c>
      <c r="L12" t="s">
        <v>77</v>
      </c>
      <c r="M12">
        <v>3</v>
      </c>
      <c r="N12" t="s">
        <v>49</v>
      </c>
      <c r="O12" t="s">
        <v>50</v>
      </c>
      <c r="P12" t="s">
        <v>36</v>
      </c>
      <c r="Q12">
        <v>1</v>
      </c>
      <c r="R12" t="s">
        <v>68</v>
      </c>
      <c r="S12">
        <v>25</v>
      </c>
      <c r="T12" t="s">
        <v>98</v>
      </c>
      <c r="U12" t="s">
        <v>36</v>
      </c>
      <c r="V12" t="s">
        <v>69</v>
      </c>
      <c r="W12">
        <v>1</v>
      </c>
      <c r="X12" t="s">
        <v>39</v>
      </c>
      <c r="Y12">
        <v>1</v>
      </c>
      <c r="Z12" t="s">
        <v>51</v>
      </c>
      <c r="AA12" t="s">
        <v>40</v>
      </c>
      <c r="AB12">
        <v>2</v>
      </c>
    </row>
    <row r="13" spans="1:28" x14ac:dyDescent="0.3">
      <c r="A13">
        <v>12</v>
      </c>
      <c r="B13" t="s">
        <v>41</v>
      </c>
      <c r="C13" t="s">
        <v>27</v>
      </c>
      <c r="D13" t="s">
        <v>28</v>
      </c>
      <c r="E13">
        <v>48</v>
      </c>
      <c r="F13" t="s">
        <v>44</v>
      </c>
      <c r="G13" t="s">
        <v>78</v>
      </c>
      <c r="H13">
        <v>4308</v>
      </c>
      <c r="I13" t="s">
        <v>45</v>
      </c>
      <c r="J13" t="s">
        <v>46</v>
      </c>
      <c r="K13" t="s">
        <v>76</v>
      </c>
      <c r="L13" t="s">
        <v>77</v>
      </c>
      <c r="M13">
        <v>3</v>
      </c>
      <c r="N13" t="s">
        <v>49</v>
      </c>
      <c r="O13" t="s">
        <v>50</v>
      </c>
      <c r="P13" t="s">
        <v>36</v>
      </c>
      <c r="Q13">
        <v>4</v>
      </c>
      <c r="R13" t="s">
        <v>60</v>
      </c>
      <c r="S13">
        <v>24</v>
      </c>
      <c r="T13" t="s">
        <v>96</v>
      </c>
      <c r="U13" t="s">
        <v>36</v>
      </c>
      <c r="V13" t="s">
        <v>69</v>
      </c>
      <c r="W13">
        <v>1</v>
      </c>
      <c r="X13" t="s">
        <v>39</v>
      </c>
      <c r="Y13">
        <v>1</v>
      </c>
      <c r="Z13" t="s">
        <v>51</v>
      </c>
      <c r="AA13" t="s">
        <v>40</v>
      </c>
      <c r="AB13">
        <v>2</v>
      </c>
    </row>
    <row r="14" spans="1:28" x14ac:dyDescent="0.3">
      <c r="A14">
        <v>13</v>
      </c>
      <c r="B14" t="s">
        <v>26</v>
      </c>
      <c r="C14" t="s">
        <v>42</v>
      </c>
      <c r="D14" t="s">
        <v>43</v>
      </c>
      <c r="E14">
        <v>12</v>
      </c>
      <c r="F14" t="s">
        <v>44</v>
      </c>
      <c r="G14" t="s">
        <v>30</v>
      </c>
      <c r="H14">
        <v>1567</v>
      </c>
      <c r="I14" t="s">
        <v>45</v>
      </c>
      <c r="J14" t="s">
        <v>46</v>
      </c>
      <c r="K14" t="s">
        <v>47</v>
      </c>
      <c r="L14" t="s">
        <v>48</v>
      </c>
      <c r="M14">
        <v>1</v>
      </c>
      <c r="N14" t="s">
        <v>49</v>
      </c>
      <c r="O14" t="s">
        <v>50</v>
      </c>
      <c r="P14" t="s">
        <v>36</v>
      </c>
      <c r="Q14">
        <v>1</v>
      </c>
      <c r="R14" t="s">
        <v>68</v>
      </c>
      <c r="S14">
        <v>22</v>
      </c>
      <c r="T14" t="s">
        <v>96</v>
      </c>
      <c r="U14" t="s">
        <v>36</v>
      </c>
      <c r="V14" t="s">
        <v>38</v>
      </c>
      <c r="W14">
        <v>1</v>
      </c>
      <c r="X14" t="s">
        <v>39</v>
      </c>
      <c r="Y14">
        <v>1</v>
      </c>
      <c r="Z14" t="s">
        <v>40</v>
      </c>
      <c r="AA14" t="s">
        <v>40</v>
      </c>
      <c r="AB14">
        <v>1</v>
      </c>
    </row>
    <row r="15" spans="1:28" x14ac:dyDescent="0.3">
      <c r="A15">
        <v>14</v>
      </c>
      <c r="B15" t="s">
        <v>41</v>
      </c>
      <c r="C15" t="s">
        <v>27</v>
      </c>
      <c r="D15" t="s">
        <v>28</v>
      </c>
      <c r="E15">
        <v>24</v>
      </c>
      <c r="F15" t="s">
        <v>29</v>
      </c>
      <c r="G15" t="s">
        <v>63</v>
      </c>
      <c r="H15">
        <v>1199</v>
      </c>
      <c r="I15" t="s">
        <v>45</v>
      </c>
      <c r="J15" t="s">
        <v>46</v>
      </c>
      <c r="K15" t="s">
        <v>32</v>
      </c>
      <c r="L15" t="s">
        <v>33</v>
      </c>
      <c r="M15">
        <v>4</v>
      </c>
      <c r="N15" t="s">
        <v>34</v>
      </c>
      <c r="O15" t="s">
        <v>35</v>
      </c>
      <c r="P15" t="s">
        <v>36</v>
      </c>
      <c r="Q15">
        <v>4</v>
      </c>
      <c r="R15" t="s">
        <v>68</v>
      </c>
      <c r="S15">
        <v>60</v>
      </c>
      <c r="T15" t="s">
        <v>95</v>
      </c>
      <c r="U15" t="s">
        <v>36</v>
      </c>
      <c r="V15" t="s">
        <v>38</v>
      </c>
      <c r="W15">
        <v>2</v>
      </c>
      <c r="X15" t="s">
        <v>57</v>
      </c>
      <c r="Y15">
        <v>1</v>
      </c>
      <c r="Z15" t="s">
        <v>51</v>
      </c>
      <c r="AA15" t="s">
        <v>40</v>
      </c>
      <c r="AB15">
        <v>2</v>
      </c>
    </row>
    <row r="16" spans="1:28" x14ac:dyDescent="0.3">
      <c r="A16">
        <v>15</v>
      </c>
      <c r="B16" t="s">
        <v>26</v>
      </c>
      <c r="C16" t="s">
        <v>27</v>
      </c>
      <c r="D16" t="s">
        <v>28</v>
      </c>
      <c r="E16">
        <v>15</v>
      </c>
      <c r="F16" t="s">
        <v>44</v>
      </c>
      <c r="G16" t="s">
        <v>63</v>
      </c>
      <c r="H16">
        <v>1403</v>
      </c>
      <c r="I16" t="s">
        <v>45</v>
      </c>
      <c r="J16" t="s">
        <v>46</v>
      </c>
      <c r="K16" t="s">
        <v>47</v>
      </c>
      <c r="L16" t="s">
        <v>48</v>
      </c>
      <c r="M16">
        <v>2</v>
      </c>
      <c r="N16" t="s">
        <v>49</v>
      </c>
      <c r="O16" t="s">
        <v>50</v>
      </c>
      <c r="P16" t="s">
        <v>36</v>
      </c>
      <c r="Q16">
        <v>4</v>
      </c>
      <c r="R16" t="s">
        <v>68</v>
      </c>
      <c r="S16">
        <v>28</v>
      </c>
      <c r="T16" t="s">
        <v>98</v>
      </c>
      <c r="U16" t="s">
        <v>36</v>
      </c>
      <c r="V16" t="s">
        <v>69</v>
      </c>
      <c r="W16">
        <v>1</v>
      </c>
      <c r="X16" t="s">
        <v>39</v>
      </c>
      <c r="Y16">
        <v>1</v>
      </c>
      <c r="Z16" t="s">
        <v>51</v>
      </c>
      <c r="AA16" t="s">
        <v>40</v>
      </c>
      <c r="AB16">
        <v>1</v>
      </c>
    </row>
    <row r="17" spans="1:28" x14ac:dyDescent="0.3">
      <c r="A17">
        <v>16</v>
      </c>
      <c r="B17" t="s">
        <v>41</v>
      </c>
      <c r="C17" t="s">
        <v>27</v>
      </c>
      <c r="D17" t="s">
        <v>28</v>
      </c>
      <c r="E17">
        <v>24</v>
      </c>
      <c r="F17" t="s">
        <v>44</v>
      </c>
      <c r="G17" t="s">
        <v>30</v>
      </c>
      <c r="H17">
        <v>1282</v>
      </c>
      <c r="I17" t="s">
        <v>79</v>
      </c>
      <c r="J17" t="s">
        <v>80</v>
      </c>
      <c r="K17" t="s">
        <v>47</v>
      </c>
      <c r="L17" t="s">
        <v>48</v>
      </c>
      <c r="M17">
        <v>4</v>
      </c>
      <c r="N17" t="s">
        <v>49</v>
      </c>
      <c r="O17" t="s">
        <v>50</v>
      </c>
      <c r="P17" t="s">
        <v>36</v>
      </c>
      <c r="Q17">
        <v>2</v>
      </c>
      <c r="R17" t="s">
        <v>68</v>
      </c>
      <c r="S17">
        <v>32</v>
      </c>
      <c r="T17" t="s">
        <v>98</v>
      </c>
      <c r="U17" t="s">
        <v>36</v>
      </c>
      <c r="V17" t="s">
        <v>38</v>
      </c>
      <c r="W17">
        <v>1</v>
      </c>
      <c r="X17" t="s">
        <v>57</v>
      </c>
      <c r="Y17">
        <v>1</v>
      </c>
      <c r="Z17" t="s">
        <v>51</v>
      </c>
      <c r="AA17" t="s">
        <v>40</v>
      </c>
      <c r="AB17">
        <v>2</v>
      </c>
    </row>
    <row r="18" spans="1:28" x14ac:dyDescent="0.3">
      <c r="A18">
        <v>17</v>
      </c>
      <c r="B18" t="s">
        <v>26</v>
      </c>
      <c r="C18" t="s">
        <v>52</v>
      </c>
      <c r="D18" t="s">
        <v>53</v>
      </c>
      <c r="E18">
        <v>24</v>
      </c>
      <c r="F18" t="s">
        <v>29</v>
      </c>
      <c r="G18" t="s">
        <v>30</v>
      </c>
      <c r="H18">
        <v>2424</v>
      </c>
      <c r="I18" t="s">
        <v>31</v>
      </c>
      <c r="J18" t="s">
        <v>31</v>
      </c>
      <c r="K18" t="s">
        <v>32</v>
      </c>
      <c r="L18" t="s">
        <v>33</v>
      </c>
      <c r="M18">
        <v>4</v>
      </c>
      <c r="N18" t="s">
        <v>34</v>
      </c>
      <c r="O18" t="s">
        <v>35</v>
      </c>
      <c r="P18" t="s">
        <v>36</v>
      </c>
      <c r="Q18">
        <v>4</v>
      </c>
      <c r="R18" t="s">
        <v>60</v>
      </c>
      <c r="S18">
        <v>53</v>
      </c>
      <c r="T18" t="s">
        <v>97</v>
      </c>
      <c r="U18" t="s">
        <v>36</v>
      </c>
      <c r="V18" t="s">
        <v>38</v>
      </c>
      <c r="W18">
        <v>2</v>
      </c>
      <c r="X18" t="s">
        <v>39</v>
      </c>
      <c r="Y18">
        <v>1</v>
      </c>
      <c r="Z18" t="s">
        <v>51</v>
      </c>
      <c r="AA18" t="s">
        <v>40</v>
      </c>
      <c r="AB18">
        <v>1</v>
      </c>
    </row>
    <row r="19" spans="1:28" x14ac:dyDescent="0.3">
      <c r="A19">
        <v>18</v>
      </c>
      <c r="B19" t="s">
        <v>26</v>
      </c>
      <c r="C19" t="s">
        <v>27</v>
      </c>
      <c r="D19" t="s">
        <v>28</v>
      </c>
      <c r="E19">
        <v>30</v>
      </c>
      <c r="F19" t="s">
        <v>81</v>
      </c>
      <c r="G19" t="s">
        <v>78</v>
      </c>
      <c r="H19">
        <v>8072</v>
      </c>
      <c r="I19" t="s">
        <v>31</v>
      </c>
      <c r="J19" t="s">
        <v>31</v>
      </c>
      <c r="K19" t="s">
        <v>76</v>
      </c>
      <c r="L19" t="s">
        <v>77</v>
      </c>
      <c r="M19">
        <v>2</v>
      </c>
      <c r="N19" t="s">
        <v>34</v>
      </c>
      <c r="O19" t="s">
        <v>35</v>
      </c>
      <c r="P19" t="s">
        <v>36</v>
      </c>
      <c r="Q19">
        <v>3</v>
      </c>
      <c r="R19" t="s">
        <v>68</v>
      </c>
      <c r="S19">
        <v>25</v>
      </c>
      <c r="T19" t="s">
        <v>98</v>
      </c>
      <c r="U19" t="s">
        <v>82</v>
      </c>
      <c r="V19" t="s">
        <v>38</v>
      </c>
      <c r="W19">
        <v>3</v>
      </c>
      <c r="X19" t="s">
        <v>39</v>
      </c>
      <c r="Y19">
        <v>1</v>
      </c>
      <c r="Z19" t="s">
        <v>51</v>
      </c>
      <c r="AA19" t="s">
        <v>40</v>
      </c>
      <c r="AB19">
        <v>1</v>
      </c>
    </row>
    <row r="20" spans="1:28" x14ac:dyDescent="0.3">
      <c r="A20">
        <v>19</v>
      </c>
      <c r="B20" t="s">
        <v>41</v>
      </c>
      <c r="C20" t="s">
        <v>42</v>
      </c>
      <c r="D20" t="s">
        <v>43</v>
      </c>
      <c r="E20">
        <v>24</v>
      </c>
      <c r="F20" t="s">
        <v>44</v>
      </c>
      <c r="G20" t="s">
        <v>67</v>
      </c>
      <c r="H20">
        <v>12579</v>
      </c>
      <c r="I20" t="s">
        <v>45</v>
      </c>
      <c r="J20" t="s">
        <v>46</v>
      </c>
      <c r="K20" t="s">
        <v>32</v>
      </c>
      <c r="L20" t="s">
        <v>33</v>
      </c>
      <c r="M20">
        <v>4</v>
      </c>
      <c r="N20" t="s">
        <v>49</v>
      </c>
      <c r="O20" t="s">
        <v>50</v>
      </c>
      <c r="P20" t="s">
        <v>36</v>
      </c>
      <c r="Q20">
        <v>2</v>
      </c>
      <c r="R20" t="s">
        <v>64</v>
      </c>
      <c r="S20">
        <v>44</v>
      </c>
      <c r="T20" t="s">
        <v>97</v>
      </c>
      <c r="U20" t="s">
        <v>36</v>
      </c>
      <c r="V20" t="s">
        <v>61</v>
      </c>
      <c r="W20">
        <v>1</v>
      </c>
      <c r="X20" t="s">
        <v>70</v>
      </c>
      <c r="Y20">
        <v>1</v>
      </c>
      <c r="Z20" t="s">
        <v>40</v>
      </c>
      <c r="AA20" t="s">
        <v>40</v>
      </c>
      <c r="AB20">
        <v>2</v>
      </c>
    </row>
    <row r="21" spans="1:28" x14ac:dyDescent="0.3">
      <c r="A21">
        <v>20</v>
      </c>
      <c r="B21" t="s">
        <v>26</v>
      </c>
      <c r="C21" t="s">
        <v>52</v>
      </c>
      <c r="D21" t="s">
        <v>53</v>
      </c>
      <c r="E21">
        <v>24</v>
      </c>
      <c r="F21" t="s">
        <v>44</v>
      </c>
      <c r="G21" t="s">
        <v>30</v>
      </c>
      <c r="H21">
        <v>3430</v>
      </c>
      <c r="I21" t="s">
        <v>65</v>
      </c>
      <c r="J21" t="s">
        <v>66</v>
      </c>
      <c r="K21" t="s">
        <v>32</v>
      </c>
      <c r="L21" t="s">
        <v>33</v>
      </c>
      <c r="M21">
        <v>3</v>
      </c>
      <c r="N21" t="s">
        <v>34</v>
      </c>
      <c r="O21" t="s">
        <v>35</v>
      </c>
      <c r="P21" t="s">
        <v>36</v>
      </c>
      <c r="Q21">
        <v>2</v>
      </c>
      <c r="R21" t="s">
        <v>68</v>
      </c>
      <c r="S21">
        <v>31</v>
      </c>
      <c r="T21" t="s">
        <v>98</v>
      </c>
      <c r="U21" t="s">
        <v>36</v>
      </c>
      <c r="V21" t="s">
        <v>38</v>
      </c>
      <c r="W21">
        <v>1</v>
      </c>
      <c r="X21" t="s">
        <v>39</v>
      </c>
      <c r="Y21">
        <v>2</v>
      </c>
      <c r="Z21" t="s">
        <v>40</v>
      </c>
      <c r="AA21" t="s">
        <v>40</v>
      </c>
      <c r="AB21">
        <v>1</v>
      </c>
    </row>
    <row r="22" spans="1:28" x14ac:dyDescent="0.3">
      <c r="A22">
        <v>21</v>
      </c>
      <c r="B22" t="s">
        <v>26</v>
      </c>
      <c r="C22" t="s">
        <v>52</v>
      </c>
      <c r="D22" t="s">
        <v>53</v>
      </c>
      <c r="E22">
        <v>9</v>
      </c>
      <c r="F22" t="s">
        <v>29</v>
      </c>
      <c r="G22" t="s">
        <v>63</v>
      </c>
      <c r="H22">
        <v>2134</v>
      </c>
      <c r="I22" t="s">
        <v>45</v>
      </c>
      <c r="J22" t="s">
        <v>46</v>
      </c>
      <c r="K22" t="s">
        <v>47</v>
      </c>
      <c r="L22" t="s">
        <v>48</v>
      </c>
      <c r="M22">
        <v>4</v>
      </c>
      <c r="N22" t="s">
        <v>34</v>
      </c>
      <c r="O22" t="s">
        <v>35</v>
      </c>
      <c r="P22" t="s">
        <v>36</v>
      </c>
      <c r="Q22">
        <v>4</v>
      </c>
      <c r="R22" t="s">
        <v>68</v>
      </c>
      <c r="S22">
        <v>48</v>
      </c>
      <c r="T22" t="s">
        <v>97</v>
      </c>
      <c r="U22" t="s">
        <v>36</v>
      </c>
      <c r="V22" t="s">
        <v>38</v>
      </c>
      <c r="W22">
        <v>3</v>
      </c>
      <c r="X22" t="s">
        <v>39</v>
      </c>
      <c r="Y22">
        <v>1</v>
      </c>
      <c r="Z22" t="s">
        <v>40</v>
      </c>
      <c r="AA22" t="s">
        <v>40</v>
      </c>
      <c r="AB22">
        <v>1</v>
      </c>
    </row>
    <row r="23" spans="1:28" x14ac:dyDescent="0.3">
      <c r="A23">
        <v>22</v>
      </c>
      <c r="B23" t="s">
        <v>26</v>
      </c>
      <c r="C23" t="s">
        <v>27</v>
      </c>
      <c r="D23" t="s">
        <v>28</v>
      </c>
      <c r="E23">
        <v>6</v>
      </c>
      <c r="F23" t="s">
        <v>44</v>
      </c>
      <c r="G23" t="s">
        <v>30</v>
      </c>
      <c r="H23">
        <v>2647</v>
      </c>
      <c r="I23" t="s">
        <v>65</v>
      </c>
      <c r="J23" t="s">
        <v>66</v>
      </c>
      <c r="K23" t="s">
        <v>47</v>
      </c>
      <c r="L23" t="s">
        <v>48</v>
      </c>
      <c r="M23">
        <v>2</v>
      </c>
      <c r="N23" t="s">
        <v>34</v>
      </c>
      <c r="O23" t="s">
        <v>35</v>
      </c>
      <c r="P23" t="s">
        <v>36</v>
      </c>
      <c r="Q23">
        <v>3</v>
      </c>
      <c r="R23" t="s">
        <v>37</v>
      </c>
      <c r="S23">
        <v>44</v>
      </c>
      <c r="T23" t="s">
        <v>97</v>
      </c>
      <c r="U23" t="s">
        <v>36</v>
      </c>
      <c r="V23" t="s">
        <v>69</v>
      </c>
      <c r="W23">
        <v>1</v>
      </c>
      <c r="X23" t="s">
        <v>39</v>
      </c>
      <c r="Y23">
        <v>2</v>
      </c>
      <c r="Z23" t="s">
        <v>51</v>
      </c>
      <c r="AA23" t="s">
        <v>40</v>
      </c>
      <c r="AB23">
        <v>1</v>
      </c>
    </row>
    <row r="24" spans="1:28" x14ac:dyDescent="0.3">
      <c r="A24">
        <v>23</v>
      </c>
      <c r="B24" t="s">
        <v>26</v>
      </c>
      <c r="C24" t="s">
        <v>27</v>
      </c>
      <c r="D24" t="s">
        <v>28</v>
      </c>
      <c r="E24">
        <v>10</v>
      </c>
      <c r="F24" t="s">
        <v>29</v>
      </c>
      <c r="G24" t="s">
        <v>63</v>
      </c>
      <c r="H24">
        <v>2241</v>
      </c>
      <c r="I24" t="s">
        <v>45</v>
      </c>
      <c r="J24" t="s">
        <v>46</v>
      </c>
      <c r="K24" t="s">
        <v>76</v>
      </c>
      <c r="L24" t="s">
        <v>77</v>
      </c>
      <c r="M24">
        <v>1</v>
      </c>
      <c r="N24" t="s">
        <v>34</v>
      </c>
      <c r="O24" t="s">
        <v>35</v>
      </c>
      <c r="P24" t="s">
        <v>36</v>
      </c>
      <c r="Q24">
        <v>3</v>
      </c>
      <c r="R24" t="s">
        <v>37</v>
      </c>
      <c r="S24">
        <v>48</v>
      </c>
      <c r="T24" t="s">
        <v>97</v>
      </c>
      <c r="U24" t="s">
        <v>36</v>
      </c>
      <c r="V24" t="s">
        <v>69</v>
      </c>
      <c r="W24">
        <v>2</v>
      </c>
      <c r="X24" t="s">
        <v>57</v>
      </c>
      <c r="Y24">
        <v>2</v>
      </c>
      <c r="Z24" t="s">
        <v>51</v>
      </c>
      <c r="AA24" t="s">
        <v>51</v>
      </c>
      <c r="AB24">
        <v>1</v>
      </c>
    </row>
    <row r="25" spans="1:28" x14ac:dyDescent="0.3">
      <c r="A25">
        <v>24</v>
      </c>
      <c r="B25" t="s">
        <v>26</v>
      </c>
      <c r="C25" t="s">
        <v>42</v>
      </c>
      <c r="D25" t="s">
        <v>43</v>
      </c>
      <c r="E25">
        <v>12</v>
      </c>
      <c r="F25" t="s">
        <v>29</v>
      </c>
      <c r="G25" t="s">
        <v>67</v>
      </c>
      <c r="H25">
        <v>1804</v>
      </c>
      <c r="I25" t="s">
        <v>79</v>
      </c>
      <c r="J25" t="s">
        <v>80</v>
      </c>
      <c r="K25" t="s">
        <v>76</v>
      </c>
      <c r="L25" t="s">
        <v>77</v>
      </c>
      <c r="M25">
        <v>3</v>
      </c>
      <c r="N25" t="s">
        <v>34</v>
      </c>
      <c r="O25" t="s">
        <v>35</v>
      </c>
      <c r="P25" t="s">
        <v>36</v>
      </c>
      <c r="Q25">
        <v>4</v>
      </c>
      <c r="R25" t="s">
        <v>60</v>
      </c>
      <c r="S25">
        <v>44</v>
      </c>
      <c r="T25" t="s">
        <v>97</v>
      </c>
      <c r="U25" t="s">
        <v>36</v>
      </c>
      <c r="V25" t="s">
        <v>38</v>
      </c>
      <c r="W25">
        <v>1</v>
      </c>
      <c r="X25" t="s">
        <v>39</v>
      </c>
      <c r="Y25">
        <v>1</v>
      </c>
      <c r="Z25" t="s">
        <v>51</v>
      </c>
      <c r="AA25" t="s">
        <v>40</v>
      </c>
      <c r="AB25">
        <v>1</v>
      </c>
    </row>
    <row r="26" spans="1:28" x14ac:dyDescent="0.3">
      <c r="A26">
        <v>25</v>
      </c>
      <c r="B26" t="s">
        <v>26</v>
      </c>
      <c r="C26" t="s">
        <v>52</v>
      </c>
      <c r="D26" t="s">
        <v>53</v>
      </c>
      <c r="E26">
        <v>10</v>
      </c>
      <c r="F26" t="s">
        <v>29</v>
      </c>
      <c r="G26" t="s">
        <v>58</v>
      </c>
      <c r="H26">
        <v>2069</v>
      </c>
      <c r="I26" t="s">
        <v>31</v>
      </c>
      <c r="J26" t="s">
        <v>31</v>
      </c>
      <c r="K26" t="s">
        <v>47</v>
      </c>
      <c r="L26" t="s">
        <v>48</v>
      </c>
      <c r="M26">
        <v>2</v>
      </c>
      <c r="N26" t="s">
        <v>34</v>
      </c>
      <c r="O26" t="s">
        <v>75</v>
      </c>
      <c r="P26" t="s">
        <v>36</v>
      </c>
      <c r="Q26">
        <v>1</v>
      </c>
      <c r="R26" t="s">
        <v>68</v>
      </c>
      <c r="S26">
        <v>26</v>
      </c>
      <c r="T26" t="s">
        <v>98</v>
      </c>
      <c r="U26" t="s">
        <v>36</v>
      </c>
      <c r="V26" t="s">
        <v>38</v>
      </c>
      <c r="W26">
        <v>2</v>
      </c>
      <c r="X26" t="s">
        <v>39</v>
      </c>
      <c r="Y26">
        <v>1</v>
      </c>
      <c r="Z26" t="s">
        <v>51</v>
      </c>
      <c r="AA26" t="s">
        <v>51</v>
      </c>
      <c r="AB26">
        <v>1</v>
      </c>
    </row>
    <row r="27" spans="1:28" x14ac:dyDescent="0.3">
      <c r="A27">
        <v>26</v>
      </c>
      <c r="B27" t="s">
        <v>26</v>
      </c>
      <c r="C27" t="s">
        <v>27</v>
      </c>
      <c r="D27" t="s">
        <v>28</v>
      </c>
      <c r="E27">
        <v>6</v>
      </c>
      <c r="F27" t="s">
        <v>44</v>
      </c>
      <c r="G27" t="s">
        <v>58</v>
      </c>
      <c r="H27">
        <v>1374</v>
      </c>
      <c r="I27" t="s">
        <v>45</v>
      </c>
      <c r="J27" t="s">
        <v>46</v>
      </c>
      <c r="K27" t="s">
        <v>47</v>
      </c>
      <c r="L27" t="s">
        <v>48</v>
      </c>
      <c r="M27">
        <v>1</v>
      </c>
      <c r="N27" t="s">
        <v>34</v>
      </c>
      <c r="O27" t="s">
        <v>35</v>
      </c>
      <c r="P27" t="s">
        <v>36</v>
      </c>
      <c r="Q27">
        <v>2</v>
      </c>
      <c r="R27" t="s">
        <v>37</v>
      </c>
      <c r="S27">
        <v>36</v>
      </c>
      <c r="T27" t="s">
        <v>98</v>
      </c>
      <c r="U27" t="s">
        <v>82</v>
      </c>
      <c r="V27" t="s">
        <v>38</v>
      </c>
      <c r="W27">
        <v>1</v>
      </c>
      <c r="X27" t="s">
        <v>57</v>
      </c>
      <c r="Y27">
        <v>1</v>
      </c>
      <c r="Z27" t="s">
        <v>40</v>
      </c>
      <c r="AA27" t="s">
        <v>40</v>
      </c>
      <c r="AB27">
        <v>1</v>
      </c>
    </row>
    <row r="28" spans="1:28" x14ac:dyDescent="0.3">
      <c r="A28">
        <v>27</v>
      </c>
      <c r="B28" t="s">
        <v>26</v>
      </c>
      <c r="C28" t="s">
        <v>52</v>
      </c>
      <c r="D28" t="s">
        <v>53</v>
      </c>
      <c r="E28">
        <v>6</v>
      </c>
      <c r="F28" t="s">
        <v>81</v>
      </c>
      <c r="G28" t="s">
        <v>30</v>
      </c>
      <c r="H28">
        <v>426</v>
      </c>
      <c r="I28" t="s">
        <v>45</v>
      </c>
      <c r="J28" t="s">
        <v>46</v>
      </c>
      <c r="K28" t="s">
        <v>32</v>
      </c>
      <c r="L28" t="s">
        <v>33</v>
      </c>
      <c r="M28">
        <v>4</v>
      </c>
      <c r="N28" t="s">
        <v>34</v>
      </c>
      <c r="O28" t="s">
        <v>75</v>
      </c>
      <c r="P28" t="s">
        <v>36</v>
      </c>
      <c r="Q28">
        <v>4</v>
      </c>
      <c r="R28" t="s">
        <v>68</v>
      </c>
      <c r="S28">
        <v>39</v>
      </c>
      <c r="T28" t="s">
        <v>98</v>
      </c>
      <c r="U28" t="s">
        <v>36</v>
      </c>
      <c r="V28" t="s">
        <v>38</v>
      </c>
      <c r="W28">
        <v>1</v>
      </c>
      <c r="X28" t="s">
        <v>57</v>
      </c>
      <c r="Y28">
        <v>1</v>
      </c>
      <c r="Z28" t="s">
        <v>51</v>
      </c>
      <c r="AA28" t="s">
        <v>40</v>
      </c>
      <c r="AB28">
        <v>1</v>
      </c>
    </row>
    <row r="29" spans="1:28" x14ac:dyDescent="0.3">
      <c r="A29">
        <v>28</v>
      </c>
      <c r="B29" t="s">
        <v>26</v>
      </c>
      <c r="C29" t="s">
        <v>83</v>
      </c>
      <c r="D29" t="s">
        <v>84</v>
      </c>
      <c r="E29">
        <v>12</v>
      </c>
      <c r="F29" t="s">
        <v>85</v>
      </c>
      <c r="G29" t="s">
        <v>30</v>
      </c>
      <c r="H29">
        <v>409</v>
      </c>
      <c r="I29" t="s">
        <v>71</v>
      </c>
      <c r="J29" t="s">
        <v>72</v>
      </c>
      <c r="K29" t="s">
        <v>47</v>
      </c>
      <c r="L29" t="s">
        <v>48</v>
      </c>
      <c r="M29">
        <v>3</v>
      </c>
      <c r="N29" t="s">
        <v>49</v>
      </c>
      <c r="O29" t="s">
        <v>50</v>
      </c>
      <c r="P29" t="s">
        <v>36</v>
      </c>
      <c r="Q29">
        <v>3</v>
      </c>
      <c r="R29" t="s">
        <v>37</v>
      </c>
      <c r="S29">
        <v>42</v>
      </c>
      <c r="T29" t="s">
        <v>97</v>
      </c>
      <c r="U29" t="s">
        <v>36</v>
      </c>
      <c r="V29" t="s">
        <v>69</v>
      </c>
      <c r="W29">
        <v>2</v>
      </c>
      <c r="X29" t="s">
        <v>39</v>
      </c>
      <c r="Y29">
        <v>1</v>
      </c>
      <c r="Z29" t="s">
        <v>51</v>
      </c>
      <c r="AA29" t="s">
        <v>40</v>
      </c>
      <c r="AB29">
        <v>1</v>
      </c>
    </row>
    <row r="30" spans="1:28" x14ac:dyDescent="0.3">
      <c r="A30">
        <v>29</v>
      </c>
      <c r="B30" t="s">
        <v>26</v>
      </c>
      <c r="C30" t="s">
        <v>42</v>
      </c>
      <c r="D30" t="s">
        <v>43</v>
      </c>
      <c r="E30">
        <v>7</v>
      </c>
      <c r="F30" t="s">
        <v>44</v>
      </c>
      <c r="G30" t="s">
        <v>30</v>
      </c>
      <c r="H30">
        <v>2415</v>
      </c>
      <c r="I30" t="s">
        <v>45</v>
      </c>
      <c r="J30" t="s">
        <v>46</v>
      </c>
      <c r="K30" t="s">
        <v>47</v>
      </c>
      <c r="L30" t="s">
        <v>48</v>
      </c>
      <c r="M30">
        <v>3</v>
      </c>
      <c r="N30" t="s">
        <v>34</v>
      </c>
      <c r="O30" t="s">
        <v>35</v>
      </c>
      <c r="P30" t="s">
        <v>59</v>
      </c>
      <c r="Q30">
        <v>2</v>
      </c>
      <c r="R30" t="s">
        <v>37</v>
      </c>
      <c r="S30">
        <v>34</v>
      </c>
      <c r="T30" t="s">
        <v>98</v>
      </c>
      <c r="U30" t="s">
        <v>36</v>
      </c>
      <c r="V30" t="s">
        <v>38</v>
      </c>
      <c r="W30">
        <v>1</v>
      </c>
      <c r="X30" t="s">
        <v>39</v>
      </c>
      <c r="Y30">
        <v>1</v>
      </c>
      <c r="Z30" t="s">
        <v>51</v>
      </c>
      <c r="AA30" t="s">
        <v>40</v>
      </c>
      <c r="AB30">
        <v>1</v>
      </c>
    </row>
    <row r="31" spans="1:28" x14ac:dyDescent="0.3">
      <c r="A31">
        <v>30</v>
      </c>
      <c r="B31" t="s">
        <v>41</v>
      </c>
      <c r="C31" t="s">
        <v>27</v>
      </c>
      <c r="D31" t="s">
        <v>28</v>
      </c>
      <c r="E31">
        <v>60</v>
      </c>
      <c r="F31" t="s">
        <v>62</v>
      </c>
      <c r="G31" t="s">
        <v>78</v>
      </c>
      <c r="H31">
        <v>6836</v>
      </c>
      <c r="I31" t="s">
        <v>45</v>
      </c>
      <c r="J31" t="s">
        <v>46</v>
      </c>
      <c r="K31" t="s">
        <v>32</v>
      </c>
      <c r="L31" t="s">
        <v>33</v>
      </c>
      <c r="M31">
        <v>3</v>
      </c>
      <c r="N31" t="s">
        <v>34</v>
      </c>
      <c r="O31" t="s">
        <v>35</v>
      </c>
      <c r="P31" t="s">
        <v>36</v>
      </c>
      <c r="Q31">
        <v>4</v>
      </c>
      <c r="R31" t="s">
        <v>64</v>
      </c>
      <c r="S31">
        <v>63</v>
      </c>
      <c r="T31" t="s">
        <v>95</v>
      </c>
      <c r="U31" t="s">
        <v>36</v>
      </c>
      <c r="V31" t="s">
        <v>38</v>
      </c>
      <c r="W31">
        <v>2</v>
      </c>
      <c r="X31" t="s">
        <v>39</v>
      </c>
      <c r="Y31">
        <v>1</v>
      </c>
      <c r="Z31" t="s">
        <v>40</v>
      </c>
      <c r="AA31" t="s">
        <v>40</v>
      </c>
      <c r="AB31">
        <v>2</v>
      </c>
    </row>
    <row r="32" spans="1:28" x14ac:dyDescent="0.3">
      <c r="A32">
        <v>31</v>
      </c>
      <c r="B32" t="s">
        <v>26</v>
      </c>
      <c r="C32" t="s">
        <v>42</v>
      </c>
      <c r="D32" t="s">
        <v>43</v>
      </c>
      <c r="E32">
        <v>18</v>
      </c>
      <c r="F32" t="s">
        <v>44</v>
      </c>
      <c r="G32" t="s">
        <v>78</v>
      </c>
      <c r="H32">
        <v>1913</v>
      </c>
      <c r="I32" t="s">
        <v>71</v>
      </c>
      <c r="J32" t="s">
        <v>72</v>
      </c>
      <c r="K32" t="s">
        <v>76</v>
      </c>
      <c r="L32" t="s">
        <v>77</v>
      </c>
      <c r="M32">
        <v>3</v>
      </c>
      <c r="N32" t="s">
        <v>34</v>
      </c>
      <c r="O32" t="s">
        <v>75</v>
      </c>
      <c r="P32" t="s">
        <v>36</v>
      </c>
      <c r="Q32">
        <v>3</v>
      </c>
      <c r="R32" t="s">
        <v>37</v>
      </c>
      <c r="S32">
        <v>36</v>
      </c>
      <c r="T32" t="s">
        <v>98</v>
      </c>
      <c r="U32" t="s">
        <v>82</v>
      </c>
      <c r="V32" t="s">
        <v>38</v>
      </c>
      <c r="W32">
        <v>1</v>
      </c>
      <c r="X32" t="s">
        <v>39</v>
      </c>
      <c r="Y32">
        <v>1</v>
      </c>
      <c r="Z32" t="s">
        <v>40</v>
      </c>
      <c r="AA32" t="s">
        <v>40</v>
      </c>
      <c r="AB32">
        <v>1</v>
      </c>
    </row>
    <row r="33" spans="1:28" x14ac:dyDescent="0.3">
      <c r="A33">
        <v>32</v>
      </c>
      <c r="B33" t="s">
        <v>26</v>
      </c>
      <c r="C33" t="s">
        <v>27</v>
      </c>
      <c r="D33" t="s">
        <v>28</v>
      </c>
      <c r="E33">
        <v>24</v>
      </c>
      <c r="F33" t="s">
        <v>44</v>
      </c>
      <c r="G33" t="s">
        <v>58</v>
      </c>
      <c r="H33">
        <v>4020</v>
      </c>
      <c r="I33" t="s">
        <v>45</v>
      </c>
      <c r="J33" t="s">
        <v>46</v>
      </c>
      <c r="K33" t="s">
        <v>47</v>
      </c>
      <c r="L33" t="s">
        <v>48</v>
      </c>
      <c r="M33">
        <v>2</v>
      </c>
      <c r="N33" t="s">
        <v>34</v>
      </c>
      <c r="O33" t="s">
        <v>35</v>
      </c>
      <c r="P33" t="s">
        <v>36</v>
      </c>
      <c r="Q33">
        <v>2</v>
      </c>
      <c r="R33" t="s">
        <v>68</v>
      </c>
      <c r="S33">
        <v>27</v>
      </c>
      <c r="T33" t="s">
        <v>98</v>
      </c>
      <c r="U33" t="s">
        <v>86</v>
      </c>
      <c r="V33" t="s">
        <v>38</v>
      </c>
      <c r="W33">
        <v>1</v>
      </c>
      <c r="X33" t="s">
        <v>39</v>
      </c>
      <c r="Y33">
        <v>1</v>
      </c>
      <c r="Z33" t="s">
        <v>51</v>
      </c>
      <c r="AA33" t="s">
        <v>40</v>
      </c>
      <c r="AB33">
        <v>1</v>
      </c>
    </row>
    <row r="34" spans="1:28" x14ac:dyDescent="0.3">
      <c r="A34">
        <v>33</v>
      </c>
      <c r="B34" t="s">
        <v>26</v>
      </c>
      <c r="C34" t="s">
        <v>42</v>
      </c>
      <c r="D34" t="s">
        <v>43</v>
      </c>
      <c r="E34">
        <v>18</v>
      </c>
      <c r="F34" t="s">
        <v>44</v>
      </c>
      <c r="G34" t="s">
        <v>63</v>
      </c>
      <c r="H34">
        <v>5866</v>
      </c>
      <c r="I34" t="s">
        <v>79</v>
      </c>
      <c r="J34" t="s">
        <v>80</v>
      </c>
      <c r="K34" t="s">
        <v>47</v>
      </c>
      <c r="L34" t="s">
        <v>48</v>
      </c>
      <c r="M34">
        <v>2</v>
      </c>
      <c r="N34" t="s">
        <v>34</v>
      </c>
      <c r="O34" t="s">
        <v>35</v>
      </c>
      <c r="P34" t="s">
        <v>36</v>
      </c>
      <c r="Q34">
        <v>2</v>
      </c>
      <c r="R34" t="s">
        <v>68</v>
      </c>
      <c r="S34">
        <v>30</v>
      </c>
      <c r="T34" t="s">
        <v>98</v>
      </c>
      <c r="U34" t="s">
        <v>36</v>
      </c>
      <c r="V34" t="s">
        <v>38</v>
      </c>
      <c r="W34">
        <v>2</v>
      </c>
      <c r="X34" t="s">
        <v>39</v>
      </c>
      <c r="Y34">
        <v>1</v>
      </c>
      <c r="Z34" t="s">
        <v>40</v>
      </c>
      <c r="AA34" t="s">
        <v>40</v>
      </c>
      <c r="AB34">
        <v>1</v>
      </c>
    </row>
    <row r="35" spans="1:28" x14ac:dyDescent="0.3">
      <c r="A35">
        <v>34</v>
      </c>
      <c r="B35" t="s">
        <v>26</v>
      </c>
      <c r="C35" t="s">
        <v>52</v>
      </c>
      <c r="D35" t="s">
        <v>53</v>
      </c>
      <c r="E35">
        <v>12</v>
      </c>
      <c r="F35" t="s">
        <v>29</v>
      </c>
      <c r="G35" t="s">
        <v>78</v>
      </c>
      <c r="H35">
        <v>1264</v>
      </c>
      <c r="I35" t="s">
        <v>31</v>
      </c>
      <c r="J35" t="s">
        <v>31</v>
      </c>
      <c r="K35" t="s">
        <v>32</v>
      </c>
      <c r="L35" t="s">
        <v>33</v>
      </c>
      <c r="M35">
        <v>4</v>
      </c>
      <c r="N35" t="s">
        <v>34</v>
      </c>
      <c r="O35" t="s">
        <v>35</v>
      </c>
      <c r="P35" t="s">
        <v>36</v>
      </c>
      <c r="Q35">
        <v>4</v>
      </c>
      <c r="R35" t="s">
        <v>64</v>
      </c>
      <c r="S35">
        <v>57</v>
      </c>
      <c r="T35" t="s">
        <v>97</v>
      </c>
      <c r="U35" t="s">
        <v>36</v>
      </c>
      <c r="V35" t="s">
        <v>69</v>
      </c>
      <c r="W35">
        <v>1</v>
      </c>
      <c r="X35" t="s">
        <v>57</v>
      </c>
      <c r="Y35">
        <v>1</v>
      </c>
      <c r="Z35" t="s">
        <v>51</v>
      </c>
      <c r="AA35" t="s">
        <v>40</v>
      </c>
      <c r="AB35">
        <v>1</v>
      </c>
    </row>
    <row r="36" spans="1:28" x14ac:dyDescent="0.3">
      <c r="A36">
        <v>35</v>
      </c>
      <c r="B36" t="s">
        <v>26</v>
      </c>
      <c r="C36" t="s">
        <v>83</v>
      </c>
      <c r="D36" t="s">
        <v>84</v>
      </c>
      <c r="E36">
        <v>12</v>
      </c>
      <c r="F36" t="s">
        <v>44</v>
      </c>
      <c r="G36" t="s">
        <v>58</v>
      </c>
      <c r="H36">
        <v>1474</v>
      </c>
      <c r="I36" t="s">
        <v>45</v>
      </c>
      <c r="J36" t="s">
        <v>46</v>
      </c>
      <c r="K36" t="s">
        <v>76</v>
      </c>
      <c r="L36" t="s">
        <v>77</v>
      </c>
      <c r="M36">
        <v>4</v>
      </c>
      <c r="N36" t="s">
        <v>49</v>
      </c>
      <c r="O36" t="s">
        <v>50</v>
      </c>
      <c r="P36" t="s">
        <v>36</v>
      </c>
      <c r="Q36">
        <v>1</v>
      </c>
      <c r="R36" t="s">
        <v>60</v>
      </c>
      <c r="S36">
        <v>33</v>
      </c>
      <c r="T36" t="s">
        <v>98</v>
      </c>
      <c r="U36" t="s">
        <v>82</v>
      </c>
      <c r="V36" t="s">
        <v>38</v>
      </c>
      <c r="W36">
        <v>1</v>
      </c>
      <c r="X36" t="s">
        <v>70</v>
      </c>
      <c r="Y36">
        <v>1</v>
      </c>
      <c r="Z36" t="s">
        <v>40</v>
      </c>
      <c r="AA36" t="s">
        <v>40</v>
      </c>
      <c r="AB36">
        <v>1</v>
      </c>
    </row>
    <row r="37" spans="1:28" x14ac:dyDescent="0.3">
      <c r="A37">
        <v>36</v>
      </c>
      <c r="B37" t="s">
        <v>41</v>
      </c>
      <c r="C37" t="s">
        <v>42</v>
      </c>
      <c r="D37" t="s">
        <v>43</v>
      </c>
      <c r="E37">
        <v>45</v>
      </c>
      <c r="F37" t="s">
        <v>29</v>
      </c>
      <c r="G37" t="s">
        <v>30</v>
      </c>
      <c r="H37">
        <v>4746</v>
      </c>
      <c r="I37" t="s">
        <v>45</v>
      </c>
      <c r="J37" t="s">
        <v>46</v>
      </c>
      <c r="K37" t="s">
        <v>76</v>
      </c>
      <c r="L37" t="s">
        <v>77</v>
      </c>
      <c r="M37">
        <v>4</v>
      </c>
      <c r="N37" t="s">
        <v>34</v>
      </c>
      <c r="O37" t="s">
        <v>35</v>
      </c>
      <c r="P37" t="s">
        <v>36</v>
      </c>
      <c r="Q37">
        <v>2</v>
      </c>
      <c r="R37" t="s">
        <v>60</v>
      </c>
      <c r="S37">
        <v>25</v>
      </c>
      <c r="T37" t="s">
        <v>98</v>
      </c>
      <c r="U37" t="s">
        <v>36</v>
      </c>
      <c r="V37" t="s">
        <v>38</v>
      </c>
      <c r="W37">
        <v>2</v>
      </c>
      <c r="X37" t="s">
        <v>57</v>
      </c>
      <c r="Y37">
        <v>1</v>
      </c>
      <c r="Z37" t="s">
        <v>51</v>
      </c>
      <c r="AA37" t="s">
        <v>40</v>
      </c>
      <c r="AB37">
        <v>2</v>
      </c>
    </row>
    <row r="38" spans="1:28" x14ac:dyDescent="0.3">
      <c r="A38">
        <v>37</v>
      </c>
      <c r="B38" t="s">
        <v>26</v>
      </c>
      <c r="C38" t="s">
        <v>52</v>
      </c>
      <c r="D38" t="s">
        <v>53</v>
      </c>
      <c r="E38">
        <v>48</v>
      </c>
      <c r="F38" t="s">
        <v>29</v>
      </c>
      <c r="G38" t="s">
        <v>54</v>
      </c>
      <c r="H38">
        <v>6110</v>
      </c>
      <c r="I38" t="s">
        <v>45</v>
      </c>
      <c r="J38" t="s">
        <v>46</v>
      </c>
      <c r="K38" t="s">
        <v>47</v>
      </c>
      <c r="L38" t="s">
        <v>48</v>
      </c>
      <c r="M38">
        <v>1</v>
      </c>
      <c r="N38" t="s">
        <v>34</v>
      </c>
      <c r="O38" t="s">
        <v>35</v>
      </c>
      <c r="P38" t="s">
        <v>36</v>
      </c>
      <c r="Q38">
        <v>3</v>
      </c>
      <c r="R38" t="s">
        <v>64</v>
      </c>
      <c r="S38">
        <v>31</v>
      </c>
      <c r="T38" t="s">
        <v>98</v>
      </c>
      <c r="U38" t="s">
        <v>82</v>
      </c>
      <c r="V38" t="s">
        <v>61</v>
      </c>
      <c r="W38">
        <v>1</v>
      </c>
      <c r="X38" t="s">
        <v>39</v>
      </c>
      <c r="Y38">
        <v>1</v>
      </c>
      <c r="Z38" t="s">
        <v>40</v>
      </c>
      <c r="AA38" t="s">
        <v>40</v>
      </c>
      <c r="AB38">
        <v>1</v>
      </c>
    </row>
    <row r="39" spans="1:28" x14ac:dyDescent="0.3">
      <c r="A39">
        <v>38</v>
      </c>
      <c r="B39" t="s">
        <v>41</v>
      </c>
      <c r="C39" t="s">
        <v>83</v>
      </c>
      <c r="D39" t="s">
        <v>84</v>
      </c>
      <c r="E39">
        <v>18</v>
      </c>
      <c r="F39" t="s">
        <v>44</v>
      </c>
      <c r="G39" t="s">
        <v>30</v>
      </c>
      <c r="H39">
        <v>2100</v>
      </c>
      <c r="I39" t="s">
        <v>45</v>
      </c>
      <c r="J39" t="s">
        <v>46</v>
      </c>
      <c r="K39" t="s">
        <v>47</v>
      </c>
      <c r="L39" t="s">
        <v>48</v>
      </c>
      <c r="M39">
        <v>4</v>
      </c>
      <c r="N39" t="s">
        <v>34</v>
      </c>
      <c r="O39" t="s">
        <v>35</v>
      </c>
      <c r="P39" t="s">
        <v>87</v>
      </c>
      <c r="Q39">
        <v>2</v>
      </c>
      <c r="R39" t="s">
        <v>37</v>
      </c>
      <c r="S39">
        <v>37</v>
      </c>
      <c r="T39" t="s">
        <v>98</v>
      </c>
      <c r="U39" t="s">
        <v>86</v>
      </c>
      <c r="V39" t="s">
        <v>38</v>
      </c>
      <c r="W39">
        <v>1</v>
      </c>
      <c r="X39" t="s">
        <v>39</v>
      </c>
      <c r="Y39">
        <v>1</v>
      </c>
      <c r="Z39" t="s">
        <v>51</v>
      </c>
      <c r="AA39" t="s">
        <v>40</v>
      </c>
      <c r="AB39">
        <v>2</v>
      </c>
    </row>
    <row r="40" spans="1:28" x14ac:dyDescent="0.3">
      <c r="A40">
        <v>39</v>
      </c>
      <c r="B40" t="s">
        <v>26</v>
      </c>
      <c r="C40" t="s">
        <v>83</v>
      </c>
      <c r="D40" t="s">
        <v>84</v>
      </c>
      <c r="E40">
        <v>10</v>
      </c>
      <c r="F40" t="s">
        <v>44</v>
      </c>
      <c r="G40" t="s">
        <v>88</v>
      </c>
      <c r="H40">
        <v>1225</v>
      </c>
      <c r="I40" t="s">
        <v>45</v>
      </c>
      <c r="J40" t="s">
        <v>46</v>
      </c>
      <c r="K40" t="s">
        <v>47</v>
      </c>
      <c r="L40" t="s">
        <v>48</v>
      </c>
      <c r="M40">
        <v>2</v>
      </c>
      <c r="N40" t="s">
        <v>34</v>
      </c>
      <c r="O40" t="s">
        <v>35</v>
      </c>
      <c r="P40" t="s">
        <v>36</v>
      </c>
      <c r="Q40">
        <v>2</v>
      </c>
      <c r="R40" t="s">
        <v>68</v>
      </c>
      <c r="S40">
        <v>37</v>
      </c>
      <c r="T40" t="s">
        <v>98</v>
      </c>
      <c r="U40" t="s">
        <v>36</v>
      </c>
      <c r="V40" t="s">
        <v>38</v>
      </c>
      <c r="W40">
        <v>1</v>
      </c>
      <c r="X40" t="s">
        <v>39</v>
      </c>
      <c r="Y40">
        <v>1</v>
      </c>
      <c r="Z40" t="s">
        <v>40</v>
      </c>
      <c r="AA40" t="s">
        <v>40</v>
      </c>
      <c r="AB40">
        <v>1</v>
      </c>
    </row>
    <row r="41" spans="1:28" x14ac:dyDescent="0.3">
      <c r="A41">
        <v>40</v>
      </c>
      <c r="B41" t="s">
        <v>26</v>
      </c>
      <c r="C41" t="s">
        <v>42</v>
      </c>
      <c r="D41" t="s">
        <v>43</v>
      </c>
      <c r="E41">
        <v>9</v>
      </c>
      <c r="F41" t="s">
        <v>44</v>
      </c>
      <c r="G41" t="s">
        <v>30</v>
      </c>
      <c r="H41">
        <v>458</v>
      </c>
      <c r="I41" t="s">
        <v>45</v>
      </c>
      <c r="J41" t="s">
        <v>46</v>
      </c>
      <c r="K41" t="s">
        <v>47</v>
      </c>
      <c r="L41" t="s">
        <v>48</v>
      </c>
      <c r="M41">
        <v>4</v>
      </c>
      <c r="N41" t="s">
        <v>34</v>
      </c>
      <c r="O41" t="s">
        <v>35</v>
      </c>
      <c r="P41" t="s">
        <v>36</v>
      </c>
      <c r="Q41">
        <v>3</v>
      </c>
      <c r="R41" t="s">
        <v>37</v>
      </c>
      <c r="S41">
        <v>24</v>
      </c>
      <c r="T41" t="s">
        <v>96</v>
      </c>
      <c r="U41" t="s">
        <v>36</v>
      </c>
      <c r="V41" t="s">
        <v>38</v>
      </c>
      <c r="W41">
        <v>1</v>
      </c>
      <c r="X41" t="s">
        <v>39</v>
      </c>
      <c r="Y41">
        <v>1</v>
      </c>
      <c r="Z41" t="s">
        <v>51</v>
      </c>
      <c r="AA41" t="s">
        <v>40</v>
      </c>
      <c r="AB41">
        <v>1</v>
      </c>
    </row>
    <row r="42" spans="1:28" x14ac:dyDescent="0.3">
      <c r="A42">
        <v>41</v>
      </c>
      <c r="B42" t="s">
        <v>26</v>
      </c>
      <c r="C42" t="s">
        <v>52</v>
      </c>
      <c r="D42" t="s">
        <v>53</v>
      </c>
      <c r="E42">
        <v>30</v>
      </c>
      <c r="F42" t="s">
        <v>44</v>
      </c>
      <c r="G42" t="s">
        <v>30</v>
      </c>
      <c r="H42">
        <v>2333</v>
      </c>
      <c r="I42" t="s">
        <v>65</v>
      </c>
      <c r="J42" t="s">
        <v>66</v>
      </c>
      <c r="K42" t="s">
        <v>32</v>
      </c>
      <c r="L42" t="s">
        <v>33</v>
      </c>
      <c r="M42">
        <v>4</v>
      </c>
      <c r="N42" t="s">
        <v>34</v>
      </c>
      <c r="O42" t="s">
        <v>35</v>
      </c>
      <c r="P42" t="s">
        <v>36</v>
      </c>
      <c r="Q42">
        <v>2</v>
      </c>
      <c r="R42" t="s">
        <v>68</v>
      </c>
      <c r="S42">
        <v>30</v>
      </c>
      <c r="T42" t="s">
        <v>98</v>
      </c>
      <c r="U42" t="s">
        <v>82</v>
      </c>
      <c r="V42" t="s">
        <v>38</v>
      </c>
      <c r="W42">
        <v>1</v>
      </c>
      <c r="X42" t="s">
        <v>70</v>
      </c>
      <c r="Y42">
        <v>1</v>
      </c>
      <c r="Z42" t="s">
        <v>51</v>
      </c>
      <c r="AA42" t="s">
        <v>40</v>
      </c>
      <c r="AB42">
        <v>1</v>
      </c>
    </row>
    <row r="43" spans="1:28" x14ac:dyDescent="0.3">
      <c r="A43">
        <v>42</v>
      </c>
      <c r="B43" t="s">
        <v>26</v>
      </c>
      <c r="C43" t="s">
        <v>42</v>
      </c>
      <c r="D43" t="s">
        <v>43</v>
      </c>
      <c r="E43">
        <v>12</v>
      </c>
      <c r="F43" t="s">
        <v>44</v>
      </c>
      <c r="G43" t="s">
        <v>30</v>
      </c>
      <c r="H43">
        <v>1158</v>
      </c>
      <c r="I43" t="s">
        <v>65</v>
      </c>
      <c r="J43" t="s">
        <v>66</v>
      </c>
      <c r="K43" t="s">
        <v>47</v>
      </c>
      <c r="L43" t="s">
        <v>48</v>
      </c>
      <c r="M43">
        <v>3</v>
      </c>
      <c r="N43" t="s">
        <v>34</v>
      </c>
      <c r="O43" t="s">
        <v>73</v>
      </c>
      <c r="P43" t="s">
        <v>36</v>
      </c>
      <c r="Q43">
        <v>1</v>
      </c>
      <c r="R43" t="s">
        <v>68</v>
      </c>
      <c r="S43">
        <v>26</v>
      </c>
      <c r="T43" t="s">
        <v>98</v>
      </c>
      <c r="U43" t="s">
        <v>36</v>
      </c>
      <c r="V43" t="s">
        <v>38</v>
      </c>
      <c r="W43">
        <v>1</v>
      </c>
      <c r="X43" t="s">
        <v>39</v>
      </c>
      <c r="Y43">
        <v>1</v>
      </c>
      <c r="Z43" t="s">
        <v>40</v>
      </c>
      <c r="AA43" t="s">
        <v>40</v>
      </c>
      <c r="AB43">
        <v>1</v>
      </c>
    </row>
    <row r="44" spans="1:28" x14ac:dyDescent="0.3">
      <c r="A44">
        <v>43</v>
      </c>
      <c r="B44" t="s">
        <v>26</v>
      </c>
      <c r="C44" t="s">
        <v>42</v>
      </c>
      <c r="D44" t="s">
        <v>43</v>
      </c>
      <c r="E44">
        <v>18</v>
      </c>
      <c r="F44" t="s">
        <v>62</v>
      </c>
      <c r="G44" t="s">
        <v>89</v>
      </c>
      <c r="H44">
        <v>6204</v>
      </c>
      <c r="I44" t="s">
        <v>45</v>
      </c>
      <c r="J44" t="s">
        <v>46</v>
      </c>
      <c r="K44" t="s">
        <v>47</v>
      </c>
      <c r="L44" t="s">
        <v>48</v>
      </c>
      <c r="M44">
        <v>2</v>
      </c>
      <c r="N44" t="s">
        <v>34</v>
      </c>
      <c r="O44" t="s">
        <v>35</v>
      </c>
      <c r="P44" t="s">
        <v>36</v>
      </c>
      <c r="Q44">
        <v>4</v>
      </c>
      <c r="R44" t="s">
        <v>37</v>
      </c>
      <c r="S44">
        <v>44</v>
      </c>
      <c r="T44" t="s">
        <v>97</v>
      </c>
      <c r="U44" t="s">
        <v>36</v>
      </c>
      <c r="V44" t="s">
        <v>38</v>
      </c>
      <c r="W44">
        <v>1</v>
      </c>
      <c r="X44" t="s">
        <v>57</v>
      </c>
      <c r="Y44">
        <v>2</v>
      </c>
      <c r="Z44" t="s">
        <v>40</v>
      </c>
      <c r="AA44" t="s">
        <v>40</v>
      </c>
      <c r="AB44">
        <v>1</v>
      </c>
    </row>
    <row r="45" spans="1:28" x14ac:dyDescent="0.3">
      <c r="A45">
        <v>44</v>
      </c>
      <c r="B45" t="s">
        <v>26</v>
      </c>
      <c r="C45" t="s">
        <v>27</v>
      </c>
      <c r="D45" t="s">
        <v>28</v>
      </c>
      <c r="E45">
        <v>30</v>
      </c>
      <c r="F45" t="s">
        <v>29</v>
      </c>
      <c r="G45" t="s">
        <v>67</v>
      </c>
      <c r="H45">
        <v>6187</v>
      </c>
      <c r="I45" t="s">
        <v>79</v>
      </c>
      <c r="J45" t="s">
        <v>80</v>
      </c>
      <c r="K45" t="s">
        <v>55</v>
      </c>
      <c r="L45" t="s">
        <v>56</v>
      </c>
      <c r="M45">
        <v>1</v>
      </c>
      <c r="N45" t="s">
        <v>34</v>
      </c>
      <c r="O45" t="s">
        <v>75</v>
      </c>
      <c r="P45" t="s">
        <v>36</v>
      </c>
      <c r="Q45">
        <v>4</v>
      </c>
      <c r="R45" t="s">
        <v>68</v>
      </c>
      <c r="S45">
        <v>24</v>
      </c>
      <c r="T45" t="s">
        <v>96</v>
      </c>
      <c r="U45" t="s">
        <v>36</v>
      </c>
      <c r="V45" t="s">
        <v>69</v>
      </c>
      <c r="W45">
        <v>2</v>
      </c>
      <c r="X45" t="s">
        <v>39</v>
      </c>
      <c r="Y45">
        <v>1</v>
      </c>
      <c r="Z45" t="s">
        <v>51</v>
      </c>
      <c r="AA45" t="s">
        <v>40</v>
      </c>
      <c r="AB45">
        <v>1</v>
      </c>
    </row>
    <row r="46" spans="1:28" x14ac:dyDescent="0.3">
      <c r="A46">
        <v>45</v>
      </c>
      <c r="B46" t="s">
        <v>41</v>
      </c>
      <c r="C46" t="s">
        <v>27</v>
      </c>
      <c r="D46" t="s">
        <v>28</v>
      </c>
      <c r="E46">
        <v>48</v>
      </c>
      <c r="F46" t="s">
        <v>29</v>
      </c>
      <c r="G46" t="s">
        <v>67</v>
      </c>
      <c r="H46">
        <v>6143</v>
      </c>
      <c r="I46" t="s">
        <v>45</v>
      </c>
      <c r="J46" t="s">
        <v>46</v>
      </c>
      <c r="K46" t="s">
        <v>32</v>
      </c>
      <c r="L46" t="s">
        <v>33</v>
      </c>
      <c r="M46">
        <v>4</v>
      </c>
      <c r="N46" t="s">
        <v>49</v>
      </c>
      <c r="O46" t="s">
        <v>50</v>
      </c>
      <c r="P46" t="s">
        <v>36</v>
      </c>
      <c r="Q46">
        <v>4</v>
      </c>
      <c r="R46" t="s">
        <v>64</v>
      </c>
      <c r="S46">
        <v>58</v>
      </c>
      <c r="T46" t="s">
        <v>97</v>
      </c>
      <c r="U46" t="s">
        <v>86</v>
      </c>
      <c r="V46" t="s">
        <v>61</v>
      </c>
      <c r="W46">
        <v>2</v>
      </c>
      <c r="X46" t="s">
        <v>57</v>
      </c>
      <c r="Y46">
        <v>1</v>
      </c>
      <c r="Z46" t="s">
        <v>51</v>
      </c>
      <c r="AA46" t="s">
        <v>40</v>
      </c>
      <c r="AB46">
        <v>2</v>
      </c>
    </row>
    <row r="47" spans="1:28" x14ac:dyDescent="0.3">
      <c r="A47">
        <v>46</v>
      </c>
      <c r="B47" t="s">
        <v>26</v>
      </c>
      <c r="C47" t="s">
        <v>52</v>
      </c>
      <c r="D47" t="s">
        <v>53</v>
      </c>
      <c r="E47">
        <v>11</v>
      </c>
      <c r="F47" t="s">
        <v>29</v>
      </c>
      <c r="G47" t="s">
        <v>63</v>
      </c>
      <c r="H47">
        <v>1393</v>
      </c>
      <c r="I47" t="s">
        <v>45</v>
      </c>
      <c r="J47" t="s">
        <v>46</v>
      </c>
      <c r="K47" t="s">
        <v>76</v>
      </c>
      <c r="L47" t="s">
        <v>77</v>
      </c>
      <c r="M47">
        <v>4</v>
      </c>
      <c r="N47" t="s">
        <v>49</v>
      </c>
      <c r="O47" t="s">
        <v>50</v>
      </c>
      <c r="P47" t="s">
        <v>36</v>
      </c>
      <c r="Q47">
        <v>4</v>
      </c>
      <c r="R47" t="s">
        <v>68</v>
      </c>
      <c r="S47">
        <v>35</v>
      </c>
      <c r="T47" t="s">
        <v>98</v>
      </c>
      <c r="U47" t="s">
        <v>36</v>
      </c>
      <c r="V47" t="s">
        <v>38</v>
      </c>
      <c r="W47">
        <v>2</v>
      </c>
      <c r="X47" t="s">
        <v>70</v>
      </c>
      <c r="Y47">
        <v>1</v>
      </c>
      <c r="Z47" t="s">
        <v>51</v>
      </c>
      <c r="AA47" t="s">
        <v>40</v>
      </c>
      <c r="AB47">
        <v>1</v>
      </c>
    </row>
    <row r="48" spans="1:28" x14ac:dyDescent="0.3">
      <c r="A48">
        <v>47</v>
      </c>
      <c r="B48" t="s">
        <v>26</v>
      </c>
      <c r="C48" t="s">
        <v>52</v>
      </c>
      <c r="D48" t="s">
        <v>53</v>
      </c>
      <c r="E48">
        <v>36</v>
      </c>
      <c r="F48" t="s">
        <v>44</v>
      </c>
      <c r="G48" t="s">
        <v>30</v>
      </c>
      <c r="H48">
        <v>2299</v>
      </c>
      <c r="I48" t="s">
        <v>65</v>
      </c>
      <c r="J48" t="s">
        <v>66</v>
      </c>
      <c r="K48" t="s">
        <v>32</v>
      </c>
      <c r="L48" t="s">
        <v>33</v>
      </c>
      <c r="M48">
        <v>4</v>
      </c>
      <c r="N48" t="s">
        <v>34</v>
      </c>
      <c r="O48" t="s">
        <v>35</v>
      </c>
      <c r="P48" t="s">
        <v>36</v>
      </c>
      <c r="Q48">
        <v>4</v>
      </c>
      <c r="R48" t="s">
        <v>68</v>
      </c>
      <c r="S48">
        <v>39</v>
      </c>
      <c r="T48" t="s">
        <v>98</v>
      </c>
      <c r="U48" t="s">
        <v>36</v>
      </c>
      <c r="V48" t="s">
        <v>38</v>
      </c>
      <c r="W48">
        <v>1</v>
      </c>
      <c r="X48" t="s">
        <v>39</v>
      </c>
      <c r="Y48">
        <v>1</v>
      </c>
      <c r="Z48" t="s">
        <v>51</v>
      </c>
      <c r="AA48" t="s">
        <v>40</v>
      </c>
      <c r="AB48">
        <v>1</v>
      </c>
    </row>
    <row r="49" spans="1:28" x14ac:dyDescent="0.3">
      <c r="A49">
        <v>48</v>
      </c>
      <c r="B49" t="s">
        <v>26</v>
      </c>
      <c r="C49" t="s">
        <v>27</v>
      </c>
      <c r="D49" t="s">
        <v>28</v>
      </c>
      <c r="E49">
        <v>6</v>
      </c>
      <c r="F49" t="s">
        <v>44</v>
      </c>
      <c r="G49" t="s">
        <v>67</v>
      </c>
      <c r="H49">
        <v>1352</v>
      </c>
      <c r="I49" t="s">
        <v>65</v>
      </c>
      <c r="J49" t="s">
        <v>66</v>
      </c>
      <c r="K49" t="s">
        <v>74</v>
      </c>
      <c r="L49" t="s">
        <v>74</v>
      </c>
      <c r="M49">
        <v>1</v>
      </c>
      <c r="N49" t="s">
        <v>49</v>
      </c>
      <c r="O49" t="s">
        <v>50</v>
      </c>
      <c r="P49" t="s">
        <v>36</v>
      </c>
      <c r="Q49">
        <v>2</v>
      </c>
      <c r="R49" t="s">
        <v>60</v>
      </c>
      <c r="S49">
        <v>23</v>
      </c>
      <c r="T49" t="s">
        <v>96</v>
      </c>
      <c r="U49" t="s">
        <v>36</v>
      </c>
      <c r="V49" t="s">
        <v>69</v>
      </c>
      <c r="W49">
        <v>1</v>
      </c>
      <c r="X49" t="s">
        <v>90</v>
      </c>
      <c r="Y49">
        <v>1</v>
      </c>
      <c r="Z49" t="s">
        <v>40</v>
      </c>
      <c r="AA49" t="s">
        <v>40</v>
      </c>
      <c r="AB49">
        <v>1</v>
      </c>
    </row>
    <row r="50" spans="1:28" x14ac:dyDescent="0.3">
      <c r="A50">
        <v>49</v>
      </c>
      <c r="B50" t="s">
        <v>26</v>
      </c>
      <c r="C50" t="s">
        <v>52</v>
      </c>
      <c r="D50" t="s">
        <v>53</v>
      </c>
      <c r="E50">
        <v>11</v>
      </c>
      <c r="F50" t="s">
        <v>29</v>
      </c>
      <c r="G50" t="s">
        <v>63</v>
      </c>
      <c r="H50">
        <v>7228</v>
      </c>
      <c r="I50" t="s">
        <v>45</v>
      </c>
      <c r="J50" t="s">
        <v>46</v>
      </c>
      <c r="K50" t="s">
        <v>47</v>
      </c>
      <c r="L50" t="s">
        <v>48</v>
      </c>
      <c r="M50">
        <v>1</v>
      </c>
      <c r="N50" t="s">
        <v>34</v>
      </c>
      <c r="O50" t="s">
        <v>35</v>
      </c>
      <c r="P50" t="s">
        <v>36</v>
      </c>
      <c r="Q50">
        <v>4</v>
      </c>
      <c r="R50" t="s">
        <v>60</v>
      </c>
      <c r="S50">
        <v>39</v>
      </c>
      <c r="T50" t="s">
        <v>98</v>
      </c>
      <c r="U50" t="s">
        <v>36</v>
      </c>
      <c r="V50" t="s">
        <v>38</v>
      </c>
      <c r="W50">
        <v>2</v>
      </c>
      <c r="X50" t="s">
        <v>57</v>
      </c>
      <c r="Y50">
        <v>1</v>
      </c>
      <c r="Z50" t="s">
        <v>51</v>
      </c>
      <c r="AA50" t="s">
        <v>40</v>
      </c>
      <c r="AB50">
        <v>1</v>
      </c>
    </row>
    <row r="51" spans="1:28" x14ac:dyDescent="0.3">
      <c r="A51">
        <v>50</v>
      </c>
      <c r="B51" t="s">
        <v>26</v>
      </c>
      <c r="C51" t="s">
        <v>52</v>
      </c>
      <c r="D51" t="s">
        <v>53</v>
      </c>
      <c r="E51">
        <v>12</v>
      </c>
      <c r="F51" t="s">
        <v>44</v>
      </c>
      <c r="G51" t="s">
        <v>30</v>
      </c>
      <c r="H51">
        <v>2073</v>
      </c>
      <c r="I51" t="s">
        <v>79</v>
      </c>
      <c r="J51" t="s">
        <v>80</v>
      </c>
      <c r="K51" t="s">
        <v>47</v>
      </c>
      <c r="L51" t="s">
        <v>48</v>
      </c>
      <c r="M51">
        <v>4</v>
      </c>
      <c r="N51" t="s">
        <v>49</v>
      </c>
      <c r="O51" t="s">
        <v>50</v>
      </c>
      <c r="P51" t="s">
        <v>87</v>
      </c>
      <c r="Q51">
        <v>2</v>
      </c>
      <c r="R51" t="s">
        <v>37</v>
      </c>
      <c r="S51">
        <v>28</v>
      </c>
      <c r="T51" t="s">
        <v>98</v>
      </c>
      <c r="U51" t="s">
        <v>36</v>
      </c>
      <c r="V51" t="s">
        <v>38</v>
      </c>
      <c r="W51">
        <v>1</v>
      </c>
      <c r="X51" t="s">
        <v>39</v>
      </c>
      <c r="Y51">
        <v>1</v>
      </c>
      <c r="Z51" t="s">
        <v>51</v>
      </c>
      <c r="AA51" t="s">
        <v>40</v>
      </c>
      <c r="AB51">
        <v>1</v>
      </c>
    </row>
    <row r="52" spans="1:28" x14ac:dyDescent="0.3">
      <c r="A52">
        <v>51</v>
      </c>
      <c r="B52" t="s">
        <v>26</v>
      </c>
      <c r="C52" t="s">
        <v>42</v>
      </c>
      <c r="D52" t="s">
        <v>43</v>
      </c>
      <c r="E52">
        <v>24</v>
      </c>
      <c r="F52" t="s">
        <v>62</v>
      </c>
      <c r="G52" t="s">
        <v>58</v>
      </c>
      <c r="H52">
        <v>2333</v>
      </c>
      <c r="I52" t="s">
        <v>31</v>
      </c>
      <c r="J52" t="s">
        <v>31</v>
      </c>
      <c r="K52" t="s">
        <v>76</v>
      </c>
      <c r="L52" t="s">
        <v>77</v>
      </c>
      <c r="M52">
        <v>4</v>
      </c>
      <c r="N52" t="s">
        <v>34</v>
      </c>
      <c r="O52" t="s">
        <v>35</v>
      </c>
      <c r="P52" t="s">
        <v>36</v>
      </c>
      <c r="Q52">
        <v>2</v>
      </c>
      <c r="R52" t="s">
        <v>60</v>
      </c>
      <c r="S52">
        <v>29</v>
      </c>
      <c r="T52" t="s">
        <v>98</v>
      </c>
      <c r="U52" t="s">
        <v>82</v>
      </c>
      <c r="V52" t="s">
        <v>38</v>
      </c>
      <c r="W52">
        <v>1</v>
      </c>
      <c r="X52" t="s">
        <v>57</v>
      </c>
      <c r="Y52">
        <v>1</v>
      </c>
      <c r="Z52" t="s">
        <v>51</v>
      </c>
      <c r="AA52" t="s">
        <v>40</v>
      </c>
      <c r="AB52">
        <v>1</v>
      </c>
    </row>
    <row r="53" spans="1:28" x14ac:dyDescent="0.3">
      <c r="A53">
        <v>52</v>
      </c>
      <c r="B53" t="s">
        <v>26</v>
      </c>
      <c r="C53" t="s">
        <v>42</v>
      </c>
      <c r="D53" t="s">
        <v>43</v>
      </c>
      <c r="E53">
        <v>27</v>
      </c>
      <c r="F53" t="s">
        <v>62</v>
      </c>
      <c r="G53" t="s">
        <v>67</v>
      </c>
      <c r="H53">
        <v>5965</v>
      </c>
      <c r="I53" t="s">
        <v>45</v>
      </c>
      <c r="J53" t="s">
        <v>46</v>
      </c>
      <c r="K53" t="s">
        <v>32</v>
      </c>
      <c r="L53" t="s">
        <v>33</v>
      </c>
      <c r="M53">
        <v>1</v>
      </c>
      <c r="N53" t="s">
        <v>34</v>
      </c>
      <c r="O53" t="s">
        <v>35</v>
      </c>
      <c r="P53" t="s">
        <v>36</v>
      </c>
      <c r="Q53">
        <v>2</v>
      </c>
      <c r="R53" t="s">
        <v>68</v>
      </c>
      <c r="S53">
        <v>30</v>
      </c>
      <c r="T53" t="s">
        <v>98</v>
      </c>
      <c r="U53" t="s">
        <v>36</v>
      </c>
      <c r="V53" t="s">
        <v>38</v>
      </c>
      <c r="W53">
        <v>2</v>
      </c>
      <c r="X53" t="s">
        <v>70</v>
      </c>
      <c r="Y53">
        <v>1</v>
      </c>
      <c r="Z53" t="s">
        <v>40</v>
      </c>
      <c r="AA53" t="s">
        <v>40</v>
      </c>
      <c r="AB53">
        <v>1</v>
      </c>
    </row>
    <row r="54" spans="1:28" x14ac:dyDescent="0.3">
      <c r="A54">
        <v>53</v>
      </c>
      <c r="B54" t="s">
        <v>26</v>
      </c>
      <c r="C54" t="s">
        <v>52</v>
      </c>
      <c r="D54" t="s">
        <v>53</v>
      </c>
      <c r="E54">
        <v>12</v>
      </c>
      <c r="F54" t="s">
        <v>44</v>
      </c>
      <c r="G54" t="s">
        <v>30</v>
      </c>
      <c r="H54">
        <v>1262</v>
      </c>
      <c r="I54" t="s">
        <v>45</v>
      </c>
      <c r="J54" t="s">
        <v>46</v>
      </c>
      <c r="K54" t="s">
        <v>47</v>
      </c>
      <c r="L54" t="s">
        <v>48</v>
      </c>
      <c r="M54">
        <v>3</v>
      </c>
      <c r="N54" t="s">
        <v>34</v>
      </c>
      <c r="O54" t="s">
        <v>35</v>
      </c>
      <c r="P54" t="s">
        <v>36</v>
      </c>
      <c r="Q54">
        <v>2</v>
      </c>
      <c r="R54" t="s">
        <v>68</v>
      </c>
      <c r="S54">
        <v>25</v>
      </c>
      <c r="T54" t="s">
        <v>98</v>
      </c>
      <c r="U54" t="s">
        <v>36</v>
      </c>
      <c r="V54" t="s">
        <v>38</v>
      </c>
      <c r="W54">
        <v>1</v>
      </c>
      <c r="X54" t="s">
        <v>39</v>
      </c>
      <c r="Y54">
        <v>1</v>
      </c>
      <c r="Z54" t="s">
        <v>51</v>
      </c>
      <c r="AA54" t="s">
        <v>40</v>
      </c>
      <c r="AB54">
        <v>1</v>
      </c>
    </row>
    <row r="55" spans="1:28" x14ac:dyDescent="0.3">
      <c r="A55">
        <v>54</v>
      </c>
      <c r="B55" t="s">
        <v>26</v>
      </c>
      <c r="C55" t="s">
        <v>52</v>
      </c>
      <c r="D55" t="s">
        <v>53</v>
      </c>
      <c r="E55">
        <v>18</v>
      </c>
      <c r="F55" t="s">
        <v>44</v>
      </c>
      <c r="G55" t="s">
        <v>67</v>
      </c>
      <c r="H55">
        <v>3378</v>
      </c>
      <c r="I55" t="s">
        <v>31</v>
      </c>
      <c r="J55" t="s">
        <v>31</v>
      </c>
      <c r="K55" t="s">
        <v>47</v>
      </c>
      <c r="L55" t="s">
        <v>48</v>
      </c>
      <c r="M55">
        <v>2</v>
      </c>
      <c r="N55" t="s">
        <v>34</v>
      </c>
      <c r="O55" t="s">
        <v>35</v>
      </c>
      <c r="P55" t="s">
        <v>36</v>
      </c>
      <c r="Q55">
        <v>1</v>
      </c>
      <c r="R55" t="s">
        <v>60</v>
      </c>
      <c r="S55">
        <v>31</v>
      </c>
      <c r="T55" t="s">
        <v>98</v>
      </c>
      <c r="U55" t="s">
        <v>36</v>
      </c>
      <c r="V55" t="s">
        <v>38</v>
      </c>
      <c r="W55">
        <v>1</v>
      </c>
      <c r="X55" t="s">
        <v>39</v>
      </c>
      <c r="Y55">
        <v>1</v>
      </c>
      <c r="Z55" t="s">
        <v>40</v>
      </c>
      <c r="AA55" t="s">
        <v>40</v>
      </c>
      <c r="AB55">
        <v>1</v>
      </c>
    </row>
    <row r="56" spans="1:28" x14ac:dyDescent="0.3">
      <c r="A56">
        <v>55</v>
      </c>
      <c r="B56" t="s">
        <v>41</v>
      </c>
      <c r="C56" t="s">
        <v>42</v>
      </c>
      <c r="D56" t="s">
        <v>43</v>
      </c>
      <c r="E56">
        <v>36</v>
      </c>
      <c r="F56" t="s">
        <v>62</v>
      </c>
      <c r="G56" t="s">
        <v>63</v>
      </c>
      <c r="H56">
        <v>2225</v>
      </c>
      <c r="I56" t="s">
        <v>45</v>
      </c>
      <c r="J56" t="s">
        <v>46</v>
      </c>
      <c r="K56" t="s">
        <v>32</v>
      </c>
      <c r="L56" t="s">
        <v>33</v>
      </c>
      <c r="M56">
        <v>4</v>
      </c>
      <c r="N56" t="s">
        <v>34</v>
      </c>
      <c r="O56" t="s">
        <v>35</v>
      </c>
      <c r="P56" t="s">
        <v>36</v>
      </c>
      <c r="Q56">
        <v>4</v>
      </c>
      <c r="R56" t="s">
        <v>64</v>
      </c>
      <c r="S56">
        <v>57</v>
      </c>
      <c r="T56" t="s">
        <v>97</v>
      </c>
      <c r="U56" t="s">
        <v>82</v>
      </c>
      <c r="V56" t="s">
        <v>61</v>
      </c>
      <c r="W56">
        <v>2</v>
      </c>
      <c r="X56" t="s">
        <v>39</v>
      </c>
      <c r="Y56">
        <v>1</v>
      </c>
      <c r="Z56" t="s">
        <v>40</v>
      </c>
      <c r="AA56" t="s">
        <v>40</v>
      </c>
      <c r="AB56">
        <v>2</v>
      </c>
    </row>
    <row r="57" spans="1:28" x14ac:dyDescent="0.3">
      <c r="A57">
        <v>56</v>
      </c>
      <c r="B57" t="s">
        <v>26</v>
      </c>
      <c r="C57" t="s">
        <v>52</v>
      </c>
      <c r="D57" t="s">
        <v>53</v>
      </c>
      <c r="E57">
        <v>6</v>
      </c>
      <c r="F57" t="s">
        <v>85</v>
      </c>
      <c r="G57" t="s">
        <v>63</v>
      </c>
      <c r="H57">
        <v>783</v>
      </c>
      <c r="I57" t="s">
        <v>31</v>
      </c>
      <c r="J57" t="s">
        <v>31</v>
      </c>
      <c r="K57" t="s">
        <v>47</v>
      </c>
      <c r="L57" t="s">
        <v>48</v>
      </c>
      <c r="M57">
        <v>1</v>
      </c>
      <c r="N57" t="s">
        <v>34</v>
      </c>
      <c r="O57" t="s">
        <v>35</v>
      </c>
      <c r="P57" t="s">
        <v>59</v>
      </c>
      <c r="Q57">
        <v>2</v>
      </c>
      <c r="R57" t="s">
        <v>37</v>
      </c>
      <c r="S57">
        <v>26</v>
      </c>
      <c r="T57" t="s">
        <v>98</v>
      </c>
      <c r="U57" t="s">
        <v>86</v>
      </c>
      <c r="V57" t="s">
        <v>38</v>
      </c>
      <c r="W57">
        <v>1</v>
      </c>
      <c r="X57" t="s">
        <v>57</v>
      </c>
      <c r="Y57">
        <v>2</v>
      </c>
      <c r="Z57" t="s">
        <v>51</v>
      </c>
      <c r="AA57" t="s">
        <v>40</v>
      </c>
      <c r="AB57">
        <v>1</v>
      </c>
    </row>
    <row r="58" spans="1:28" x14ac:dyDescent="0.3">
      <c r="A58">
        <v>57</v>
      </c>
      <c r="B58" t="s">
        <v>41</v>
      </c>
      <c r="C58" t="s">
        <v>42</v>
      </c>
      <c r="D58" t="s">
        <v>43</v>
      </c>
      <c r="E58">
        <v>12</v>
      </c>
      <c r="F58" t="s">
        <v>44</v>
      </c>
      <c r="G58" t="s">
        <v>30</v>
      </c>
      <c r="H58">
        <v>6468</v>
      </c>
      <c r="I58" t="s">
        <v>31</v>
      </c>
      <c r="J58" t="s">
        <v>31</v>
      </c>
      <c r="K58" t="s">
        <v>74</v>
      </c>
      <c r="L58" t="s">
        <v>74</v>
      </c>
      <c r="M58">
        <v>2</v>
      </c>
      <c r="N58" t="s">
        <v>34</v>
      </c>
      <c r="O58" t="s">
        <v>35</v>
      </c>
      <c r="P58" t="s">
        <v>36</v>
      </c>
      <c r="Q58">
        <v>1</v>
      </c>
      <c r="R58" t="s">
        <v>64</v>
      </c>
      <c r="S58">
        <v>52</v>
      </c>
      <c r="T58" t="s">
        <v>97</v>
      </c>
      <c r="U58" t="s">
        <v>36</v>
      </c>
      <c r="V58" t="s">
        <v>38</v>
      </c>
      <c r="W58">
        <v>1</v>
      </c>
      <c r="X58" t="s">
        <v>70</v>
      </c>
      <c r="Y58">
        <v>1</v>
      </c>
      <c r="Z58" t="s">
        <v>40</v>
      </c>
      <c r="AA58" t="s">
        <v>40</v>
      </c>
      <c r="AB58">
        <v>2</v>
      </c>
    </row>
    <row r="59" spans="1:28" x14ac:dyDescent="0.3">
      <c r="A59">
        <v>58</v>
      </c>
      <c r="B59" t="s">
        <v>26</v>
      </c>
      <c r="C59" t="s">
        <v>52</v>
      </c>
      <c r="D59" t="s">
        <v>53</v>
      </c>
      <c r="E59">
        <v>36</v>
      </c>
      <c r="F59" t="s">
        <v>29</v>
      </c>
      <c r="G59" t="s">
        <v>30</v>
      </c>
      <c r="H59">
        <v>9566</v>
      </c>
      <c r="I59" t="s">
        <v>45</v>
      </c>
      <c r="J59" t="s">
        <v>46</v>
      </c>
      <c r="K59" t="s">
        <v>47</v>
      </c>
      <c r="L59" t="s">
        <v>48</v>
      </c>
      <c r="M59">
        <v>2</v>
      </c>
      <c r="N59" t="s">
        <v>49</v>
      </c>
      <c r="O59" t="s">
        <v>50</v>
      </c>
      <c r="P59" t="s">
        <v>36</v>
      </c>
      <c r="Q59">
        <v>2</v>
      </c>
      <c r="R59" t="s">
        <v>68</v>
      </c>
      <c r="S59">
        <v>31</v>
      </c>
      <c r="T59" t="s">
        <v>98</v>
      </c>
      <c r="U59" t="s">
        <v>86</v>
      </c>
      <c r="V59" t="s">
        <v>38</v>
      </c>
      <c r="W59">
        <v>2</v>
      </c>
      <c r="X59" t="s">
        <v>39</v>
      </c>
      <c r="Y59">
        <v>1</v>
      </c>
      <c r="Z59" t="s">
        <v>51</v>
      </c>
      <c r="AA59" t="s">
        <v>40</v>
      </c>
      <c r="AB59">
        <v>1</v>
      </c>
    </row>
    <row r="60" spans="1:28" x14ac:dyDescent="0.3">
      <c r="A60">
        <v>59</v>
      </c>
      <c r="B60" t="s">
        <v>26</v>
      </c>
      <c r="C60" t="s">
        <v>83</v>
      </c>
      <c r="D60" t="s">
        <v>84</v>
      </c>
      <c r="E60">
        <v>18</v>
      </c>
      <c r="F60" t="s">
        <v>44</v>
      </c>
      <c r="G60" t="s">
        <v>63</v>
      </c>
      <c r="H60">
        <v>1961</v>
      </c>
      <c r="I60" t="s">
        <v>45</v>
      </c>
      <c r="J60" t="s">
        <v>46</v>
      </c>
      <c r="K60" t="s">
        <v>32</v>
      </c>
      <c r="L60" t="s">
        <v>33</v>
      </c>
      <c r="M60">
        <v>3</v>
      </c>
      <c r="N60" t="s">
        <v>49</v>
      </c>
      <c r="O60" t="s">
        <v>50</v>
      </c>
      <c r="P60" t="s">
        <v>36</v>
      </c>
      <c r="Q60">
        <v>2</v>
      </c>
      <c r="R60" t="s">
        <v>68</v>
      </c>
      <c r="S60">
        <v>23</v>
      </c>
      <c r="T60" t="s">
        <v>96</v>
      </c>
      <c r="U60" t="s">
        <v>36</v>
      </c>
      <c r="V60" t="s">
        <v>38</v>
      </c>
      <c r="W60">
        <v>1</v>
      </c>
      <c r="X60" t="s">
        <v>70</v>
      </c>
      <c r="Y60">
        <v>1</v>
      </c>
      <c r="Z60" t="s">
        <v>51</v>
      </c>
      <c r="AA60" t="s">
        <v>40</v>
      </c>
      <c r="AB60">
        <v>1</v>
      </c>
    </row>
    <row r="61" spans="1:28" x14ac:dyDescent="0.3">
      <c r="A61">
        <v>60</v>
      </c>
      <c r="B61" t="s">
        <v>41</v>
      </c>
      <c r="C61" t="s">
        <v>27</v>
      </c>
      <c r="D61" t="s">
        <v>28</v>
      </c>
      <c r="E61">
        <v>36</v>
      </c>
      <c r="F61" t="s">
        <v>29</v>
      </c>
      <c r="G61" t="s">
        <v>58</v>
      </c>
      <c r="H61">
        <v>6229</v>
      </c>
      <c r="I61" t="s">
        <v>45</v>
      </c>
      <c r="J61" t="s">
        <v>46</v>
      </c>
      <c r="K61" t="s">
        <v>76</v>
      </c>
      <c r="L61" t="s">
        <v>77</v>
      </c>
      <c r="M61">
        <v>4</v>
      </c>
      <c r="N61" t="s">
        <v>49</v>
      </c>
      <c r="O61" t="s">
        <v>50</v>
      </c>
      <c r="P61" t="s">
        <v>87</v>
      </c>
      <c r="Q61">
        <v>4</v>
      </c>
      <c r="R61" t="s">
        <v>64</v>
      </c>
      <c r="S61">
        <v>23</v>
      </c>
      <c r="T61" t="s">
        <v>96</v>
      </c>
      <c r="U61" t="s">
        <v>36</v>
      </c>
      <c r="V61" t="s">
        <v>69</v>
      </c>
      <c r="W61">
        <v>2</v>
      </c>
      <c r="X61" t="s">
        <v>57</v>
      </c>
      <c r="Y61">
        <v>1</v>
      </c>
      <c r="Z61" t="s">
        <v>40</v>
      </c>
      <c r="AA61" t="s">
        <v>40</v>
      </c>
      <c r="AB61">
        <v>2</v>
      </c>
    </row>
    <row r="62" spans="1:28" x14ac:dyDescent="0.3">
      <c r="A62">
        <v>61</v>
      </c>
      <c r="B62" t="s">
        <v>26</v>
      </c>
      <c r="C62" t="s">
        <v>42</v>
      </c>
      <c r="D62" t="s">
        <v>43</v>
      </c>
      <c r="E62">
        <v>9</v>
      </c>
      <c r="F62" t="s">
        <v>44</v>
      </c>
      <c r="G62" t="s">
        <v>78</v>
      </c>
      <c r="H62">
        <v>1391</v>
      </c>
      <c r="I62" t="s">
        <v>45</v>
      </c>
      <c r="J62" t="s">
        <v>46</v>
      </c>
      <c r="K62" t="s">
        <v>47</v>
      </c>
      <c r="L62" t="s">
        <v>48</v>
      </c>
      <c r="M62">
        <v>2</v>
      </c>
      <c r="N62" t="s">
        <v>34</v>
      </c>
      <c r="O62" t="s">
        <v>75</v>
      </c>
      <c r="P62" t="s">
        <v>36</v>
      </c>
      <c r="Q62">
        <v>1</v>
      </c>
      <c r="R62" t="s">
        <v>37</v>
      </c>
      <c r="S62">
        <v>27</v>
      </c>
      <c r="T62" t="s">
        <v>98</v>
      </c>
      <c r="U62" t="s">
        <v>82</v>
      </c>
      <c r="V62" t="s">
        <v>38</v>
      </c>
      <c r="W62">
        <v>1</v>
      </c>
      <c r="X62" t="s">
        <v>39</v>
      </c>
      <c r="Y62">
        <v>1</v>
      </c>
      <c r="Z62" t="s">
        <v>40</v>
      </c>
      <c r="AA62" t="s">
        <v>40</v>
      </c>
      <c r="AB62">
        <v>1</v>
      </c>
    </row>
    <row r="63" spans="1:28" x14ac:dyDescent="0.3">
      <c r="A63">
        <v>62</v>
      </c>
      <c r="B63" t="s">
        <v>26</v>
      </c>
      <c r="C63" t="s">
        <v>42</v>
      </c>
      <c r="D63" t="s">
        <v>43</v>
      </c>
      <c r="E63">
        <v>15</v>
      </c>
      <c r="F63" t="s">
        <v>29</v>
      </c>
      <c r="G63" t="s">
        <v>30</v>
      </c>
      <c r="H63">
        <v>1537</v>
      </c>
      <c r="I63" t="s">
        <v>31</v>
      </c>
      <c r="J63" t="s">
        <v>31</v>
      </c>
      <c r="K63" t="s">
        <v>32</v>
      </c>
      <c r="L63" t="s">
        <v>33</v>
      </c>
      <c r="M63">
        <v>4</v>
      </c>
      <c r="N63" t="s">
        <v>34</v>
      </c>
      <c r="O63" t="s">
        <v>35</v>
      </c>
      <c r="P63" t="s">
        <v>59</v>
      </c>
      <c r="Q63">
        <v>4</v>
      </c>
      <c r="R63" t="s">
        <v>37</v>
      </c>
      <c r="S63">
        <v>50</v>
      </c>
      <c r="T63" t="s">
        <v>97</v>
      </c>
      <c r="U63" t="s">
        <v>36</v>
      </c>
      <c r="V63" t="s">
        <v>38</v>
      </c>
      <c r="W63">
        <v>2</v>
      </c>
      <c r="X63" t="s">
        <v>39</v>
      </c>
      <c r="Y63">
        <v>1</v>
      </c>
      <c r="Z63" t="s">
        <v>40</v>
      </c>
      <c r="AA63" t="s">
        <v>40</v>
      </c>
      <c r="AB63">
        <v>1</v>
      </c>
    </row>
    <row r="64" spans="1:28" x14ac:dyDescent="0.3">
      <c r="A64">
        <v>63</v>
      </c>
      <c r="B64" t="s">
        <v>41</v>
      </c>
      <c r="C64" t="s">
        <v>42</v>
      </c>
      <c r="D64" t="s">
        <v>43</v>
      </c>
      <c r="E64">
        <v>36</v>
      </c>
      <c r="F64" t="s">
        <v>81</v>
      </c>
      <c r="G64" t="s">
        <v>78</v>
      </c>
      <c r="H64">
        <v>1953</v>
      </c>
      <c r="I64" t="s">
        <v>45</v>
      </c>
      <c r="J64" t="s">
        <v>46</v>
      </c>
      <c r="K64" t="s">
        <v>32</v>
      </c>
      <c r="L64" t="s">
        <v>33</v>
      </c>
      <c r="M64">
        <v>4</v>
      </c>
      <c r="N64" t="s">
        <v>34</v>
      </c>
      <c r="O64" t="s">
        <v>35</v>
      </c>
      <c r="P64" t="s">
        <v>36</v>
      </c>
      <c r="Q64">
        <v>4</v>
      </c>
      <c r="R64" t="s">
        <v>64</v>
      </c>
      <c r="S64">
        <v>61</v>
      </c>
      <c r="T64" t="s">
        <v>95</v>
      </c>
      <c r="U64" t="s">
        <v>36</v>
      </c>
      <c r="V64" t="s">
        <v>61</v>
      </c>
      <c r="W64">
        <v>1</v>
      </c>
      <c r="X64" t="s">
        <v>70</v>
      </c>
      <c r="Y64">
        <v>1</v>
      </c>
      <c r="Z64" t="s">
        <v>40</v>
      </c>
      <c r="AA64" t="s">
        <v>40</v>
      </c>
      <c r="AB64">
        <v>2</v>
      </c>
    </row>
    <row r="65" spans="1:28" x14ac:dyDescent="0.3">
      <c r="A65">
        <v>64</v>
      </c>
      <c r="B65" t="s">
        <v>41</v>
      </c>
      <c r="C65" t="s">
        <v>42</v>
      </c>
      <c r="D65" t="s">
        <v>43</v>
      </c>
      <c r="E65">
        <v>48</v>
      </c>
      <c r="F65" t="s">
        <v>81</v>
      </c>
      <c r="G65" t="s">
        <v>78</v>
      </c>
      <c r="H65">
        <v>14421</v>
      </c>
      <c r="I65" t="s">
        <v>45</v>
      </c>
      <c r="J65" t="s">
        <v>46</v>
      </c>
      <c r="K65" t="s">
        <v>47</v>
      </c>
      <c r="L65" t="s">
        <v>48</v>
      </c>
      <c r="M65">
        <v>2</v>
      </c>
      <c r="N65" t="s">
        <v>34</v>
      </c>
      <c r="O65" t="s">
        <v>35</v>
      </c>
      <c r="P65" t="s">
        <v>36</v>
      </c>
      <c r="Q65">
        <v>2</v>
      </c>
      <c r="R65" t="s">
        <v>68</v>
      </c>
      <c r="S65">
        <v>25</v>
      </c>
      <c r="T65" t="s">
        <v>98</v>
      </c>
      <c r="U65" t="s">
        <v>36</v>
      </c>
      <c r="V65" t="s">
        <v>38</v>
      </c>
      <c r="W65">
        <v>1</v>
      </c>
      <c r="X65" t="s">
        <v>39</v>
      </c>
      <c r="Y65">
        <v>1</v>
      </c>
      <c r="Z65" t="s">
        <v>40</v>
      </c>
      <c r="AA65" t="s">
        <v>40</v>
      </c>
      <c r="AB65">
        <v>2</v>
      </c>
    </row>
    <row r="66" spans="1:28" x14ac:dyDescent="0.3">
      <c r="A66">
        <v>65</v>
      </c>
      <c r="B66" t="s">
        <v>26</v>
      </c>
      <c r="C66" t="s">
        <v>52</v>
      </c>
      <c r="D66" t="s">
        <v>53</v>
      </c>
      <c r="E66">
        <v>24</v>
      </c>
      <c r="F66" t="s">
        <v>44</v>
      </c>
      <c r="G66" t="s">
        <v>30</v>
      </c>
      <c r="H66">
        <v>3181</v>
      </c>
      <c r="I66" t="s">
        <v>45</v>
      </c>
      <c r="J66" t="s">
        <v>46</v>
      </c>
      <c r="K66" t="s">
        <v>76</v>
      </c>
      <c r="L66" t="s">
        <v>77</v>
      </c>
      <c r="M66">
        <v>4</v>
      </c>
      <c r="N66" t="s">
        <v>49</v>
      </c>
      <c r="O66" t="s">
        <v>50</v>
      </c>
      <c r="P66" t="s">
        <v>36</v>
      </c>
      <c r="Q66">
        <v>4</v>
      </c>
      <c r="R66" t="s">
        <v>60</v>
      </c>
      <c r="S66">
        <v>26</v>
      </c>
      <c r="T66" t="s">
        <v>98</v>
      </c>
      <c r="U66" t="s">
        <v>36</v>
      </c>
      <c r="V66" t="s">
        <v>38</v>
      </c>
      <c r="W66">
        <v>1</v>
      </c>
      <c r="X66" t="s">
        <v>39</v>
      </c>
      <c r="Y66">
        <v>1</v>
      </c>
      <c r="Z66" t="s">
        <v>40</v>
      </c>
      <c r="AA66" t="s">
        <v>40</v>
      </c>
      <c r="AB66">
        <v>1</v>
      </c>
    </row>
    <row r="67" spans="1:28" x14ac:dyDescent="0.3">
      <c r="A67">
        <v>66</v>
      </c>
      <c r="B67" t="s">
        <v>26</v>
      </c>
      <c r="C67" t="s">
        <v>52</v>
      </c>
      <c r="D67" t="s">
        <v>53</v>
      </c>
      <c r="E67">
        <v>27</v>
      </c>
      <c r="F67" t="s">
        <v>44</v>
      </c>
      <c r="G67" t="s">
        <v>89</v>
      </c>
      <c r="H67">
        <v>5190</v>
      </c>
      <c r="I67" t="s">
        <v>31</v>
      </c>
      <c r="J67" t="s">
        <v>31</v>
      </c>
      <c r="K67" t="s">
        <v>32</v>
      </c>
      <c r="L67" t="s">
        <v>33</v>
      </c>
      <c r="M67">
        <v>4</v>
      </c>
      <c r="N67" t="s">
        <v>34</v>
      </c>
      <c r="O67" t="s">
        <v>35</v>
      </c>
      <c r="P67" t="s">
        <v>36</v>
      </c>
      <c r="Q67">
        <v>4</v>
      </c>
      <c r="R67" t="s">
        <v>60</v>
      </c>
      <c r="S67">
        <v>48</v>
      </c>
      <c r="T67" t="s">
        <v>97</v>
      </c>
      <c r="U67" t="s">
        <v>36</v>
      </c>
      <c r="V67" t="s">
        <v>38</v>
      </c>
      <c r="W67">
        <v>4</v>
      </c>
      <c r="X67" t="s">
        <v>39</v>
      </c>
      <c r="Y67">
        <v>2</v>
      </c>
      <c r="Z67" t="s">
        <v>40</v>
      </c>
      <c r="AA67" t="s">
        <v>40</v>
      </c>
      <c r="AB67">
        <v>1</v>
      </c>
    </row>
    <row r="68" spans="1:28" x14ac:dyDescent="0.3">
      <c r="A68">
        <v>67</v>
      </c>
      <c r="B68" t="s">
        <v>26</v>
      </c>
      <c r="C68" t="s">
        <v>52</v>
      </c>
      <c r="D68" t="s">
        <v>53</v>
      </c>
      <c r="E68">
        <v>12</v>
      </c>
      <c r="F68" t="s">
        <v>44</v>
      </c>
      <c r="G68" t="s">
        <v>30</v>
      </c>
      <c r="H68">
        <v>2171</v>
      </c>
      <c r="I68" t="s">
        <v>45</v>
      </c>
      <c r="J68" t="s">
        <v>46</v>
      </c>
      <c r="K68" t="s">
        <v>76</v>
      </c>
      <c r="L68" t="s">
        <v>77</v>
      </c>
      <c r="M68">
        <v>2</v>
      </c>
      <c r="N68" t="s">
        <v>49</v>
      </c>
      <c r="O68" t="s">
        <v>50</v>
      </c>
      <c r="P68" t="s">
        <v>36</v>
      </c>
      <c r="Q68">
        <v>2</v>
      </c>
      <c r="R68" t="s">
        <v>68</v>
      </c>
      <c r="S68">
        <v>29</v>
      </c>
      <c r="T68" t="s">
        <v>98</v>
      </c>
      <c r="U68" t="s">
        <v>82</v>
      </c>
      <c r="V68" t="s">
        <v>38</v>
      </c>
      <c r="W68">
        <v>1</v>
      </c>
      <c r="X68" t="s">
        <v>39</v>
      </c>
      <c r="Y68">
        <v>1</v>
      </c>
      <c r="Z68" t="s">
        <v>51</v>
      </c>
      <c r="AA68" t="s">
        <v>40</v>
      </c>
      <c r="AB68">
        <v>1</v>
      </c>
    </row>
    <row r="69" spans="1:28" x14ac:dyDescent="0.3">
      <c r="A69">
        <v>68</v>
      </c>
      <c r="B69" t="s">
        <v>26</v>
      </c>
      <c r="C69" t="s">
        <v>42</v>
      </c>
      <c r="D69" t="s">
        <v>43</v>
      </c>
      <c r="E69">
        <v>12</v>
      </c>
      <c r="F69" t="s">
        <v>44</v>
      </c>
      <c r="G69" t="s">
        <v>63</v>
      </c>
      <c r="H69">
        <v>1007</v>
      </c>
      <c r="I69" t="s">
        <v>71</v>
      </c>
      <c r="J69" t="s">
        <v>72</v>
      </c>
      <c r="K69" t="s">
        <v>47</v>
      </c>
      <c r="L69" t="s">
        <v>48</v>
      </c>
      <c r="M69">
        <v>4</v>
      </c>
      <c r="N69" t="s">
        <v>34</v>
      </c>
      <c r="O69" t="s">
        <v>75</v>
      </c>
      <c r="P69" t="s">
        <v>36</v>
      </c>
      <c r="Q69">
        <v>1</v>
      </c>
      <c r="R69" t="s">
        <v>37</v>
      </c>
      <c r="S69">
        <v>22</v>
      </c>
      <c r="T69" t="s">
        <v>96</v>
      </c>
      <c r="U69" t="s">
        <v>36</v>
      </c>
      <c r="V69" t="s">
        <v>38</v>
      </c>
      <c r="W69">
        <v>1</v>
      </c>
      <c r="X69" t="s">
        <v>39</v>
      </c>
      <c r="Y69">
        <v>1</v>
      </c>
      <c r="Z69" t="s">
        <v>51</v>
      </c>
      <c r="AA69" t="s">
        <v>40</v>
      </c>
      <c r="AB69">
        <v>1</v>
      </c>
    </row>
    <row r="70" spans="1:28" x14ac:dyDescent="0.3">
      <c r="A70">
        <v>69</v>
      </c>
      <c r="B70" t="s">
        <v>41</v>
      </c>
      <c r="C70" t="s">
        <v>52</v>
      </c>
      <c r="D70" t="s">
        <v>53</v>
      </c>
      <c r="E70">
        <v>36</v>
      </c>
      <c r="F70" t="s">
        <v>44</v>
      </c>
      <c r="G70" t="s">
        <v>54</v>
      </c>
      <c r="H70">
        <v>1819</v>
      </c>
      <c r="I70" t="s">
        <v>45</v>
      </c>
      <c r="J70" t="s">
        <v>46</v>
      </c>
      <c r="K70" t="s">
        <v>47</v>
      </c>
      <c r="L70" t="s">
        <v>48</v>
      </c>
      <c r="M70">
        <v>4</v>
      </c>
      <c r="N70" t="s">
        <v>34</v>
      </c>
      <c r="O70" t="s">
        <v>35</v>
      </c>
      <c r="P70" t="s">
        <v>36</v>
      </c>
      <c r="Q70">
        <v>4</v>
      </c>
      <c r="R70" t="s">
        <v>64</v>
      </c>
      <c r="S70">
        <v>37</v>
      </c>
      <c r="T70" t="s">
        <v>98</v>
      </c>
      <c r="U70" t="s">
        <v>86</v>
      </c>
      <c r="V70" t="s">
        <v>61</v>
      </c>
      <c r="W70">
        <v>1</v>
      </c>
      <c r="X70" t="s">
        <v>39</v>
      </c>
      <c r="Y70">
        <v>1</v>
      </c>
      <c r="Z70" t="s">
        <v>40</v>
      </c>
      <c r="AA70" t="s">
        <v>40</v>
      </c>
      <c r="AB70">
        <v>2</v>
      </c>
    </row>
    <row r="71" spans="1:28" x14ac:dyDescent="0.3">
      <c r="A71">
        <v>70</v>
      </c>
      <c r="B71" t="s">
        <v>26</v>
      </c>
      <c r="C71" t="s">
        <v>52</v>
      </c>
      <c r="D71" t="s">
        <v>53</v>
      </c>
      <c r="E71">
        <v>36</v>
      </c>
      <c r="F71" t="s">
        <v>44</v>
      </c>
      <c r="G71" t="s">
        <v>30</v>
      </c>
      <c r="H71">
        <v>2394</v>
      </c>
      <c r="I71" t="s">
        <v>31</v>
      </c>
      <c r="J71" t="s">
        <v>31</v>
      </c>
      <c r="K71" t="s">
        <v>47</v>
      </c>
      <c r="L71" t="s">
        <v>48</v>
      </c>
      <c r="M71">
        <v>4</v>
      </c>
      <c r="N71" t="s">
        <v>49</v>
      </c>
      <c r="O71" t="s">
        <v>50</v>
      </c>
      <c r="P71" t="s">
        <v>36</v>
      </c>
      <c r="Q71">
        <v>4</v>
      </c>
      <c r="R71" t="s">
        <v>68</v>
      </c>
      <c r="S71">
        <v>25</v>
      </c>
      <c r="T71" t="s">
        <v>98</v>
      </c>
      <c r="U71" t="s">
        <v>36</v>
      </c>
      <c r="V71" t="s">
        <v>38</v>
      </c>
      <c r="W71">
        <v>1</v>
      </c>
      <c r="X71" t="s">
        <v>39</v>
      </c>
      <c r="Y71">
        <v>1</v>
      </c>
      <c r="Z71" t="s">
        <v>51</v>
      </c>
      <c r="AA71" t="s">
        <v>40</v>
      </c>
      <c r="AB71">
        <v>1</v>
      </c>
    </row>
    <row r="72" spans="1:28" x14ac:dyDescent="0.3">
      <c r="A72">
        <v>71</v>
      </c>
      <c r="B72" t="s">
        <v>26</v>
      </c>
      <c r="C72" t="s">
        <v>52</v>
      </c>
      <c r="D72" t="s">
        <v>53</v>
      </c>
      <c r="E72">
        <v>36</v>
      </c>
      <c r="F72" t="s">
        <v>44</v>
      </c>
      <c r="G72" t="s">
        <v>67</v>
      </c>
      <c r="H72">
        <v>8133</v>
      </c>
      <c r="I72" t="s">
        <v>45</v>
      </c>
      <c r="J72" t="s">
        <v>46</v>
      </c>
      <c r="K72" t="s">
        <v>47</v>
      </c>
      <c r="L72" t="s">
        <v>48</v>
      </c>
      <c r="M72">
        <v>1</v>
      </c>
      <c r="N72" t="s">
        <v>49</v>
      </c>
      <c r="O72" t="s">
        <v>50</v>
      </c>
      <c r="P72" t="s">
        <v>36</v>
      </c>
      <c r="Q72">
        <v>2</v>
      </c>
      <c r="R72" t="s">
        <v>60</v>
      </c>
      <c r="S72">
        <v>30</v>
      </c>
      <c r="T72" t="s">
        <v>98</v>
      </c>
      <c r="U72" t="s">
        <v>82</v>
      </c>
      <c r="V72" t="s">
        <v>38</v>
      </c>
      <c r="W72">
        <v>1</v>
      </c>
      <c r="X72" t="s">
        <v>39</v>
      </c>
      <c r="Y72">
        <v>1</v>
      </c>
      <c r="Z72" t="s">
        <v>51</v>
      </c>
      <c r="AA72" t="s">
        <v>40</v>
      </c>
      <c r="AB72">
        <v>1</v>
      </c>
    </row>
    <row r="73" spans="1:28" x14ac:dyDescent="0.3">
      <c r="A73">
        <v>72</v>
      </c>
      <c r="B73" t="s">
        <v>26</v>
      </c>
      <c r="C73" t="s">
        <v>52</v>
      </c>
      <c r="D73" t="s">
        <v>53</v>
      </c>
      <c r="E73">
        <v>7</v>
      </c>
      <c r="F73" t="s">
        <v>29</v>
      </c>
      <c r="G73" t="s">
        <v>30</v>
      </c>
      <c r="H73">
        <v>730</v>
      </c>
      <c r="I73" t="s">
        <v>31</v>
      </c>
      <c r="J73" t="s">
        <v>31</v>
      </c>
      <c r="K73" t="s">
        <v>32</v>
      </c>
      <c r="L73" t="s">
        <v>33</v>
      </c>
      <c r="M73">
        <v>4</v>
      </c>
      <c r="N73" t="s">
        <v>34</v>
      </c>
      <c r="O73" t="s">
        <v>35</v>
      </c>
      <c r="P73" t="s">
        <v>36</v>
      </c>
      <c r="Q73">
        <v>2</v>
      </c>
      <c r="R73" t="s">
        <v>60</v>
      </c>
      <c r="S73">
        <v>46</v>
      </c>
      <c r="T73" t="s">
        <v>97</v>
      </c>
      <c r="U73" t="s">
        <v>36</v>
      </c>
      <c r="V73" t="s">
        <v>69</v>
      </c>
      <c r="W73">
        <v>2</v>
      </c>
      <c r="X73" t="s">
        <v>57</v>
      </c>
      <c r="Y73">
        <v>1</v>
      </c>
      <c r="Z73" t="s">
        <v>40</v>
      </c>
      <c r="AA73" t="s">
        <v>40</v>
      </c>
      <c r="AB73">
        <v>1</v>
      </c>
    </row>
    <row r="74" spans="1:28" x14ac:dyDescent="0.3">
      <c r="A74">
        <v>73</v>
      </c>
      <c r="B74" t="s">
        <v>26</v>
      </c>
      <c r="C74" t="s">
        <v>27</v>
      </c>
      <c r="D74" t="s">
        <v>28</v>
      </c>
      <c r="E74">
        <v>8</v>
      </c>
      <c r="F74" t="s">
        <v>29</v>
      </c>
      <c r="G74" t="s">
        <v>91</v>
      </c>
      <c r="H74">
        <v>1164</v>
      </c>
      <c r="I74" t="s">
        <v>45</v>
      </c>
      <c r="J74" t="s">
        <v>46</v>
      </c>
      <c r="K74" t="s">
        <v>32</v>
      </c>
      <c r="L74" t="s">
        <v>33</v>
      </c>
      <c r="M74">
        <v>3</v>
      </c>
      <c r="N74" t="s">
        <v>34</v>
      </c>
      <c r="O74" t="s">
        <v>35</v>
      </c>
      <c r="P74" t="s">
        <v>36</v>
      </c>
      <c r="Q74">
        <v>4</v>
      </c>
      <c r="R74" t="s">
        <v>64</v>
      </c>
      <c r="S74">
        <v>51</v>
      </c>
      <c r="T74" t="s">
        <v>97</v>
      </c>
      <c r="U74" t="s">
        <v>82</v>
      </c>
      <c r="V74" t="s">
        <v>61</v>
      </c>
      <c r="W74">
        <v>2</v>
      </c>
      <c r="X74" t="s">
        <v>70</v>
      </c>
      <c r="Y74">
        <v>2</v>
      </c>
      <c r="Z74" t="s">
        <v>40</v>
      </c>
      <c r="AA74" t="s">
        <v>40</v>
      </c>
      <c r="AB74">
        <v>1</v>
      </c>
    </row>
    <row r="75" spans="1:28" x14ac:dyDescent="0.3">
      <c r="A75">
        <v>74</v>
      </c>
      <c r="B75" t="s">
        <v>26</v>
      </c>
      <c r="C75" t="s">
        <v>42</v>
      </c>
      <c r="D75" t="s">
        <v>43</v>
      </c>
      <c r="E75">
        <v>42</v>
      </c>
      <c r="F75" t="s">
        <v>29</v>
      </c>
      <c r="G75" t="s">
        <v>78</v>
      </c>
      <c r="H75">
        <v>5954</v>
      </c>
      <c r="I75" t="s">
        <v>45</v>
      </c>
      <c r="J75" t="s">
        <v>46</v>
      </c>
      <c r="K75" t="s">
        <v>55</v>
      </c>
      <c r="L75" t="s">
        <v>56</v>
      </c>
      <c r="M75">
        <v>2</v>
      </c>
      <c r="N75" t="s">
        <v>49</v>
      </c>
      <c r="O75" t="s">
        <v>50</v>
      </c>
      <c r="P75" t="s">
        <v>36</v>
      </c>
      <c r="Q75">
        <v>1</v>
      </c>
      <c r="R75" t="s">
        <v>37</v>
      </c>
      <c r="S75">
        <v>41</v>
      </c>
      <c r="T75" t="s">
        <v>97</v>
      </c>
      <c r="U75" t="s">
        <v>82</v>
      </c>
      <c r="V75" t="s">
        <v>38</v>
      </c>
      <c r="W75">
        <v>2</v>
      </c>
      <c r="X75" t="s">
        <v>57</v>
      </c>
      <c r="Y75">
        <v>1</v>
      </c>
      <c r="Z75" t="s">
        <v>51</v>
      </c>
      <c r="AA75" t="s">
        <v>40</v>
      </c>
      <c r="AB75">
        <v>1</v>
      </c>
    </row>
    <row r="76" spans="1:28" x14ac:dyDescent="0.3">
      <c r="A76">
        <v>75</v>
      </c>
      <c r="B76" t="s">
        <v>41</v>
      </c>
      <c r="C76" t="s">
        <v>27</v>
      </c>
      <c r="D76" t="s">
        <v>28</v>
      </c>
      <c r="E76">
        <v>36</v>
      </c>
      <c r="F76" t="s">
        <v>44</v>
      </c>
      <c r="G76" t="s">
        <v>54</v>
      </c>
      <c r="H76">
        <v>1977</v>
      </c>
      <c r="I76" t="s">
        <v>31</v>
      </c>
      <c r="J76" t="s">
        <v>31</v>
      </c>
      <c r="K76" t="s">
        <v>32</v>
      </c>
      <c r="L76" t="s">
        <v>33</v>
      </c>
      <c r="M76">
        <v>4</v>
      </c>
      <c r="N76" t="s">
        <v>34</v>
      </c>
      <c r="O76" t="s">
        <v>35</v>
      </c>
      <c r="P76" t="s">
        <v>36</v>
      </c>
      <c r="Q76">
        <v>4</v>
      </c>
      <c r="R76" t="s">
        <v>64</v>
      </c>
      <c r="S76">
        <v>40</v>
      </c>
      <c r="T76" t="s">
        <v>97</v>
      </c>
      <c r="U76" t="s">
        <v>36</v>
      </c>
      <c r="V76" t="s">
        <v>38</v>
      </c>
      <c r="W76">
        <v>1</v>
      </c>
      <c r="X76" t="s">
        <v>70</v>
      </c>
      <c r="Y76">
        <v>1</v>
      </c>
      <c r="Z76" t="s">
        <v>40</v>
      </c>
      <c r="AA76" t="s">
        <v>40</v>
      </c>
      <c r="AB76">
        <v>2</v>
      </c>
    </row>
    <row r="77" spans="1:28" x14ac:dyDescent="0.3">
      <c r="A77">
        <v>76</v>
      </c>
      <c r="B77" t="s">
        <v>26</v>
      </c>
      <c r="C77" t="s">
        <v>27</v>
      </c>
      <c r="D77" t="s">
        <v>28</v>
      </c>
      <c r="E77">
        <v>12</v>
      </c>
      <c r="F77" t="s">
        <v>29</v>
      </c>
      <c r="G77" t="s">
        <v>67</v>
      </c>
      <c r="H77">
        <v>1526</v>
      </c>
      <c r="I77" t="s">
        <v>45</v>
      </c>
      <c r="J77" t="s">
        <v>46</v>
      </c>
      <c r="K77" t="s">
        <v>32</v>
      </c>
      <c r="L77" t="s">
        <v>33</v>
      </c>
      <c r="M77">
        <v>4</v>
      </c>
      <c r="N77" t="s">
        <v>34</v>
      </c>
      <c r="O77" t="s">
        <v>35</v>
      </c>
      <c r="P77" t="s">
        <v>36</v>
      </c>
      <c r="Q77">
        <v>4</v>
      </c>
      <c r="R77" t="s">
        <v>64</v>
      </c>
      <c r="S77">
        <v>66</v>
      </c>
      <c r="T77" t="s">
        <v>95</v>
      </c>
      <c r="U77" t="s">
        <v>36</v>
      </c>
      <c r="V77" t="s">
        <v>61</v>
      </c>
      <c r="W77">
        <v>2</v>
      </c>
      <c r="X77" t="s">
        <v>70</v>
      </c>
      <c r="Y77">
        <v>1</v>
      </c>
      <c r="Z77" t="s">
        <v>51</v>
      </c>
      <c r="AA77" t="s">
        <v>40</v>
      </c>
      <c r="AB77">
        <v>1</v>
      </c>
    </row>
    <row r="78" spans="1:28" x14ac:dyDescent="0.3">
      <c r="A78">
        <v>77</v>
      </c>
      <c r="B78" t="s">
        <v>41</v>
      </c>
      <c r="C78" t="s">
        <v>27</v>
      </c>
      <c r="D78" t="s">
        <v>28</v>
      </c>
      <c r="E78">
        <v>42</v>
      </c>
      <c r="F78" t="s">
        <v>44</v>
      </c>
      <c r="G78" t="s">
        <v>30</v>
      </c>
      <c r="H78">
        <v>3965</v>
      </c>
      <c r="I78" t="s">
        <v>45</v>
      </c>
      <c r="J78" t="s">
        <v>46</v>
      </c>
      <c r="K78" t="s">
        <v>76</v>
      </c>
      <c r="L78" t="s">
        <v>77</v>
      </c>
      <c r="M78">
        <v>4</v>
      </c>
      <c r="N78" t="s">
        <v>34</v>
      </c>
      <c r="O78" t="s">
        <v>35</v>
      </c>
      <c r="P78" t="s">
        <v>36</v>
      </c>
      <c r="Q78">
        <v>3</v>
      </c>
      <c r="R78" t="s">
        <v>68</v>
      </c>
      <c r="S78">
        <v>34</v>
      </c>
      <c r="T78" t="s">
        <v>98</v>
      </c>
      <c r="U78" t="s">
        <v>36</v>
      </c>
      <c r="V78" t="s">
        <v>38</v>
      </c>
      <c r="W78">
        <v>1</v>
      </c>
      <c r="X78" t="s">
        <v>39</v>
      </c>
      <c r="Y78">
        <v>1</v>
      </c>
      <c r="Z78" t="s">
        <v>51</v>
      </c>
      <c r="AA78" t="s">
        <v>40</v>
      </c>
      <c r="AB78">
        <v>2</v>
      </c>
    </row>
    <row r="79" spans="1:28" x14ac:dyDescent="0.3">
      <c r="A79">
        <v>78</v>
      </c>
      <c r="B79" t="s">
        <v>26</v>
      </c>
      <c r="C79" t="s">
        <v>42</v>
      </c>
      <c r="D79" t="s">
        <v>43</v>
      </c>
      <c r="E79">
        <v>11</v>
      </c>
      <c r="F79" t="s">
        <v>62</v>
      </c>
      <c r="G79" t="s">
        <v>30</v>
      </c>
      <c r="H79">
        <v>4771</v>
      </c>
      <c r="I79" t="s">
        <v>45</v>
      </c>
      <c r="J79" t="s">
        <v>46</v>
      </c>
      <c r="K79" t="s">
        <v>55</v>
      </c>
      <c r="L79" t="s">
        <v>56</v>
      </c>
      <c r="M79">
        <v>2</v>
      </c>
      <c r="N79" t="s">
        <v>34</v>
      </c>
      <c r="O79" t="s">
        <v>35</v>
      </c>
      <c r="P79" t="s">
        <v>36</v>
      </c>
      <c r="Q79">
        <v>4</v>
      </c>
      <c r="R79" t="s">
        <v>60</v>
      </c>
      <c r="S79">
        <v>51</v>
      </c>
      <c r="T79" t="s">
        <v>97</v>
      </c>
      <c r="U79" t="s">
        <v>36</v>
      </c>
      <c r="V79" t="s">
        <v>38</v>
      </c>
      <c r="W79">
        <v>1</v>
      </c>
      <c r="X79" t="s">
        <v>39</v>
      </c>
      <c r="Y79">
        <v>1</v>
      </c>
      <c r="Z79" t="s">
        <v>51</v>
      </c>
      <c r="AA79" t="s">
        <v>40</v>
      </c>
      <c r="AB79">
        <v>1</v>
      </c>
    </row>
    <row r="80" spans="1:28" x14ac:dyDescent="0.3">
      <c r="A80">
        <v>79</v>
      </c>
      <c r="B80" t="s">
        <v>26</v>
      </c>
      <c r="C80" t="s">
        <v>52</v>
      </c>
      <c r="D80" t="s">
        <v>53</v>
      </c>
      <c r="E80">
        <v>54</v>
      </c>
      <c r="F80" t="s">
        <v>81</v>
      </c>
      <c r="G80" t="s">
        <v>67</v>
      </c>
      <c r="H80">
        <v>9436</v>
      </c>
      <c r="I80" t="s">
        <v>31</v>
      </c>
      <c r="J80" t="s">
        <v>31</v>
      </c>
      <c r="K80" t="s">
        <v>47</v>
      </c>
      <c r="L80" t="s">
        <v>48</v>
      </c>
      <c r="M80">
        <v>2</v>
      </c>
      <c r="N80" t="s">
        <v>34</v>
      </c>
      <c r="O80" t="s">
        <v>35</v>
      </c>
      <c r="P80" t="s">
        <v>36</v>
      </c>
      <c r="Q80">
        <v>2</v>
      </c>
      <c r="R80" t="s">
        <v>60</v>
      </c>
      <c r="S80">
        <v>39</v>
      </c>
      <c r="T80" t="s">
        <v>98</v>
      </c>
      <c r="U80" t="s">
        <v>36</v>
      </c>
      <c r="V80" t="s">
        <v>38</v>
      </c>
      <c r="W80">
        <v>1</v>
      </c>
      <c r="X80" t="s">
        <v>57</v>
      </c>
      <c r="Y80">
        <v>2</v>
      </c>
      <c r="Z80" t="s">
        <v>51</v>
      </c>
      <c r="AA80" t="s">
        <v>40</v>
      </c>
      <c r="AB80">
        <v>1</v>
      </c>
    </row>
    <row r="81" spans="1:28" x14ac:dyDescent="0.3">
      <c r="A81">
        <v>80</v>
      </c>
      <c r="B81" t="s">
        <v>26</v>
      </c>
      <c r="C81" t="s">
        <v>42</v>
      </c>
      <c r="D81" t="s">
        <v>43</v>
      </c>
      <c r="E81">
        <v>30</v>
      </c>
      <c r="F81" t="s">
        <v>44</v>
      </c>
      <c r="G81" t="s">
        <v>58</v>
      </c>
      <c r="H81">
        <v>3832</v>
      </c>
      <c r="I81" t="s">
        <v>45</v>
      </c>
      <c r="J81" t="s">
        <v>46</v>
      </c>
      <c r="K81" t="s">
        <v>76</v>
      </c>
      <c r="L81" t="s">
        <v>77</v>
      </c>
      <c r="M81">
        <v>2</v>
      </c>
      <c r="N81" t="s">
        <v>34</v>
      </c>
      <c r="O81" t="s">
        <v>75</v>
      </c>
      <c r="P81" t="s">
        <v>36</v>
      </c>
      <c r="Q81">
        <v>1</v>
      </c>
      <c r="R81" t="s">
        <v>60</v>
      </c>
      <c r="S81">
        <v>22</v>
      </c>
      <c r="T81" t="s">
        <v>96</v>
      </c>
      <c r="U81" t="s">
        <v>36</v>
      </c>
      <c r="V81" t="s">
        <v>38</v>
      </c>
      <c r="W81">
        <v>1</v>
      </c>
      <c r="X81" t="s">
        <v>39</v>
      </c>
      <c r="Y81">
        <v>1</v>
      </c>
      <c r="Z81" t="s">
        <v>51</v>
      </c>
      <c r="AA81" t="s">
        <v>40</v>
      </c>
      <c r="AB81">
        <v>1</v>
      </c>
    </row>
    <row r="82" spans="1:28" x14ac:dyDescent="0.3">
      <c r="A82">
        <v>81</v>
      </c>
      <c r="B82" t="s">
        <v>41</v>
      </c>
      <c r="C82" t="s">
        <v>52</v>
      </c>
      <c r="D82" t="s">
        <v>53</v>
      </c>
      <c r="E82">
        <v>24</v>
      </c>
      <c r="F82" t="s">
        <v>44</v>
      </c>
      <c r="G82" t="s">
        <v>30</v>
      </c>
      <c r="H82">
        <v>5943</v>
      </c>
      <c r="I82" t="s">
        <v>31</v>
      </c>
      <c r="J82" t="s">
        <v>31</v>
      </c>
      <c r="K82" t="s">
        <v>76</v>
      </c>
      <c r="L82" t="s">
        <v>77</v>
      </c>
      <c r="M82">
        <v>1</v>
      </c>
      <c r="N82" t="s">
        <v>49</v>
      </c>
      <c r="O82" t="s">
        <v>50</v>
      </c>
      <c r="P82" t="s">
        <v>36</v>
      </c>
      <c r="Q82">
        <v>1</v>
      </c>
      <c r="R82" t="s">
        <v>68</v>
      </c>
      <c r="S82">
        <v>44</v>
      </c>
      <c r="T82" t="s">
        <v>97</v>
      </c>
      <c r="U82" t="s">
        <v>36</v>
      </c>
      <c r="V82" t="s">
        <v>38</v>
      </c>
      <c r="W82">
        <v>2</v>
      </c>
      <c r="X82" t="s">
        <v>39</v>
      </c>
      <c r="Y82">
        <v>1</v>
      </c>
      <c r="Z82" t="s">
        <v>40</v>
      </c>
      <c r="AA82" t="s">
        <v>40</v>
      </c>
      <c r="AB82">
        <v>2</v>
      </c>
    </row>
    <row r="83" spans="1:28" x14ac:dyDescent="0.3">
      <c r="A83">
        <v>82</v>
      </c>
      <c r="B83" t="s">
        <v>26</v>
      </c>
      <c r="C83" t="s">
        <v>52</v>
      </c>
      <c r="D83" t="s">
        <v>53</v>
      </c>
      <c r="E83">
        <v>15</v>
      </c>
      <c r="F83" t="s">
        <v>44</v>
      </c>
      <c r="G83" t="s">
        <v>30</v>
      </c>
      <c r="H83">
        <v>1213</v>
      </c>
      <c r="I83" t="s">
        <v>65</v>
      </c>
      <c r="J83" t="s">
        <v>66</v>
      </c>
      <c r="K83" t="s">
        <v>32</v>
      </c>
      <c r="L83" t="s">
        <v>33</v>
      </c>
      <c r="M83">
        <v>4</v>
      </c>
      <c r="N83" t="s">
        <v>34</v>
      </c>
      <c r="O83" t="s">
        <v>35</v>
      </c>
      <c r="P83" t="s">
        <v>36</v>
      </c>
      <c r="Q83">
        <v>3</v>
      </c>
      <c r="R83" t="s">
        <v>60</v>
      </c>
      <c r="S83">
        <v>47</v>
      </c>
      <c r="T83" t="s">
        <v>97</v>
      </c>
      <c r="U83" t="s">
        <v>86</v>
      </c>
      <c r="V83" t="s">
        <v>38</v>
      </c>
      <c r="W83">
        <v>1</v>
      </c>
      <c r="X83" t="s">
        <v>39</v>
      </c>
      <c r="Y83">
        <v>1</v>
      </c>
      <c r="Z83" t="s">
        <v>40</v>
      </c>
      <c r="AA83" t="s">
        <v>40</v>
      </c>
      <c r="AB83">
        <v>1</v>
      </c>
    </row>
    <row r="84" spans="1:28" x14ac:dyDescent="0.3">
      <c r="A84">
        <v>83</v>
      </c>
      <c r="B84" t="s">
        <v>26</v>
      </c>
      <c r="C84" t="s">
        <v>52</v>
      </c>
      <c r="D84" t="s">
        <v>53</v>
      </c>
      <c r="E84">
        <v>18</v>
      </c>
      <c r="F84" t="s">
        <v>44</v>
      </c>
      <c r="G84" t="s">
        <v>78</v>
      </c>
      <c r="H84">
        <v>1568</v>
      </c>
      <c r="I84" t="s">
        <v>79</v>
      </c>
      <c r="J84" t="s">
        <v>80</v>
      </c>
      <c r="K84" t="s">
        <v>47</v>
      </c>
      <c r="L84" t="s">
        <v>48</v>
      </c>
      <c r="M84">
        <v>3</v>
      </c>
      <c r="N84" t="s">
        <v>49</v>
      </c>
      <c r="O84" t="s">
        <v>50</v>
      </c>
      <c r="P84" t="s">
        <v>36</v>
      </c>
      <c r="Q84">
        <v>4</v>
      </c>
      <c r="R84" t="s">
        <v>60</v>
      </c>
      <c r="S84">
        <v>24</v>
      </c>
      <c r="T84" t="s">
        <v>96</v>
      </c>
      <c r="U84" t="s">
        <v>36</v>
      </c>
      <c r="V84" t="s">
        <v>69</v>
      </c>
      <c r="W84">
        <v>1</v>
      </c>
      <c r="X84" t="s">
        <v>57</v>
      </c>
      <c r="Y84">
        <v>1</v>
      </c>
      <c r="Z84" t="s">
        <v>51</v>
      </c>
      <c r="AA84" t="s">
        <v>40</v>
      </c>
      <c r="AB84">
        <v>1</v>
      </c>
    </row>
    <row r="85" spans="1:28" x14ac:dyDescent="0.3">
      <c r="A85">
        <v>84</v>
      </c>
      <c r="B85" t="s">
        <v>26</v>
      </c>
      <c r="C85" t="s">
        <v>27</v>
      </c>
      <c r="D85" t="s">
        <v>28</v>
      </c>
      <c r="E85">
        <v>24</v>
      </c>
      <c r="F85" t="s">
        <v>44</v>
      </c>
      <c r="G85" t="s">
        <v>91</v>
      </c>
      <c r="H85">
        <v>1755</v>
      </c>
      <c r="I85" t="s">
        <v>45</v>
      </c>
      <c r="J85" t="s">
        <v>46</v>
      </c>
      <c r="K85" t="s">
        <v>32</v>
      </c>
      <c r="L85" t="s">
        <v>33</v>
      </c>
      <c r="M85">
        <v>4</v>
      </c>
      <c r="N85" t="s">
        <v>49</v>
      </c>
      <c r="O85" t="s">
        <v>50</v>
      </c>
      <c r="P85" t="s">
        <v>59</v>
      </c>
      <c r="Q85">
        <v>4</v>
      </c>
      <c r="R85" t="s">
        <v>37</v>
      </c>
      <c r="S85">
        <v>58</v>
      </c>
      <c r="T85" t="s">
        <v>97</v>
      </c>
      <c r="U85" t="s">
        <v>36</v>
      </c>
      <c r="V85" t="s">
        <v>38</v>
      </c>
      <c r="W85">
        <v>1</v>
      </c>
      <c r="X85" t="s">
        <v>57</v>
      </c>
      <c r="Y85">
        <v>1</v>
      </c>
      <c r="Z85" t="s">
        <v>40</v>
      </c>
      <c r="AA85" t="s">
        <v>40</v>
      </c>
      <c r="AB85">
        <v>1</v>
      </c>
    </row>
    <row r="86" spans="1:28" x14ac:dyDescent="0.3">
      <c r="A86">
        <v>85</v>
      </c>
      <c r="B86" t="s">
        <v>26</v>
      </c>
      <c r="C86" t="s">
        <v>27</v>
      </c>
      <c r="D86" t="s">
        <v>28</v>
      </c>
      <c r="E86">
        <v>10</v>
      </c>
      <c r="F86" t="s">
        <v>44</v>
      </c>
      <c r="G86" t="s">
        <v>30</v>
      </c>
      <c r="H86">
        <v>2315</v>
      </c>
      <c r="I86" t="s">
        <v>45</v>
      </c>
      <c r="J86" t="s">
        <v>46</v>
      </c>
      <c r="K86" t="s">
        <v>32</v>
      </c>
      <c r="L86" t="s">
        <v>33</v>
      </c>
      <c r="M86">
        <v>3</v>
      </c>
      <c r="N86" t="s">
        <v>34</v>
      </c>
      <c r="O86" t="s">
        <v>35</v>
      </c>
      <c r="P86" t="s">
        <v>36</v>
      </c>
      <c r="Q86">
        <v>4</v>
      </c>
      <c r="R86" t="s">
        <v>37</v>
      </c>
      <c r="S86">
        <v>52</v>
      </c>
      <c r="T86" t="s">
        <v>97</v>
      </c>
      <c r="U86" t="s">
        <v>36</v>
      </c>
      <c r="V86" t="s">
        <v>38</v>
      </c>
      <c r="W86">
        <v>1</v>
      </c>
      <c r="X86" t="s">
        <v>57</v>
      </c>
      <c r="Y86">
        <v>1</v>
      </c>
      <c r="Z86" t="s">
        <v>51</v>
      </c>
      <c r="AA86" t="s">
        <v>40</v>
      </c>
      <c r="AB86">
        <v>1</v>
      </c>
    </row>
    <row r="87" spans="1:28" x14ac:dyDescent="0.3">
      <c r="A87">
        <v>86</v>
      </c>
      <c r="B87" t="s">
        <v>26</v>
      </c>
      <c r="C87" t="s">
        <v>52</v>
      </c>
      <c r="D87" t="s">
        <v>53</v>
      </c>
      <c r="E87">
        <v>12</v>
      </c>
      <c r="F87" t="s">
        <v>29</v>
      </c>
      <c r="G87" t="s">
        <v>78</v>
      </c>
      <c r="H87">
        <v>1412</v>
      </c>
      <c r="I87" t="s">
        <v>45</v>
      </c>
      <c r="J87" t="s">
        <v>46</v>
      </c>
      <c r="K87" t="s">
        <v>47</v>
      </c>
      <c r="L87" t="s">
        <v>48</v>
      </c>
      <c r="M87">
        <v>4</v>
      </c>
      <c r="N87" t="s">
        <v>49</v>
      </c>
      <c r="O87" t="s">
        <v>50</v>
      </c>
      <c r="P87" t="s">
        <v>59</v>
      </c>
      <c r="Q87">
        <v>2</v>
      </c>
      <c r="R87" t="s">
        <v>37</v>
      </c>
      <c r="S87">
        <v>29</v>
      </c>
      <c r="T87" t="s">
        <v>98</v>
      </c>
      <c r="U87" t="s">
        <v>36</v>
      </c>
      <c r="V87" t="s">
        <v>38</v>
      </c>
      <c r="W87">
        <v>2</v>
      </c>
      <c r="X87" t="s">
        <v>70</v>
      </c>
      <c r="Y87">
        <v>1</v>
      </c>
      <c r="Z87" t="s">
        <v>40</v>
      </c>
      <c r="AA87" t="s">
        <v>40</v>
      </c>
      <c r="AB87">
        <v>1</v>
      </c>
    </row>
    <row r="88" spans="1:28" x14ac:dyDescent="0.3">
      <c r="A88">
        <v>87</v>
      </c>
      <c r="B88" t="s">
        <v>26</v>
      </c>
      <c r="C88" t="s">
        <v>42</v>
      </c>
      <c r="D88" t="s">
        <v>43</v>
      </c>
      <c r="E88">
        <v>18</v>
      </c>
      <c r="F88" t="s">
        <v>29</v>
      </c>
      <c r="G88" t="s">
        <v>58</v>
      </c>
      <c r="H88">
        <v>1295</v>
      </c>
      <c r="I88" t="s">
        <v>45</v>
      </c>
      <c r="J88" t="s">
        <v>46</v>
      </c>
      <c r="K88" t="s">
        <v>76</v>
      </c>
      <c r="L88" t="s">
        <v>77</v>
      </c>
      <c r="M88">
        <v>4</v>
      </c>
      <c r="N88" t="s">
        <v>49</v>
      </c>
      <c r="O88" t="s">
        <v>50</v>
      </c>
      <c r="P88" t="s">
        <v>36</v>
      </c>
      <c r="Q88">
        <v>1</v>
      </c>
      <c r="R88" t="s">
        <v>60</v>
      </c>
      <c r="S88">
        <v>27</v>
      </c>
      <c r="T88" t="s">
        <v>98</v>
      </c>
      <c r="U88" t="s">
        <v>36</v>
      </c>
      <c r="V88" t="s">
        <v>38</v>
      </c>
      <c r="W88">
        <v>2</v>
      </c>
      <c r="X88" t="s">
        <v>39</v>
      </c>
      <c r="Y88">
        <v>1</v>
      </c>
      <c r="Z88" t="s">
        <v>51</v>
      </c>
      <c r="AA88" t="s">
        <v>40</v>
      </c>
      <c r="AB88">
        <v>1</v>
      </c>
    </row>
    <row r="89" spans="1:28" x14ac:dyDescent="0.3">
      <c r="A89">
        <v>88</v>
      </c>
      <c r="B89" t="s">
        <v>41</v>
      </c>
      <c r="C89" t="s">
        <v>42</v>
      </c>
      <c r="D89" t="s">
        <v>43</v>
      </c>
      <c r="E89">
        <v>36</v>
      </c>
      <c r="F89" t="s">
        <v>44</v>
      </c>
      <c r="G89" t="s">
        <v>54</v>
      </c>
      <c r="H89">
        <v>12612</v>
      </c>
      <c r="I89" t="s">
        <v>79</v>
      </c>
      <c r="J89" t="s">
        <v>80</v>
      </c>
      <c r="K89" t="s">
        <v>47</v>
      </c>
      <c r="L89" t="s">
        <v>48</v>
      </c>
      <c r="M89">
        <v>1</v>
      </c>
      <c r="N89" t="s">
        <v>34</v>
      </c>
      <c r="O89" t="s">
        <v>35</v>
      </c>
      <c r="P89" t="s">
        <v>36</v>
      </c>
      <c r="Q89">
        <v>4</v>
      </c>
      <c r="R89" t="s">
        <v>64</v>
      </c>
      <c r="S89">
        <v>47</v>
      </c>
      <c r="T89" t="s">
        <v>97</v>
      </c>
      <c r="U89" t="s">
        <v>36</v>
      </c>
      <c r="V89" t="s">
        <v>61</v>
      </c>
      <c r="W89">
        <v>1</v>
      </c>
      <c r="X89" t="s">
        <v>39</v>
      </c>
      <c r="Y89">
        <v>2</v>
      </c>
      <c r="Z89" t="s">
        <v>40</v>
      </c>
      <c r="AA89" t="s">
        <v>40</v>
      </c>
      <c r="AB89">
        <v>2</v>
      </c>
    </row>
    <row r="90" spans="1:28" x14ac:dyDescent="0.3">
      <c r="A90">
        <v>89</v>
      </c>
      <c r="B90" t="s">
        <v>26</v>
      </c>
      <c r="C90" t="s">
        <v>27</v>
      </c>
      <c r="D90" t="s">
        <v>28</v>
      </c>
      <c r="E90">
        <v>18</v>
      </c>
      <c r="F90" t="s">
        <v>44</v>
      </c>
      <c r="G90" t="s">
        <v>63</v>
      </c>
      <c r="H90">
        <v>2249</v>
      </c>
      <c r="I90" t="s">
        <v>79</v>
      </c>
      <c r="J90" t="s">
        <v>80</v>
      </c>
      <c r="K90" t="s">
        <v>55</v>
      </c>
      <c r="L90" t="s">
        <v>56</v>
      </c>
      <c r="M90">
        <v>4</v>
      </c>
      <c r="N90" t="s">
        <v>34</v>
      </c>
      <c r="O90" t="s">
        <v>35</v>
      </c>
      <c r="P90" t="s">
        <v>36</v>
      </c>
      <c r="Q90">
        <v>3</v>
      </c>
      <c r="R90" t="s">
        <v>68</v>
      </c>
      <c r="S90">
        <v>30</v>
      </c>
      <c r="T90" t="s">
        <v>98</v>
      </c>
      <c r="U90" t="s">
        <v>36</v>
      </c>
      <c r="V90" t="s">
        <v>38</v>
      </c>
      <c r="W90">
        <v>1</v>
      </c>
      <c r="X90" t="s">
        <v>70</v>
      </c>
      <c r="Y90">
        <v>2</v>
      </c>
      <c r="Z90" t="s">
        <v>40</v>
      </c>
      <c r="AA90" t="s">
        <v>40</v>
      </c>
      <c r="AB90">
        <v>1</v>
      </c>
    </row>
    <row r="91" spans="1:28" x14ac:dyDescent="0.3">
      <c r="A91">
        <v>90</v>
      </c>
      <c r="B91" t="s">
        <v>41</v>
      </c>
      <c r="C91" t="s">
        <v>27</v>
      </c>
      <c r="D91" t="s">
        <v>28</v>
      </c>
      <c r="E91">
        <v>12</v>
      </c>
      <c r="F91" t="s">
        <v>81</v>
      </c>
      <c r="G91" t="s">
        <v>89</v>
      </c>
      <c r="H91">
        <v>1108</v>
      </c>
      <c r="I91" t="s">
        <v>45</v>
      </c>
      <c r="J91" t="s">
        <v>46</v>
      </c>
      <c r="K91" t="s">
        <v>55</v>
      </c>
      <c r="L91" t="s">
        <v>56</v>
      </c>
      <c r="M91">
        <v>4</v>
      </c>
      <c r="N91" t="s">
        <v>34</v>
      </c>
      <c r="O91" t="s">
        <v>35</v>
      </c>
      <c r="P91" t="s">
        <v>36</v>
      </c>
      <c r="Q91">
        <v>3</v>
      </c>
      <c r="R91" t="s">
        <v>37</v>
      </c>
      <c r="S91">
        <v>28</v>
      </c>
      <c r="T91" t="s">
        <v>98</v>
      </c>
      <c r="U91" t="s">
        <v>36</v>
      </c>
      <c r="V91" t="s">
        <v>38</v>
      </c>
      <c r="W91">
        <v>2</v>
      </c>
      <c r="X91" t="s">
        <v>39</v>
      </c>
      <c r="Y91">
        <v>1</v>
      </c>
      <c r="Z91" t="s">
        <v>51</v>
      </c>
      <c r="AA91" t="s">
        <v>40</v>
      </c>
      <c r="AB91">
        <v>2</v>
      </c>
    </row>
    <row r="92" spans="1:28" x14ac:dyDescent="0.3">
      <c r="A92">
        <v>91</v>
      </c>
      <c r="B92" t="s">
        <v>26</v>
      </c>
      <c r="C92" t="s">
        <v>52</v>
      </c>
      <c r="D92" t="s">
        <v>53</v>
      </c>
      <c r="E92">
        <v>12</v>
      </c>
      <c r="F92" t="s">
        <v>29</v>
      </c>
      <c r="G92" t="s">
        <v>30</v>
      </c>
      <c r="H92">
        <v>618</v>
      </c>
      <c r="I92" t="s">
        <v>45</v>
      </c>
      <c r="J92" t="s">
        <v>46</v>
      </c>
      <c r="K92" t="s">
        <v>32</v>
      </c>
      <c r="L92" t="s">
        <v>33</v>
      </c>
      <c r="M92">
        <v>4</v>
      </c>
      <c r="N92" t="s">
        <v>34</v>
      </c>
      <c r="O92" t="s">
        <v>35</v>
      </c>
      <c r="P92" t="s">
        <v>36</v>
      </c>
      <c r="Q92">
        <v>4</v>
      </c>
      <c r="R92" t="s">
        <v>37</v>
      </c>
      <c r="S92">
        <v>56</v>
      </c>
      <c r="T92" t="s">
        <v>97</v>
      </c>
      <c r="U92" t="s">
        <v>36</v>
      </c>
      <c r="V92" t="s">
        <v>38</v>
      </c>
      <c r="W92">
        <v>1</v>
      </c>
      <c r="X92" t="s">
        <v>39</v>
      </c>
      <c r="Y92">
        <v>1</v>
      </c>
      <c r="Z92" t="s">
        <v>51</v>
      </c>
      <c r="AA92" t="s">
        <v>40</v>
      </c>
      <c r="AB92">
        <v>1</v>
      </c>
    </row>
    <row r="93" spans="1:28" x14ac:dyDescent="0.3">
      <c r="A93">
        <v>92</v>
      </c>
      <c r="B93" t="s">
        <v>26</v>
      </c>
      <c r="C93" t="s">
        <v>27</v>
      </c>
      <c r="D93" t="s">
        <v>28</v>
      </c>
      <c r="E93">
        <v>12</v>
      </c>
      <c r="F93" t="s">
        <v>29</v>
      </c>
      <c r="G93" t="s">
        <v>67</v>
      </c>
      <c r="H93">
        <v>1409</v>
      </c>
      <c r="I93" t="s">
        <v>45</v>
      </c>
      <c r="J93" t="s">
        <v>46</v>
      </c>
      <c r="K93" t="s">
        <v>32</v>
      </c>
      <c r="L93" t="s">
        <v>33</v>
      </c>
      <c r="M93">
        <v>4</v>
      </c>
      <c r="N93" t="s">
        <v>34</v>
      </c>
      <c r="O93" t="s">
        <v>35</v>
      </c>
      <c r="P93" t="s">
        <v>36</v>
      </c>
      <c r="Q93">
        <v>3</v>
      </c>
      <c r="R93" t="s">
        <v>37</v>
      </c>
      <c r="S93">
        <v>54</v>
      </c>
      <c r="T93" t="s">
        <v>97</v>
      </c>
      <c r="U93" t="s">
        <v>36</v>
      </c>
      <c r="V93" t="s">
        <v>38</v>
      </c>
      <c r="W93">
        <v>1</v>
      </c>
      <c r="X93" t="s">
        <v>39</v>
      </c>
      <c r="Y93">
        <v>1</v>
      </c>
      <c r="Z93" t="s">
        <v>51</v>
      </c>
      <c r="AA93" t="s">
        <v>40</v>
      </c>
      <c r="AB93">
        <v>1</v>
      </c>
    </row>
    <row r="94" spans="1:28" x14ac:dyDescent="0.3">
      <c r="A94">
        <v>93</v>
      </c>
      <c r="B94" t="s">
        <v>41</v>
      </c>
      <c r="C94" t="s">
        <v>52</v>
      </c>
      <c r="D94" t="s">
        <v>53</v>
      </c>
      <c r="E94">
        <v>12</v>
      </c>
      <c r="F94" t="s">
        <v>29</v>
      </c>
      <c r="G94" t="s">
        <v>30</v>
      </c>
      <c r="H94">
        <v>797</v>
      </c>
      <c r="I94" t="s">
        <v>31</v>
      </c>
      <c r="J94" t="s">
        <v>31</v>
      </c>
      <c r="K94" t="s">
        <v>32</v>
      </c>
      <c r="L94" t="s">
        <v>33</v>
      </c>
      <c r="M94">
        <v>4</v>
      </c>
      <c r="N94" t="s">
        <v>49</v>
      </c>
      <c r="O94" t="s">
        <v>50</v>
      </c>
      <c r="P94" t="s">
        <v>36</v>
      </c>
      <c r="Q94">
        <v>3</v>
      </c>
      <c r="R94" t="s">
        <v>60</v>
      </c>
      <c r="S94">
        <v>33</v>
      </c>
      <c r="T94" t="s">
        <v>98</v>
      </c>
      <c r="U94" t="s">
        <v>82</v>
      </c>
      <c r="V94" t="s">
        <v>38</v>
      </c>
      <c r="W94">
        <v>1</v>
      </c>
      <c r="X94" t="s">
        <v>57</v>
      </c>
      <c r="Y94">
        <v>2</v>
      </c>
      <c r="Z94" t="s">
        <v>51</v>
      </c>
      <c r="AA94" t="s">
        <v>40</v>
      </c>
      <c r="AB94">
        <v>2</v>
      </c>
    </row>
    <row r="95" spans="1:28" x14ac:dyDescent="0.3">
      <c r="A95">
        <v>94</v>
      </c>
      <c r="B95" t="s">
        <v>26</v>
      </c>
      <c r="C95" t="s">
        <v>83</v>
      </c>
      <c r="D95" t="s">
        <v>84</v>
      </c>
      <c r="E95">
        <v>24</v>
      </c>
      <c r="F95" t="s">
        <v>29</v>
      </c>
      <c r="G95" t="s">
        <v>58</v>
      </c>
      <c r="H95">
        <v>3617</v>
      </c>
      <c r="I95" t="s">
        <v>31</v>
      </c>
      <c r="J95" t="s">
        <v>31</v>
      </c>
      <c r="K95" t="s">
        <v>32</v>
      </c>
      <c r="L95" t="s">
        <v>33</v>
      </c>
      <c r="M95">
        <v>4</v>
      </c>
      <c r="N95" t="s">
        <v>34</v>
      </c>
      <c r="O95" t="s">
        <v>35</v>
      </c>
      <c r="P95" t="s">
        <v>87</v>
      </c>
      <c r="Q95">
        <v>4</v>
      </c>
      <c r="R95" t="s">
        <v>64</v>
      </c>
      <c r="S95">
        <v>20</v>
      </c>
      <c r="T95" t="s">
        <v>96</v>
      </c>
      <c r="U95" t="s">
        <v>36</v>
      </c>
      <c r="V95" t="s">
        <v>69</v>
      </c>
      <c r="W95">
        <v>2</v>
      </c>
      <c r="X95" t="s">
        <v>39</v>
      </c>
      <c r="Y95">
        <v>1</v>
      </c>
      <c r="Z95" t="s">
        <v>51</v>
      </c>
      <c r="AA95" t="s">
        <v>40</v>
      </c>
      <c r="AB95">
        <v>1</v>
      </c>
    </row>
    <row r="96" spans="1:28" x14ac:dyDescent="0.3">
      <c r="A96">
        <v>95</v>
      </c>
      <c r="B96" t="s">
        <v>26</v>
      </c>
      <c r="C96" t="s">
        <v>42</v>
      </c>
      <c r="D96" t="s">
        <v>43</v>
      </c>
      <c r="E96">
        <v>12</v>
      </c>
      <c r="F96" t="s">
        <v>44</v>
      </c>
      <c r="G96" t="s">
        <v>63</v>
      </c>
      <c r="H96">
        <v>1318</v>
      </c>
      <c r="I96" t="s">
        <v>71</v>
      </c>
      <c r="J96" t="s">
        <v>72</v>
      </c>
      <c r="K96" t="s">
        <v>32</v>
      </c>
      <c r="L96" t="s">
        <v>33</v>
      </c>
      <c r="M96">
        <v>4</v>
      </c>
      <c r="N96" t="s">
        <v>34</v>
      </c>
      <c r="O96" t="s">
        <v>35</v>
      </c>
      <c r="P96" t="s">
        <v>36</v>
      </c>
      <c r="Q96">
        <v>4</v>
      </c>
      <c r="R96" t="s">
        <v>37</v>
      </c>
      <c r="S96">
        <v>54</v>
      </c>
      <c r="T96" t="s">
        <v>97</v>
      </c>
      <c r="U96" t="s">
        <v>36</v>
      </c>
      <c r="V96" t="s">
        <v>38</v>
      </c>
      <c r="W96">
        <v>1</v>
      </c>
      <c r="X96" t="s">
        <v>39</v>
      </c>
      <c r="Y96">
        <v>1</v>
      </c>
      <c r="Z96" t="s">
        <v>40</v>
      </c>
      <c r="AA96" t="s">
        <v>40</v>
      </c>
      <c r="AB96">
        <v>1</v>
      </c>
    </row>
    <row r="97" spans="1:28" x14ac:dyDescent="0.3">
      <c r="A97">
        <v>96</v>
      </c>
      <c r="B97" t="s">
        <v>41</v>
      </c>
      <c r="C97" t="s">
        <v>42</v>
      </c>
      <c r="D97" t="s">
        <v>43</v>
      </c>
      <c r="E97">
        <v>54</v>
      </c>
      <c r="F97" t="s">
        <v>81</v>
      </c>
      <c r="G97" t="s">
        <v>78</v>
      </c>
      <c r="H97">
        <v>15945</v>
      </c>
      <c r="I97" t="s">
        <v>45</v>
      </c>
      <c r="J97" t="s">
        <v>46</v>
      </c>
      <c r="K97" t="s">
        <v>76</v>
      </c>
      <c r="L97" t="s">
        <v>77</v>
      </c>
      <c r="M97">
        <v>3</v>
      </c>
      <c r="N97" t="s">
        <v>34</v>
      </c>
      <c r="O97" t="s">
        <v>35</v>
      </c>
      <c r="P97" t="s">
        <v>36</v>
      </c>
      <c r="Q97">
        <v>4</v>
      </c>
      <c r="R97" t="s">
        <v>64</v>
      </c>
      <c r="S97">
        <v>58</v>
      </c>
      <c r="T97" t="s">
        <v>97</v>
      </c>
      <c r="U97" t="s">
        <v>36</v>
      </c>
      <c r="V97" t="s">
        <v>69</v>
      </c>
      <c r="W97">
        <v>1</v>
      </c>
      <c r="X97" t="s">
        <v>39</v>
      </c>
      <c r="Y97">
        <v>1</v>
      </c>
      <c r="Z97" t="s">
        <v>40</v>
      </c>
      <c r="AA97" t="s">
        <v>40</v>
      </c>
      <c r="AB97">
        <v>2</v>
      </c>
    </row>
    <row r="98" spans="1:28" x14ac:dyDescent="0.3">
      <c r="A98">
        <v>97</v>
      </c>
      <c r="B98" t="s">
        <v>26</v>
      </c>
      <c r="C98" t="s">
        <v>52</v>
      </c>
      <c r="D98" t="s">
        <v>53</v>
      </c>
      <c r="E98">
        <v>12</v>
      </c>
      <c r="F98" t="s">
        <v>29</v>
      </c>
      <c r="G98" t="s">
        <v>54</v>
      </c>
      <c r="H98">
        <v>2012</v>
      </c>
      <c r="I98" t="s">
        <v>31</v>
      </c>
      <c r="J98" t="s">
        <v>31</v>
      </c>
      <c r="K98" t="s">
        <v>55</v>
      </c>
      <c r="L98" t="s">
        <v>56</v>
      </c>
      <c r="M98">
        <v>4</v>
      </c>
      <c r="N98" t="s">
        <v>49</v>
      </c>
      <c r="O98" t="s">
        <v>50</v>
      </c>
      <c r="P98" t="s">
        <v>36</v>
      </c>
      <c r="Q98">
        <v>2</v>
      </c>
      <c r="R98" t="s">
        <v>68</v>
      </c>
      <c r="S98">
        <v>61</v>
      </c>
      <c r="T98" t="s">
        <v>95</v>
      </c>
      <c r="U98" t="s">
        <v>36</v>
      </c>
      <c r="V98" t="s">
        <v>38</v>
      </c>
      <c r="W98">
        <v>1</v>
      </c>
      <c r="X98" t="s">
        <v>39</v>
      </c>
      <c r="Y98">
        <v>1</v>
      </c>
      <c r="Z98" t="s">
        <v>51</v>
      </c>
      <c r="AA98" t="s">
        <v>40</v>
      </c>
      <c r="AB98">
        <v>1</v>
      </c>
    </row>
    <row r="99" spans="1:28" x14ac:dyDescent="0.3">
      <c r="A99">
        <v>98</v>
      </c>
      <c r="B99" t="s">
        <v>26</v>
      </c>
      <c r="C99" t="s">
        <v>42</v>
      </c>
      <c r="D99" t="s">
        <v>43</v>
      </c>
      <c r="E99">
        <v>18</v>
      </c>
      <c r="F99" t="s">
        <v>44</v>
      </c>
      <c r="G99" t="s">
        <v>78</v>
      </c>
      <c r="H99">
        <v>2622</v>
      </c>
      <c r="I99" t="s">
        <v>79</v>
      </c>
      <c r="J99" t="s">
        <v>80</v>
      </c>
      <c r="K99" t="s">
        <v>47</v>
      </c>
      <c r="L99" t="s">
        <v>48</v>
      </c>
      <c r="M99">
        <v>4</v>
      </c>
      <c r="N99" t="s">
        <v>34</v>
      </c>
      <c r="O99" t="s">
        <v>35</v>
      </c>
      <c r="P99" t="s">
        <v>36</v>
      </c>
      <c r="Q99">
        <v>4</v>
      </c>
      <c r="R99" t="s">
        <v>68</v>
      </c>
      <c r="S99">
        <v>34</v>
      </c>
      <c r="T99" t="s">
        <v>98</v>
      </c>
      <c r="U99" t="s">
        <v>36</v>
      </c>
      <c r="V99" t="s">
        <v>38</v>
      </c>
      <c r="W99">
        <v>1</v>
      </c>
      <c r="X99" t="s">
        <v>39</v>
      </c>
      <c r="Y99">
        <v>1</v>
      </c>
      <c r="Z99" t="s">
        <v>51</v>
      </c>
      <c r="AA99" t="s">
        <v>40</v>
      </c>
      <c r="AB99">
        <v>1</v>
      </c>
    </row>
    <row r="100" spans="1:28" x14ac:dyDescent="0.3">
      <c r="A100">
        <v>99</v>
      </c>
      <c r="B100" t="s">
        <v>26</v>
      </c>
      <c r="C100" t="s">
        <v>42</v>
      </c>
      <c r="D100" t="s">
        <v>43</v>
      </c>
      <c r="E100">
        <v>36</v>
      </c>
      <c r="F100" t="s">
        <v>29</v>
      </c>
      <c r="G100" t="s">
        <v>30</v>
      </c>
      <c r="H100">
        <v>2337</v>
      </c>
      <c r="I100" t="s">
        <v>45</v>
      </c>
      <c r="J100" t="s">
        <v>46</v>
      </c>
      <c r="K100" t="s">
        <v>32</v>
      </c>
      <c r="L100" t="s">
        <v>33</v>
      </c>
      <c r="M100">
        <v>4</v>
      </c>
      <c r="N100" t="s">
        <v>34</v>
      </c>
      <c r="O100" t="s">
        <v>35</v>
      </c>
      <c r="P100" t="s">
        <v>36</v>
      </c>
      <c r="Q100">
        <v>4</v>
      </c>
      <c r="R100" t="s">
        <v>37</v>
      </c>
      <c r="S100">
        <v>36</v>
      </c>
      <c r="T100" t="s">
        <v>98</v>
      </c>
      <c r="U100" t="s">
        <v>36</v>
      </c>
      <c r="V100" t="s">
        <v>38</v>
      </c>
      <c r="W100">
        <v>1</v>
      </c>
      <c r="X100" t="s">
        <v>39</v>
      </c>
      <c r="Y100">
        <v>1</v>
      </c>
      <c r="Z100" t="s">
        <v>51</v>
      </c>
      <c r="AA100" t="s">
        <v>40</v>
      </c>
      <c r="AB100">
        <v>1</v>
      </c>
    </row>
    <row r="101" spans="1:28" x14ac:dyDescent="0.3">
      <c r="A101">
        <v>100</v>
      </c>
      <c r="B101" t="s">
        <v>26</v>
      </c>
      <c r="C101" t="s">
        <v>42</v>
      </c>
      <c r="D101" t="s">
        <v>43</v>
      </c>
      <c r="E101">
        <v>20</v>
      </c>
      <c r="F101" t="s">
        <v>62</v>
      </c>
      <c r="G101" t="s">
        <v>67</v>
      </c>
      <c r="H101">
        <v>7057</v>
      </c>
      <c r="I101" t="s">
        <v>31</v>
      </c>
      <c r="J101" t="s">
        <v>31</v>
      </c>
      <c r="K101" t="s">
        <v>55</v>
      </c>
      <c r="L101" t="s">
        <v>56</v>
      </c>
      <c r="M101">
        <v>3</v>
      </c>
      <c r="N101" t="s">
        <v>34</v>
      </c>
      <c r="O101" t="s">
        <v>35</v>
      </c>
      <c r="P101" t="s">
        <v>36</v>
      </c>
      <c r="Q101">
        <v>4</v>
      </c>
      <c r="R101" t="s">
        <v>60</v>
      </c>
      <c r="S101">
        <v>36</v>
      </c>
      <c r="T101" t="s">
        <v>98</v>
      </c>
      <c r="U101" t="s">
        <v>82</v>
      </c>
      <c r="V101" t="s">
        <v>69</v>
      </c>
      <c r="W101">
        <v>2</v>
      </c>
      <c r="X101" t="s">
        <v>70</v>
      </c>
      <c r="Y101">
        <v>2</v>
      </c>
      <c r="Z101" t="s">
        <v>40</v>
      </c>
      <c r="AA101" t="s">
        <v>40</v>
      </c>
      <c r="AB101">
        <v>1</v>
      </c>
    </row>
    <row r="102" spans="1:28" x14ac:dyDescent="0.3">
      <c r="A102">
        <v>101</v>
      </c>
      <c r="B102" t="s">
        <v>26</v>
      </c>
      <c r="C102" t="s">
        <v>52</v>
      </c>
      <c r="D102" t="s">
        <v>53</v>
      </c>
      <c r="E102">
        <v>24</v>
      </c>
      <c r="F102" t="s">
        <v>44</v>
      </c>
      <c r="G102" t="s">
        <v>63</v>
      </c>
      <c r="H102">
        <v>1469</v>
      </c>
      <c r="I102" t="s">
        <v>79</v>
      </c>
      <c r="J102" t="s">
        <v>80</v>
      </c>
      <c r="K102" t="s">
        <v>32</v>
      </c>
      <c r="L102" t="s">
        <v>33</v>
      </c>
      <c r="M102">
        <v>4</v>
      </c>
      <c r="N102" t="s">
        <v>34</v>
      </c>
      <c r="O102" t="s">
        <v>75</v>
      </c>
      <c r="P102" t="s">
        <v>36</v>
      </c>
      <c r="Q102">
        <v>4</v>
      </c>
      <c r="R102" t="s">
        <v>37</v>
      </c>
      <c r="S102">
        <v>41</v>
      </c>
      <c r="T102" t="s">
        <v>97</v>
      </c>
      <c r="U102" t="s">
        <v>36</v>
      </c>
      <c r="V102" t="s">
        <v>69</v>
      </c>
      <c r="W102">
        <v>1</v>
      </c>
      <c r="X102" t="s">
        <v>57</v>
      </c>
      <c r="Y102">
        <v>1</v>
      </c>
      <c r="Z102" t="s">
        <v>51</v>
      </c>
      <c r="AA102" t="s">
        <v>40</v>
      </c>
      <c r="AB102">
        <v>1</v>
      </c>
    </row>
    <row r="103" spans="1:28" x14ac:dyDescent="0.3">
      <c r="A103">
        <v>102</v>
      </c>
      <c r="B103" t="s">
        <v>26</v>
      </c>
      <c r="C103" t="s">
        <v>42</v>
      </c>
      <c r="D103" t="s">
        <v>43</v>
      </c>
      <c r="E103">
        <v>36</v>
      </c>
      <c r="F103" t="s">
        <v>44</v>
      </c>
      <c r="G103" t="s">
        <v>30</v>
      </c>
      <c r="H103">
        <v>2323</v>
      </c>
      <c r="I103" t="s">
        <v>45</v>
      </c>
      <c r="J103" t="s">
        <v>46</v>
      </c>
      <c r="K103" t="s">
        <v>55</v>
      </c>
      <c r="L103" t="s">
        <v>56</v>
      </c>
      <c r="M103">
        <v>4</v>
      </c>
      <c r="N103" t="s">
        <v>34</v>
      </c>
      <c r="O103" t="s">
        <v>35</v>
      </c>
      <c r="P103" t="s">
        <v>36</v>
      </c>
      <c r="Q103">
        <v>4</v>
      </c>
      <c r="R103" t="s">
        <v>68</v>
      </c>
      <c r="S103">
        <v>24</v>
      </c>
      <c r="T103" t="s">
        <v>96</v>
      </c>
      <c r="U103" t="s">
        <v>36</v>
      </c>
      <c r="V103" t="s">
        <v>69</v>
      </c>
      <c r="W103">
        <v>1</v>
      </c>
      <c r="X103" t="s">
        <v>39</v>
      </c>
      <c r="Y103">
        <v>1</v>
      </c>
      <c r="Z103" t="s">
        <v>51</v>
      </c>
      <c r="AA103" t="s">
        <v>40</v>
      </c>
      <c r="AB103">
        <v>1</v>
      </c>
    </row>
    <row r="104" spans="1:28" x14ac:dyDescent="0.3">
      <c r="A104">
        <v>103</v>
      </c>
      <c r="B104" t="s">
        <v>26</v>
      </c>
      <c r="C104" t="s">
        <v>52</v>
      </c>
      <c r="D104" t="s">
        <v>53</v>
      </c>
      <c r="E104">
        <v>6</v>
      </c>
      <c r="F104" t="s">
        <v>62</v>
      </c>
      <c r="G104" t="s">
        <v>30</v>
      </c>
      <c r="H104">
        <v>932</v>
      </c>
      <c r="I104" t="s">
        <v>45</v>
      </c>
      <c r="J104" t="s">
        <v>46</v>
      </c>
      <c r="K104" t="s">
        <v>47</v>
      </c>
      <c r="L104" t="s">
        <v>48</v>
      </c>
      <c r="M104">
        <v>3</v>
      </c>
      <c r="N104" t="s">
        <v>49</v>
      </c>
      <c r="O104" t="s">
        <v>50</v>
      </c>
      <c r="P104" t="s">
        <v>36</v>
      </c>
      <c r="Q104">
        <v>2</v>
      </c>
      <c r="R104" t="s">
        <v>37</v>
      </c>
      <c r="S104">
        <v>24</v>
      </c>
      <c r="T104" t="s">
        <v>96</v>
      </c>
      <c r="U104" t="s">
        <v>36</v>
      </c>
      <c r="V104" t="s">
        <v>38</v>
      </c>
      <c r="W104">
        <v>1</v>
      </c>
      <c r="X104" t="s">
        <v>39</v>
      </c>
      <c r="Y104">
        <v>1</v>
      </c>
      <c r="Z104" t="s">
        <v>51</v>
      </c>
      <c r="AA104" t="s">
        <v>40</v>
      </c>
      <c r="AB104">
        <v>1</v>
      </c>
    </row>
    <row r="105" spans="1:28" x14ac:dyDescent="0.3">
      <c r="A105">
        <v>104</v>
      </c>
      <c r="B105" t="s">
        <v>26</v>
      </c>
      <c r="C105" t="s">
        <v>42</v>
      </c>
      <c r="D105" t="s">
        <v>43</v>
      </c>
      <c r="E105">
        <v>9</v>
      </c>
      <c r="F105" t="s">
        <v>29</v>
      </c>
      <c r="G105" t="s">
        <v>58</v>
      </c>
      <c r="H105">
        <v>1919</v>
      </c>
      <c r="I105" t="s">
        <v>45</v>
      </c>
      <c r="J105" t="s">
        <v>46</v>
      </c>
      <c r="K105" t="s">
        <v>55</v>
      </c>
      <c r="L105" t="s">
        <v>56</v>
      </c>
      <c r="M105">
        <v>4</v>
      </c>
      <c r="N105" t="s">
        <v>34</v>
      </c>
      <c r="O105" t="s">
        <v>35</v>
      </c>
      <c r="P105" t="s">
        <v>36</v>
      </c>
      <c r="Q105">
        <v>3</v>
      </c>
      <c r="R105" t="s">
        <v>68</v>
      </c>
      <c r="S105">
        <v>35</v>
      </c>
      <c r="T105" t="s">
        <v>98</v>
      </c>
      <c r="U105" t="s">
        <v>36</v>
      </c>
      <c r="V105" t="s">
        <v>69</v>
      </c>
      <c r="W105">
        <v>1</v>
      </c>
      <c r="X105" t="s">
        <v>39</v>
      </c>
      <c r="Y105">
        <v>1</v>
      </c>
      <c r="Z105" t="s">
        <v>40</v>
      </c>
      <c r="AA105" t="s">
        <v>40</v>
      </c>
      <c r="AB105">
        <v>1</v>
      </c>
    </row>
    <row r="106" spans="1:28" x14ac:dyDescent="0.3">
      <c r="A106">
        <v>105</v>
      </c>
      <c r="B106" t="s">
        <v>26</v>
      </c>
      <c r="C106" t="s">
        <v>52</v>
      </c>
      <c r="D106" t="s">
        <v>53</v>
      </c>
      <c r="E106">
        <v>12</v>
      </c>
      <c r="F106" t="s">
        <v>44</v>
      </c>
      <c r="G106" t="s">
        <v>67</v>
      </c>
      <c r="H106">
        <v>2445</v>
      </c>
      <c r="I106" t="s">
        <v>31</v>
      </c>
      <c r="J106" t="s">
        <v>31</v>
      </c>
      <c r="K106" t="s">
        <v>76</v>
      </c>
      <c r="L106" t="s">
        <v>77</v>
      </c>
      <c r="M106">
        <v>2</v>
      </c>
      <c r="N106" t="s">
        <v>34</v>
      </c>
      <c r="O106" t="s">
        <v>75</v>
      </c>
      <c r="P106" t="s">
        <v>36</v>
      </c>
      <c r="Q106">
        <v>4</v>
      </c>
      <c r="R106" t="s">
        <v>68</v>
      </c>
      <c r="S106">
        <v>26</v>
      </c>
      <c r="T106" t="s">
        <v>98</v>
      </c>
      <c r="U106" t="s">
        <v>36</v>
      </c>
      <c r="V106" t="s">
        <v>69</v>
      </c>
      <c r="W106">
        <v>1</v>
      </c>
      <c r="X106" t="s">
        <v>39</v>
      </c>
      <c r="Y106">
        <v>1</v>
      </c>
      <c r="Z106" t="s">
        <v>40</v>
      </c>
      <c r="AA106" t="s">
        <v>40</v>
      </c>
      <c r="AB106">
        <v>1</v>
      </c>
    </row>
    <row r="107" spans="1:28" x14ac:dyDescent="0.3">
      <c r="A107">
        <v>106</v>
      </c>
      <c r="B107" t="s">
        <v>41</v>
      </c>
      <c r="C107" t="s">
        <v>42</v>
      </c>
      <c r="D107" t="s">
        <v>43</v>
      </c>
      <c r="E107">
        <v>24</v>
      </c>
      <c r="F107" t="s">
        <v>29</v>
      </c>
      <c r="G107" t="s">
        <v>91</v>
      </c>
      <c r="H107">
        <v>11938</v>
      </c>
      <c r="I107" t="s">
        <v>45</v>
      </c>
      <c r="J107" t="s">
        <v>46</v>
      </c>
      <c r="K107" t="s">
        <v>47</v>
      </c>
      <c r="L107" t="s">
        <v>48</v>
      </c>
      <c r="M107">
        <v>2</v>
      </c>
      <c r="N107" t="s">
        <v>34</v>
      </c>
      <c r="O107" t="s">
        <v>35</v>
      </c>
      <c r="P107" t="s">
        <v>87</v>
      </c>
      <c r="Q107">
        <v>3</v>
      </c>
      <c r="R107" t="s">
        <v>68</v>
      </c>
      <c r="S107">
        <v>39</v>
      </c>
      <c r="T107" t="s">
        <v>98</v>
      </c>
      <c r="U107" t="s">
        <v>36</v>
      </c>
      <c r="V107" t="s">
        <v>38</v>
      </c>
      <c r="W107">
        <v>2</v>
      </c>
      <c r="X107" t="s">
        <v>70</v>
      </c>
      <c r="Y107">
        <v>2</v>
      </c>
      <c r="Z107" t="s">
        <v>40</v>
      </c>
      <c r="AA107" t="s">
        <v>40</v>
      </c>
      <c r="AB107">
        <v>2</v>
      </c>
    </row>
    <row r="108" spans="1:28" x14ac:dyDescent="0.3">
      <c r="A108">
        <v>107</v>
      </c>
      <c r="B108" t="s">
        <v>41</v>
      </c>
      <c r="C108" t="s">
        <v>52</v>
      </c>
      <c r="D108" t="s">
        <v>53</v>
      </c>
      <c r="E108">
        <v>18</v>
      </c>
      <c r="F108" t="s">
        <v>85</v>
      </c>
      <c r="G108" t="s">
        <v>63</v>
      </c>
      <c r="H108">
        <v>6458</v>
      </c>
      <c r="I108" t="s">
        <v>45</v>
      </c>
      <c r="J108" t="s">
        <v>46</v>
      </c>
      <c r="K108" t="s">
        <v>32</v>
      </c>
      <c r="L108" t="s">
        <v>33</v>
      </c>
      <c r="M108">
        <v>2</v>
      </c>
      <c r="N108" t="s">
        <v>34</v>
      </c>
      <c r="O108" t="s">
        <v>35</v>
      </c>
      <c r="P108" t="s">
        <v>36</v>
      </c>
      <c r="Q108">
        <v>4</v>
      </c>
      <c r="R108" t="s">
        <v>64</v>
      </c>
      <c r="S108">
        <v>39</v>
      </c>
      <c r="T108" t="s">
        <v>98</v>
      </c>
      <c r="U108" t="s">
        <v>82</v>
      </c>
      <c r="V108" t="s">
        <v>38</v>
      </c>
      <c r="W108">
        <v>2</v>
      </c>
      <c r="X108" t="s">
        <v>70</v>
      </c>
      <c r="Y108">
        <v>2</v>
      </c>
      <c r="Z108" t="s">
        <v>40</v>
      </c>
      <c r="AA108" t="s">
        <v>40</v>
      </c>
      <c r="AB108">
        <v>2</v>
      </c>
    </row>
    <row r="109" spans="1:28" x14ac:dyDescent="0.3">
      <c r="A109">
        <v>108</v>
      </c>
      <c r="B109" t="s">
        <v>26</v>
      </c>
      <c r="C109" t="s">
        <v>42</v>
      </c>
      <c r="D109" t="s">
        <v>43</v>
      </c>
      <c r="E109">
        <v>12</v>
      </c>
      <c r="F109" t="s">
        <v>44</v>
      </c>
      <c r="G109" t="s">
        <v>63</v>
      </c>
      <c r="H109">
        <v>6078</v>
      </c>
      <c r="I109" t="s">
        <v>45</v>
      </c>
      <c r="J109" t="s">
        <v>46</v>
      </c>
      <c r="K109" t="s">
        <v>55</v>
      </c>
      <c r="L109" t="s">
        <v>56</v>
      </c>
      <c r="M109">
        <v>2</v>
      </c>
      <c r="N109" t="s">
        <v>34</v>
      </c>
      <c r="O109" t="s">
        <v>35</v>
      </c>
      <c r="P109" t="s">
        <v>36</v>
      </c>
      <c r="Q109">
        <v>2</v>
      </c>
      <c r="R109" t="s">
        <v>68</v>
      </c>
      <c r="S109">
        <v>32</v>
      </c>
      <c r="T109" t="s">
        <v>98</v>
      </c>
      <c r="U109" t="s">
        <v>36</v>
      </c>
      <c r="V109" t="s">
        <v>38</v>
      </c>
      <c r="W109">
        <v>1</v>
      </c>
      <c r="X109" t="s">
        <v>39</v>
      </c>
      <c r="Y109">
        <v>1</v>
      </c>
      <c r="Z109" t="s">
        <v>51</v>
      </c>
      <c r="AA109" t="s">
        <v>40</v>
      </c>
      <c r="AB109">
        <v>1</v>
      </c>
    </row>
    <row r="110" spans="1:28" x14ac:dyDescent="0.3">
      <c r="A110">
        <v>109</v>
      </c>
      <c r="B110" t="s">
        <v>26</v>
      </c>
      <c r="C110" t="s">
        <v>27</v>
      </c>
      <c r="D110" t="s">
        <v>28</v>
      </c>
      <c r="E110">
        <v>24</v>
      </c>
      <c r="F110" t="s">
        <v>44</v>
      </c>
      <c r="G110" t="s">
        <v>58</v>
      </c>
      <c r="H110">
        <v>7721</v>
      </c>
      <c r="I110" t="s">
        <v>31</v>
      </c>
      <c r="J110" t="s">
        <v>31</v>
      </c>
      <c r="K110" t="s">
        <v>76</v>
      </c>
      <c r="L110" t="s">
        <v>77</v>
      </c>
      <c r="M110">
        <v>1</v>
      </c>
      <c r="N110" t="s">
        <v>49</v>
      </c>
      <c r="O110" t="s">
        <v>50</v>
      </c>
      <c r="P110" t="s">
        <v>36</v>
      </c>
      <c r="Q110">
        <v>2</v>
      </c>
      <c r="R110" t="s">
        <v>60</v>
      </c>
      <c r="S110">
        <v>30</v>
      </c>
      <c r="T110" t="s">
        <v>98</v>
      </c>
      <c r="U110" t="s">
        <v>36</v>
      </c>
      <c r="V110" t="s">
        <v>38</v>
      </c>
      <c r="W110">
        <v>1</v>
      </c>
      <c r="X110" t="s">
        <v>39</v>
      </c>
      <c r="Y110">
        <v>1</v>
      </c>
      <c r="Z110" t="s">
        <v>40</v>
      </c>
      <c r="AA110" t="s">
        <v>51</v>
      </c>
      <c r="AB110">
        <v>1</v>
      </c>
    </row>
    <row r="111" spans="1:28" x14ac:dyDescent="0.3">
      <c r="A111">
        <v>110</v>
      </c>
      <c r="B111" t="s">
        <v>26</v>
      </c>
      <c r="C111" t="s">
        <v>42</v>
      </c>
      <c r="D111" t="s">
        <v>43</v>
      </c>
      <c r="E111">
        <v>14</v>
      </c>
      <c r="F111" t="s">
        <v>44</v>
      </c>
      <c r="G111" t="s">
        <v>78</v>
      </c>
      <c r="H111">
        <v>1410</v>
      </c>
      <c r="I111" t="s">
        <v>65</v>
      </c>
      <c r="J111" t="s">
        <v>66</v>
      </c>
      <c r="K111" t="s">
        <v>32</v>
      </c>
      <c r="L111" t="s">
        <v>33</v>
      </c>
      <c r="M111">
        <v>1</v>
      </c>
      <c r="N111" t="s">
        <v>34</v>
      </c>
      <c r="O111" t="s">
        <v>75</v>
      </c>
      <c r="P111" t="s">
        <v>36</v>
      </c>
      <c r="Q111">
        <v>2</v>
      </c>
      <c r="R111" t="s">
        <v>37</v>
      </c>
      <c r="S111">
        <v>35</v>
      </c>
      <c r="T111" t="s">
        <v>98</v>
      </c>
      <c r="U111" t="s">
        <v>36</v>
      </c>
      <c r="V111" t="s">
        <v>38</v>
      </c>
      <c r="W111">
        <v>1</v>
      </c>
      <c r="X111" t="s">
        <v>39</v>
      </c>
      <c r="Y111">
        <v>1</v>
      </c>
      <c r="Z111" t="s">
        <v>40</v>
      </c>
      <c r="AA111" t="s">
        <v>40</v>
      </c>
      <c r="AB111">
        <v>1</v>
      </c>
    </row>
    <row r="112" spans="1:28" x14ac:dyDescent="0.3">
      <c r="A112">
        <v>111</v>
      </c>
      <c r="B112" t="s">
        <v>26</v>
      </c>
      <c r="C112" t="s">
        <v>42</v>
      </c>
      <c r="D112" t="s">
        <v>43</v>
      </c>
      <c r="E112">
        <v>6</v>
      </c>
      <c r="F112" t="s">
        <v>62</v>
      </c>
      <c r="G112" t="s">
        <v>78</v>
      </c>
      <c r="H112">
        <v>1449</v>
      </c>
      <c r="I112" t="s">
        <v>79</v>
      </c>
      <c r="J112" t="s">
        <v>80</v>
      </c>
      <c r="K112" t="s">
        <v>32</v>
      </c>
      <c r="L112" t="s">
        <v>33</v>
      </c>
      <c r="M112">
        <v>1</v>
      </c>
      <c r="N112" t="s">
        <v>34</v>
      </c>
      <c r="O112" t="s">
        <v>73</v>
      </c>
      <c r="P112" t="s">
        <v>36</v>
      </c>
      <c r="Q112">
        <v>2</v>
      </c>
      <c r="R112" t="s">
        <v>68</v>
      </c>
      <c r="S112">
        <v>31</v>
      </c>
      <c r="T112" t="s">
        <v>98</v>
      </c>
      <c r="U112" t="s">
        <v>82</v>
      </c>
      <c r="V112" t="s">
        <v>38</v>
      </c>
      <c r="W112">
        <v>2</v>
      </c>
      <c r="X112" t="s">
        <v>39</v>
      </c>
      <c r="Y112">
        <v>2</v>
      </c>
      <c r="Z112" t="s">
        <v>51</v>
      </c>
      <c r="AA112" t="s">
        <v>40</v>
      </c>
      <c r="AB112">
        <v>1</v>
      </c>
    </row>
    <row r="113" spans="1:28" x14ac:dyDescent="0.3">
      <c r="A113">
        <v>112</v>
      </c>
      <c r="B113" t="s">
        <v>26</v>
      </c>
      <c r="C113" t="s">
        <v>83</v>
      </c>
      <c r="D113" t="s">
        <v>84</v>
      </c>
      <c r="E113">
        <v>15</v>
      </c>
      <c r="F113" t="s">
        <v>44</v>
      </c>
      <c r="G113" t="s">
        <v>54</v>
      </c>
      <c r="H113">
        <v>392</v>
      </c>
      <c r="I113" t="s">
        <v>45</v>
      </c>
      <c r="J113" t="s">
        <v>46</v>
      </c>
      <c r="K113" t="s">
        <v>76</v>
      </c>
      <c r="L113" t="s">
        <v>77</v>
      </c>
      <c r="M113">
        <v>4</v>
      </c>
      <c r="N113" t="s">
        <v>49</v>
      </c>
      <c r="O113" t="s">
        <v>50</v>
      </c>
      <c r="P113" t="s">
        <v>36</v>
      </c>
      <c r="Q113">
        <v>4</v>
      </c>
      <c r="R113" t="s">
        <v>60</v>
      </c>
      <c r="S113">
        <v>23</v>
      </c>
      <c r="T113" t="s">
        <v>96</v>
      </c>
      <c r="U113" t="s">
        <v>36</v>
      </c>
      <c r="V113" t="s">
        <v>69</v>
      </c>
      <c r="W113">
        <v>1</v>
      </c>
      <c r="X113" t="s">
        <v>39</v>
      </c>
      <c r="Y113">
        <v>1</v>
      </c>
      <c r="Z113" t="s">
        <v>40</v>
      </c>
      <c r="AA113" t="s">
        <v>40</v>
      </c>
      <c r="AB113">
        <v>1</v>
      </c>
    </row>
    <row r="114" spans="1:28" x14ac:dyDescent="0.3">
      <c r="A114">
        <v>113</v>
      </c>
      <c r="B114" t="s">
        <v>26</v>
      </c>
      <c r="C114" t="s">
        <v>42</v>
      </c>
      <c r="D114" t="s">
        <v>43</v>
      </c>
      <c r="E114">
        <v>18</v>
      </c>
      <c r="F114" t="s">
        <v>44</v>
      </c>
      <c r="G114" t="s">
        <v>63</v>
      </c>
      <c r="H114">
        <v>6260</v>
      </c>
      <c r="I114" t="s">
        <v>45</v>
      </c>
      <c r="J114" t="s">
        <v>46</v>
      </c>
      <c r="K114" t="s">
        <v>55</v>
      </c>
      <c r="L114" t="s">
        <v>56</v>
      </c>
      <c r="M114">
        <v>3</v>
      </c>
      <c r="N114" t="s">
        <v>34</v>
      </c>
      <c r="O114" t="s">
        <v>35</v>
      </c>
      <c r="P114" t="s">
        <v>36</v>
      </c>
      <c r="Q114">
        <v>3</v>
      </c>
      <c r="R114" t="s">
        <v>37</v>
      </c>
      <c r="S114">
        <v>28</v>
      </c>
      <c r="T114" t="s">
        <v>98</v>
      </c>
      <c r="U114" t="s">
        <v>36</v>
      </c>
      <c r="V114" t="s">
        <v>69</v>
      </c>
      <c r="W114">
        <v>1</v>
      </c>
      <c r="X114" t="s">
        <v>57</v>
      </c>
      <c r="Y114">
        <v>1</v>
      </c>
      <c r="Z114" t="s">
        <v>51</v>
      </c>
      <c r="AA114" t="s">
        <v>40</v>
      </c>
      <c r="AB114">
        <v>1</v>
      </c>
    </row>
    <row r="115" spans="1:28" x14ac:dyDescent="0.3">
      <c r="A115">
        <v>114</v>
      </c>
      <c r="B115" t="s">
        <v>41</v>
      </c>
      <c r="C115" t="s">
        <v>52</v>
      </c>
      <c r="D115" t="s">
        <v>53</v>
      </c>
      <c r="E115">
        <v>36</v>
      </c>
      <c r="F115" t="s">
        <v>29</v>
      </c>
      <c r="G115" t="s">
        <v>63</v>
      </c>
      <c r="H115">
        <v>7855</v>
      </c>
      <c r="I115" t="s">
        <v>45</v>
      </c>
      <c r="J115" t="s">
        <v>46</v>
      </c>
      <c r="K115" t="s">
        <v>47</v>
      </c>
      <c r="L115" t="s">
        <v>48</v>
      </c>
      <c r="M115">
        <v>4</v>
      </c>
      <c r="N115" t="s">
        <v>49</v>
      </c>
      <c r="O115" t="s">
        <v>50</v>
      </c>
      <c r="P115" t="s">
        <v>36</v>
      </c>
      <c r="Q115">
        <v>2</v>
      </c>
      <c r="R115" t="s">
        <v>37</v>
      </c>
      <c r="S115">
        <v>25</v>
      </c>
      <c r="T115" t="s">
        <v>98</v>
      </c>
      <c r="U115" t="s">
        <v>86</v>
      </c>
      <c r="V115" t="s">
        <v>38</v>
      </c>
      <c r="W115">
        <v>2</v>
      </c>
      <c r="X115" t="s">
        <v>39</v>
      </c>
      <c r="Y115">
        <v>1</v>
      </c>
      <c r="Z115" t="s">
        <v>40</v>
      </c>
      <c r="AA115" t="s">
        <v>40</v>
      </c>
      <c r="AB115">
        <v>2</v>
      </c>
    </row>
    <row r="116" spans="1:28" x14ac:dyDescent="0.3">
      <c r="A116">
        <v>115</v>
      </c>
      <c r="B116" t="s">
        <v>26</v>
      </c>
      <c r="C116" t="s">
        <v>27</v>
      </c>
      <c r="D116" t="s">
        <v>28</v>
      </c>
      <c r="E116">
        <v>12</v>
      </c>
      <c r="F116" t="s">
        <v>44</v>
      </c>
      <c r="G116" t="s">
        <v>30</v>
      </c>
      <c r="H116">
        <v>1680</v>
      </c>
      <c r="I116" t="s">
        <v>65</v>
      </c>
      <c r="J116" t="s">
        <v>66</v>
      </c>
      <c r="K116" t="s">
        <v>32</v>
      </c>
      <c r="L116" t="s">
        <v>33</v>
      </c>
      <c r="M116">
        <v>3</v>
      </c>
      <c r="N116" t="s">
        <v>34</v>
      </c>
      <c r="O116" t="s">
        <v>75</v>
      </c>
      <c r="P116" t="s">
        <v>36</v>
      </c>
      <c r="Q116">
        <v>1</v>
      </c>
      <c r="R116" t="s">
        <v>37</v>
      </c>
      <c r="S116">
        <v>35</v>
      </c>
      <c r="T116" t="s">
        <v>98</v>
      </c>
      <c r="U116" t="s">
        <v>36</v>
      </c>
      <c r="V116" t="s">
        <v>38</v>
      </c>
      <c r="W116">
        <v>1</v>
      </c>
      <c r="X116" t="s">
        <v>39</v>
      </c>
      <c r="Y116">
        <v>1</v>
      </c>
      <c r="Z116" t="s">
        <v>51</v>
      </c>
      <c r="AA116" t="s">
        <v>40</v>
      </c>
      <c r="AB116">
        <v>1</v>
      </c>
    </row>
    <row r="117" spans="1:28" x14ac:dyDescent="0.3">
      <c r="A117">
        <v>116</v>
      </c>
      <c r="B117" t="s">
        <v>26</v>
      </c>
      <c r="C117" t="s">
        <v>52</v>
      </c>
      <c r="D117" t="s">
        <v>53</v>
      </c>
      <c r="E117">
        <v>48</v>
      </c>
      <c r="F117" t="s">
        <v>29</v>
      </c>
      <c r="G117" t="s">
        <v>30</v>
      </c>
      <c r="H117">
        <v>3578</v>
      </c>
      <c r="I117" t="s">
        <v>31</v>
      </c>
      <c r="J117" t="s">
        <v>31</v>
      </c>
      <c r="K117" t="s">
        <v>32</v>
      </c>
      <c r="L117" t="s">
        <v>33</v>
      </c>
      <c r="M117">
        <v>4</v>
      </c>
      <c r="N117" t="s">
        <v>34</v>
      </c>
      <c r="O117" t="s">
        <v>35</v>
      </c>
      <c r="P117" t="s">
        <v>36</v>
      </c>
      <c r="Q117">
        <v>1</v>
      </c>
      <c r="R117" t="s">
        <v>37</v>
      </c>
      <c r="S117">
        <v>47</v>
      </c>
      <c r="T117" t="s">
        <v>97</v>
      </c>
      <c r="U117" t="s">
        <v>36</v>
      </c>
      <c r="V117" t="s">
        <v>38</v>
      </c>
      <c r="W117">
        <v>1</v>
      </c>
      <c r="X117" t="s">
        <v>39</v>
      </c>
      <c r="Y117">
        <v>1</v>
      </c>
      <c r="Z117" t="s">
        <v>40</v>
      </c>
      <c r="AA117" t="s">
        <v>40</v>
      </c>
      <c r="AB117">
        <v>1</v>
      </c>
    </row>
    <row r="118" spans="1:28" x14ac:dyDescent="0.3">
      <c r="A118">
        <v>117</v>
      </c>
      <c r="B118" t="s">
        <v>41</v>
      </c>
      <c r="C118" t="s">
        <v>27</v>
      </c>
      <c r="D118" t="s">
        <v>28</v>
      </c>
      <c r="E118">
        <v>42</v>
      </c>
      <c r="F118" t="s">
        <v>44</v>
      </c>
      <c r="G118" t="s">
        <v>30</v>
      </c>
      <c r="H118">
        <v>7174</v>
      </c>
      <c r="I118" t="s">
        <v>31</v>
      </c>
      <c r="J118" t="s">
        <v>31</v>
      </c>
      <c r="K118" t="s">
        <v>55</v>
      </c>
      <c r="L118" t="s">
        <v>56</v>
      </c>
      <c r="M118">
        <v>4</v>
      </c>
      <c r="N118" t="s">
        <v>49</v>
      </c>
      <c r="O118" t="s">
        <v>50</v>
      </c>
      <c r="P118" t="s">
        <v>36</v>
      </c>
      <c r="Q118">
        <v>3</v>
      </c>
      <c r="R118" t="s">
        <v>68</v>
      </c>
      <c r="S118">
        <v>30</v>
      </c>
      <c r="T118" t="s">
        <v>98</v>
      </c>
      <c r="U118" t="s">
        <v>36</v>
      </c>
      <c r="V118" t="s">
        <v>38</v>
      </c>
      <c r="W118">
        <v>1</v>
      </c>
      <c r="X118" t="s">
        <v>70</v>
      </c>
      <c r="Y118">
        <v>1</v>
      </c>
      <c r="Z118" t="s">
        <v>40</v>
      </c>
      <c r="AA118" t="s">
        <v>40</v>
      </c>
      <c r="AB118">
        <v>2</v>
      </c>
    </row>
    <row r="119" spans="1:28" x14ac:dyDescent="0.3">
      <c r="A119">
        <v>118</v>
      </c>
      <c r="B119" t="s">
        <v>26</v>
      </c>
      <c r="C119" t="s">
        <v>27</v>
      </c>
      <c r="D119" t="s">
        <v>28</v>
      </c>
      <c r="E119">
        <v>10</v>
      </c>
      <c r="F119" t="s">
        <v>29</v>
      </c>
      <c r="G119" t="s">
        <v>58</v>
      </c>
      <c r="H119">
        <v>2132</v>
      </c>
      <c r="I119" t="s">
        <v>31</v>
      </c>
      <c r="J119" t="s">
        <v>31</v>
      </c>
      <c r="K119" t="s">
        <v>76</v>
      </c>
      <c r="L119" t="s">
        <v>77</v>
      </c>
      <c r="M119">
        <v>2</v>
      </c>
      <c r="N119" t="s">
        <v>49</v>
      </c>
      <c r="O119" t="s">
        <v>50</v>
      </c>
      <c r="P119" t="s">
        <v>87</v>
      </c>
      <c r="Q119">
        <v>3</v>
      </c>
      <c r="R119" t="s">
        <v>37</v>
      </c>
      <c r="S119">
        <v>27</v>
      </c>
      <c r="T119" t="s">
        <v>98</v>
      </c>
      <c r="U119" t="s">
        <v>36</v>
      </c>
      <c r="V119" t="s">
        <v>69</v>
      </c>
      <c r="W119">
        <v>2</v>
      </c>
      <c r="X119" t="s">
        <v>39</v>
      </c>
      <c r="Y119">
        <v>1</v>
      </c>
      <c r="Z119" t="s">
        <v>51</v>
      </c>
      <c r="AA119" t="s">
        <v>51</v>
      </c>
      <c r="AB119">
        <v>1</v>
      </c>
    </row>
    <row r="120" spans="1:28" x14ac:dyDescent="0.3">
      <c r="A120">
        <v>119</v>
      </c>
      <c r="B120" t="s">
        <v>41</v>
      </c>
      <c r="C120" t="s">
        <v>27</v>
      </c>
      <c r="D120" t="s">
        <v>28</v>
      </c>
      <c r="E120">
        <v>33</v>
      </c>
      <c r="F120" t="s">
        <v>29</v>
      </c>
      <c r="G120" t="s">
        <v>58</v>
      </c>
      <c r="H120">
        <v>4281</v>
      </c>
      <c r="I120" t="s">
        <v>65</v>
      </c>
      <c r="J120" t="s">
        <v>66</v>
      </c>
      <c r="K120" t="s">
        <v>47</v>
      </c>
      <c r="L120" t="s">
        <v>48</v>
      </c>
      <c r="M120">
        <v>1</v>
      </c>
      <c r="N120" t="s">
        <v>49</v>
      </c>
      <c r="O120" t="s">
        <v>50</v>
      </c>
      <c r="P120" t="s">
        <v>36</v>
      </c>
      <c r="Q120">
        <v>4</v>
      </c>
      <c r="R120" t="s">
        <v>68</v>
      </c>
      <c r="S120">
        <v>23</v>
      </c>
      <c r="T120" t="s">
        <v>96</v>
      </c>
      <c r="U120" t="s">
        <v>36</v>
      </c>
      <c r="V120" t="s">
        <v>38</v>
      </c>
      <c r="W120">
        <v>2</v>
      </c>
      <c r="X120" t="s">
        <v>39</v>
      </c>
      <c r="Y120">
        <v>1</v>
      </c>
      <c r="Z120" t="s">
        <v>51</v>
      </c>
      <c r="AA120" t="s">
        <v>40</v>
      </c>
      <c r="AB120">
        <v>2</v>
      </c>
    </row>
    <row r="121" spans="1:28" x14ac:dyDescent="0.3">
      <c r="A121">
        <v>120</v>
      </c>
      <c r="B121" t="s">
        <v>26</v>
      </c>
      <c r="C121" t="s">
        <v>42</v>
      </c>
      <c r="D121" t="s">
        <v>43</v>
      </c>
      <c r="E121">
        <v>12</v>
      </c>
      <c r="F121" t="s">
        <v>29</v>
      </c>
      <c r="G121" t="s">
        <v>63</v>
      </c>
      <c r="H121">
        <v>2366</v>
      </c>
      <c r="I121" t="s">
        <v>65</v>
      </c>
      <c r="J121" t="s">
        <v>66</v>
      </c>
      <c r="K121" t="s">
        <v>55</v>
      </c>
      <c r="L121" t="s">
        <v>56</v>
      </c>
      <c r="M121">
        <v>3</v>
      </c>
      <c r="N121" t="s">
        <v>34</v>
      </c>
      <c r="O121" t="s">
        <v>73</v>
      </c>
      <c r="P121" t="s">
        <v>36</v>
      </c>
      <c r="Q121">
        <v>3</v>
      </c>
      <c r="R121" t="s">
        <v>68</v>
      </c>
      <c r="S121">
        <v>36</v>
      </c>
      <c r="T121" t="s">
        <v>98</v>
      </c>
      <c r="U121" t="s">
        <v>36</v>
      </c>
      <c r="V121" t="s">
        <v>38</v>
      </c>
      <c r="W121">
        <v>1</v>
      </c>
      <c r="X121" t="s">
        <v>70</v>
      </c>
      <c r="Y121">
        <v>1</v>
      </c>
      <c r="Z121" t="s">
        <v>40</v>
      </c>
      <c r="AA121" t="s">
        <v>40</v>
      </c>
      <c r="AB121">
        <v>1</v>
      </c>
    </row>
    <row r="122" spans="1:28" x14ac:dyDescent="0.3">
      <c r="A122">
        <v>121</v>
      </c>
      <c r="B122" t="s">
        <v>41</v>
      </c>
      <c r="C122" t="s">
        <v>27</v>
      </c>
      <c r="D122" t="s">
        <v>28</v>
      </c>
      <c r="E122">
        <v>21</v>
      </c>
      <c r="F122" t="s">
        <v>44</v>
      </c>
      <c r="G122" t="s">
        <v>30</v>
      </c>
      <c r="H122">
        <v>1835</v>
      </c>
      <c r="I122" t="s">
        <v>45</v>
      </c>
      <c r="J122" t="s">
        <v>46</v>
      </c>
      <c r="K122" t="s">
        <v>47</v>
      </c>
      <c r="L122" t="s">
        <v>48</v>
      </c>
      <c r="M122">
        <v>3</v>
      </c>
      <c r="N122" t="s">
        <v>49</v>
      </c>
      <c r="O122" t="s">
        <v>50</v>
      </c>
      <c r="P122" t="s">
        <v>36</v>
      </c>
      <c r="Q122">
        <v>2</v>
      </c>
      <c r="R122" t="s">
        <v>37</v>
      </c>
      <c r="S122">
        <v>25</v>
      </c>
      <c r="T122" t="s">
        <v>98</v>
      </c>
      <c r="U122" t="s">
        <v>36</v>
      </c>
      <c r="V122" t="s">
        <v>38</v>
      </c>
      <c r="W122">
        <v>2</v>
      </c>
      <c r="X122" t="s">
        <v>39</v>
      </c>
      <c r="Y122">
        <v>1</v>
      </c>
      <c r="Z122" t="s">
        <v>40</v>
      </c>
      <c r="AA122" t="s">
        <v>40</v>
      </c>
      <c r="AB122">
        <v>2</v>
      </c>
    </row>
    <row r="123" spans="1:28" x14ac:dyDescent="0.3">
      <c r="A123">
        <v>122</v>
      </c>
      <c r="B123" t="s">
        <v>26</v>
      </c>
      <c r="C123" t="s">
        <v>52</v>
      </c>
      <c r="D123" t="s">
        <v>53</v>
      </c>
      <c r="E123">
        <v>24</v>
      </c>
      <c r="F123" t="s">
        <v>29</v>
      </c>
      <c r="G123" t="s">
        <v>67</v>
      </c>
      <c r="H123">
        <v>3868</v>
      </c>
      <c r="I123" t="s">
        <v>45</v>
      </c>
      <c r="J123" t="s">
        <v>46</v>
      </c>
      <c r="K123" t="s">
        <v>32</v>
      </c>
      <c r="L123" t="s">
        <v>33</v>
      </c>
      <c r="M123">
        <v>4</v>
      </c>
      <c r="N123" t="s">
        <v>49</v>
      </c>
      <c r="O123" t="s">
        <v>50</v>
      </c>
      <c r="P123" t="s">
        <v>36</v>
      </c>
      <c r="Q123">
        <v>2</v>
      </c>
      <c r="R123" t="s">
        <v>68</v>
      </c>
      <c r="S123">
        <v>41</v>
      </c>
      <c r="T123" t="s">
        <v>97</v>
      </c>
      <c r="U123" t="s">
        <v>36</v>
      </c>
      <c r="V123" t="s">
        <v>69</v>
      </c>
      <c r="W123">
        <v>2</v>
      </c>
      <c r="X123" t="s">
        <v>70</v>
      </c>
      <c r="Y123">
        <v>1</v>
      </c>
      <c r="Z123" t="s">
        <v>40</v>
      </c>
      <c r="AA123" t="s">
        <v>40</v>
      </c>
      <c r="AB123">
        <v>1</v>
      </c>
    </row>
    <row r="124" spans="1:28" x14ac:dyDescent="0.3">
      <c r="A124">
        <v>123</v>
      </c>
      <c r="B124" t="s">
        <v>26</v>
      </c>
      <c r="C124" t="s">
        <v>52</v>
      </c>
      <c r="D124" t="s">
        <v>53</v>
      </c>
      <c r="E124">
        <v>12</v>
      </c>
      <c r="F124" t="s">
        <v>44</v>
      </c>
      <c r="G124" t="s">
        <v>58</v>
      </c>
      <c r="H124">
        <v>1768</v>
      </c>
      <c r="I124" t="s">
        <v>45</v>
      </c>
      <c r="J124" t="s">
        <v>46</v>
      </c>
      <c r="K124" t="s">
        <v>47</v>
      </c>
      <c r="L124" t="s">
        <v>48</v>
      </c>
      <c r="M124">
        <v>3</v>
      </c>
      <c r="N124" t="s">
        <v>34</v>
      </c>
      <c r="O124" t="s">
        <v>35</v>
      </c>
      <c r="P124" t="s">
        <v>36</v>
      </c>
      <c r="Q124">
        <v>2</v>
      </c>
      <c r="R124" t="s">
        <v>37</v>
      </c>
      <c r="S124">
        <v>24</v>
      </c>
      <c r="T124" t="s">
        <v>96</v>
      </c>
      <c r="U124" t="s">
        <v>36</v>
      </c>
      <c r="V124" t="s">
        <v>69</v>
      </c>
      <c r="W124">
        <v>1</v>
      </c>
      <c r="X124" t="s">
        <v>57</v>
      </c>
      <c r="Y124">
        <v>1</v>
      </c>
      <c r="Z124" t="s">
        <v>51</v>
      </c>
      <c r="AA124" t="s">
        <v>40</v>
      </c>
      <c r="AB124">
        <v>1</v>
      </c>
    </row>
    <row r="125" spans="1:28" x14ac:dyDescent="0.3">
      <c r="A125">
        <v>124</v>
      </c>
      <c r="B125" t="s">
        <v>26</v>
      </c>
      <c r="C125" t="s">
        <v>83</v>
      </c>
      <c r="D125" t="s">
        <v>84</v>
      </c>
      <c r="E125">
        <v>10</v>
      </c>
      <c r="F125" t="s">
        <v>29</v>
      </c>
      <c r="G125" t="s">
        <v>63</v>
      </c>
      <c r="H125">
        <v>781</v>
      </c>
      <c r="I125" t="s">
        <v>45</v>
      </c>
      <c r="J125" t="s">
        <v>46</v>
      </c>
      <c r="K125" t="s">
        <v>32</v>
      </c>
      <c r="L125" t="s">
        <v>33</v>
      </c>
      <c r="M125">
        <v>4</v>
      </c>
      <c r="N125" t="s">
        <v>34</v>
      </c>
      <c r="O125" t="s">
        <v>35</v>
      </c>
      <c r="P125" t="s">
        <v>36</v>
      </c>
      <c r="Q125">
        <v>4</v>
      </c>
      <c r="R125" t="s">
        <v>64</v>
      </c>
      <c r="S125">
        <v>63</v>
      </c>
      <c r="T125" t="s">
        <v>95</v>
      </c>
      <c r="U125" t="s">
        <v>36</v>
      </c>
      <c r="V125" t="s">
        <v>61</v>
      </c>
      <c r="W125">
        <v>2</v>
      </c>
      <c r="X125" t="s">
        <v>39</v>
      </c>
      <c r="Y125">
        <v>1</v>
      </c>
      <c r="Z125" t="s">
        <v>40</v>
      </c>
      <c r="AA125" t="s">
        <v>40</v>
      </c>
      <c r="AB125">
        <v>1</v>
      </c>
    </row>
    <row r="126" spans="1:28" x14ac:dyDescent="0.3">
      <c r="A126">
        <v>125</v>
      </c>
      <c r="B126" t="s">
        <v>41</v>
      </c>
      <c r="C126" t="s">
        <v>42</v>
      </c>
      <c r="D126" t="s">
        <v>43</v>
      </c>
      <c r="E126">
        <v>18</v>
      </c>
      <c r="F126" t="s">
        <v>44</v>
      </c>
      <c r="G126" t="s">
        <v>58</v>
      </c>
      <c r="H126">
        <v>1924</v>
      </c>
      <c r="I126" t="s">
        <v>31</v>
      </c>
      <c r="J126" t="s">
        <v>31</v>
      </c>
      <c r="K126" t="s">
        <v>76</v>
      </c>
      <c r="L126" t="s">
        <v>77</v>
      </c>
      <c r="M126">
        <v>4</v>
      </c>
      <c r="N126" t="s">
        <v>49</v>
      </c>
      <c r="O126" t="s">
        <v>50</v>
      </c>
      <c r="P126" t="s">
        <v>36</v>
      </c>
      <c r="Q126">
        <v>3</v>
      </c>
      <c r="R126" t="s">
        <v>37</v>
      </c>
      <c r="S126">
        <v>27</v>
      </c>
      <c r="T126" t="s">
        <v>98</v>
      </c>
      <c r="U126" t="s">
        <v>36</v>
      </c>
      <c r="V126" t="s">
        <v>69</v>
      </c>
      <c r="W126">
        <v>1</v>
      </c>
      <c r="X126" t="s">
        <v>39</v>
      </c>
      <c r="Y126">
        <v>1</v>
      </c>
      <c r="Z126" t="s">
        <v>51</v>
      </c>
      <c r="AA126" t="s">
        <v>40</v>
      </c>
      <c r="AB126">
        <v>2</v>
      </c>
    </row>
    <row r="127" spans="1:28" x14ac:dyDescent="0.3">
      <c r="A127">
        <v>126</v>
      </c>
      <c r="B127" t="s">
        <v>26</v>
      </c>
      <c r="C127" t="s">
        <v>27</v>
      </c>
      <c r="D127" t="s">
        <v>28</v>
      </c>
      <c r="E127">
        <v>12</v>
      </c>
      <c r="F127" t="s">
        <v>29</v>
      </c>
      <c r="G127" t="s">
        <v>63</v>
      </c>
      <c r="H127">
        <v>2121</v>
      </c>
      <c r="I127" t="s">
        <v>45</v>
      </c>
      <c r="J127" t="s">
        <v>46</v>
      </c>
      <c r="K127" t="s">
        <v>47</v>
      </c>
      <c r="L127" t="s">
        <v>48</v>
      </c>
      <c r="M127">
        <v>4</v>
      </c>
      <c r="N127" t="s">
        <v>34</v>
      </c>
      <c r="O127" t="s">
        <v>35</v>
      </c>
      <c r="P127" t="s">
        <v>36</v>
      </c>
      <c r="Q127">
        <v>2</v>
      </c>
      <c r="R127" t="s">
        <v>60</v>
      </c>
      <c r="S127">
        <v>30</v>
      </c>
      <c r="T127" t="s">
        <v>98</v>
      </c>
      <c r="U127" t="s">
        <v>36</v>
      </c>
      <c r="V127" t="s">
        <v>38</v>
      </c>
      <c r="W127">
        <v>2</v>
      </c>
      <c r="X127" t="s">
        <v>39</v>
      </c>
      <c r="Y127">
        <v>1</v>
      </c>
      <c r="Z127" t="s">
        <v>51</v>
      </c>
      <c r="AA127" t="s">
        <v>40</v>
      </c>
      <c r="AB127">
        <v>1</v>
      </c>
    </row>
    <row r="128" spans="1:28" x14ac:dyDescent="0.3">
      <c r="A128">
        <v>127</v>
      </c>
      <c r="B128" t="s">
        <v>26</v>
      </c>
      <c r="C128" t="s">
        <v>27</v>
      </c>
      <c r="D128" t="s">
        <v>28</v>
      </c>
      <c r="E128">
        <v>12</v>
      </c>
      <c r="F128" t="s">
        <v>44</v>
      </c>
      <c r="G128" t="s">
        <v>30</v>
      </c>
      <c r="H128">
        <v>701</v>
      </c>
      <c r="I128" t="s">
        <v>45</v>
      </c>
      <c r="J128" t="s">
        <v>46</v>
      </c>
      <c r="K128" t="s">
        <v>47</v>
      </c>
      <c r="L128" t="s">
        <v>48</v>
      </c>
      <c r="M128">
        <v>4</v>
      </c>
      <c r="N128" t="s">
        <v>34</v>
      </c>
      <c r="O128" t="s">
        <v>75</v>
      </c>
      <c r="P128" t="s">
        <v>36</v>
      </c>
      <c r="Q128">
        <v>2</v>
      </c>
      <c r="R128" t="s">
        <v>37</v>
      </c>
      <c r="S128">
        <v>40</v>
      </c>
      <c r="T128" t="s">
        <v>97</v>
      </c>
      <c r="U128" t="s">
        <v>36</v>
      </c>
      <c r="V128" t="s">
        <v>38</v>
      </c>
      <c r="W128">
        <v>1</v>
      </c>
      <c r="X128" t="s">
        <v>57</v>
      </c>
      <c r="Y128">
        <v>1</v>
      </c>
      <c r="Z128" t="s">
        <v>51</v>
      </c>
      <c r="AA128" t="s">
        <v>40</v>
      </c>
      <c r="AB128">
        <v>1</v>
      </c>
    </row>
    <row r="129" spans="1:28" x14ac:dyDescent="0.3">
      <c r="A129">
        <v>128</v>
      </c>
      <c r="B129" t="s">
        <v>41</v>
      </c>
      <c r="C129" t="s">
        <v>42</v>
      </c>
      <c r="D129" t="s">
        <v>43</v>
      </c>
      <c r="E129">
        <v>12</v>
      </c>
      <c r="F129" t="s">
        <v>44</v>
      </c>
      <c r="G129" t="s">
        <v>89</v>
      </c>
      <c r="H129">
        <v>639</v>
      </c>
      <c r="I129" t="s">
        <v>45</v>
      </c>
      <c r="J129" t="s">
        <v>46</v>
      </c>
      <c r="K129" t="s">
        <v>47</v>
      </c>
      <c r="L129" t="s">
        <v>48</v>
      </c>
      <c r="M129">
        <v>4</v>
      </c>
      <c r="N129" t="s">
        <v>34</v>
      </c>
      <c r="O129" t="s">
        <v>35</v>
      </c>
      <c r="P129" t="s">
        <v>36</v>
      </c>
      <c r="Q129">
        <v>2</v>
      </c>
      <c r="R129" t="s">
        <v>68</v>
      </c>
      <c r="S129">
        <v>30</v>
      </c>
      <c r="T129" t="s">
        <v>98</v>
      </c>
      <c r="U129" t="s">
        <v>36</v>
      </c>
      <c r="V129" t="s">
        <v>38</v>
      </c>
      <c r="W129">
        <v>1</v>
      </c>
      <c r="X129" t="s">
        <v>39</v>
      </c>
      <c r="Y129">
        <v>1</v>
      </c>
      <c r="Z129" t="s">
        <v>51</v>
      </c>
      <c r="AA129" t="s">
        <v>40</v>
      </c>
      <c r="AB129">
        <v>2</v>
      </c>
    </row>
    <row r="130" spans="1:28" x14ac:dyDescent="0.3">
      <c r="A130">
        <v>129</v>
      </c>
      <c r="B130" t="s">
        <v>26</v>
      </c>
      <c r="C130" t="s">
        <v>42</v>
      </c>
      <c r="D130" t="s">
        <v>43</v>
      </c>
      <c r="E130">
        <v>12</v>
      </c>
      <c r="F130" t="s">
        <v>29</v>
      </c>
      <c r="G130" t="s">
        <v>67</v>
      </c>
      <c r="H130">
        <v>1860</v>
      </c>
      <c r="I130" t="s">
        <v>45</v>
      </c>
      <c r="J130" t="s">
        <v>46</v>
      </c>
      <c r="K130" t="s">
        <v>74</v>
      </c>
      <c r="L130" t="s">
        <v>74</v>
      </c>
      <c r="M130">
        <v>4</v>
      </c>
      <c r="N130" t="s">
        <v>34</v>
      </c>
      <c r="O130" t="s">
        <v>35</v>
      </c>
      <c r="P130" t="s">
        <v>36</v>
      </c>
      <c r="Q130">
        <v>2</v>
      </c>
      <c r="R130" t="s">
        <v>68</v>
      </c>
      <c r="S130">
        <v>34</v>
      </c>
      <c r="T130" t="s">
        <v>98</v>
      </c>
      <c r="U130" t="s">
        <v>36</v>
      </c>
      <c r="V130" t="s">
        <v>38</v>
      </c>
      <c r="W130">
        <v>2</v>
      </c>
      <c r="X130" t="s">
        <v>70</v>
      </c>
      <c r="Y130">
        <v>1</v>
      </c>
      <c r="Z130" t="s">
        <v>40</v>
      </c>
      <c r="AA130" t="s">
        <v>40</v>
      </c>
      <c r="AB130">
        <v>1</v>
      </c>
    </row>
    <row r="131" spans="1:28" x14ac:dyDescent="0.3">
      <c r="A131">
        <v>130</v>
      </c>
      <c r="B131" t="s">
        <v>41</v>
      </c>
      <c r="C131" t="s">
        <v>27</v>
      </c>
      <c r="D131" t="s">
        <v>28</v>
      </c>
      <c r="E131">
        <v>12</v>
      </c>
      <c r="F131" t="s">
        <v>29</v>
      </c>
      <c r="G131" t="s">
        <v>63</v>
      </c>
      <c r="H131">
        <v>3499</v>
      </c>
      <c r="I131" t="s">
        <v>45</v>
      </c>
      <c r="J131" t="s">
        <v>46</v>
      </c>
      <c r="K131" t="s">
        <v>47</v>
      </c>
      <c r="L131" t="s">
        <v>48</v>
      </c>
      <c r="M131">
        <v>3</v>
      </c>
      <c r="N131" t="s">
        <v>49</v>
      </c>
      <c r="O131" t="s">
        <v>50</v>
      </c>
      <c r="P131" t="s">
        <v>87</v>
      </c>
      <c r="Q131">
        <v>2</v>
      </c>
      <c r="R131" t="s">
        <v>37</v>
      </c>
      <c r="S131">
        <v>29</v>
      </c>
      <c r="T131" t="s">
        <v>98</v>
      </c>
      <c r="U131" t="s">
        <v>36</v>
      </c>
      <c r="V131" t="s">
        <v>38</v>
      </c>
      <c r="W131">
        <v>2</v>
      </c>
      <c r="X131" t="s">
        <v>39</v>
      </c>
      <c r="Y131">
        <v>1</v>
      </c>
      <c r="Z131" t="s">
        <v>51</v>
      </c>
      <c r="AA131" t="s">
        <v>40</v>
      </c>
      <c r="AB131">
        <v>2</v>
      </c>
    </row>
    <row r="132" spans="1:28" x14ac:dyDescent="0.3">
      <c r="A132">
        <v>131</v>
      </c>
      <c r="B132" t="s">
        <v>26</v>
      </c>
      <c r="C132" t="s">
        <v>42</v>
      </c>
      <c r="D132" t="s">
        <v>43</v>
      </c>
      <c r="E132">
        <v>48</v>
      </c>
      <c r="F132" t="s">
        <v>44</v>
      </c>
      <c r="G132" t="s">
        <v>63</v>
      </c>
      <c r="H132">
        <v>8487</v>
      </c>
      <c r="I132" t="s">
        <v>31</v>
      </c>
      <c r="J132" t="s">
        <v>31</v>
      </c>
      <c r="K132" t="s">
        <v>55</v>
      </c>
      <c r="L132" t="s">
        <v>56</v>
      </c>
      <c r="M132">
        <v>1</v>
      </c>
      <c r="N132" t="s">
        <v>49</v>
      </c>
      <c r="O132" t="s">
        <v>50</v>
      </c>
      <c r="P132" t="s">
        <v>36</v>
      </c>
      <c r="Q132">
        <v>2</v>
      </c>
      <c r="R132" t="s">
        <v>68</v>
      </c>
      <c r="S132">
        <v>24</v>
      </c>
      <c r="T132" t="s">
        <v>96</v>
      </c>
      <c r="U132" t="s">
        <v>36</v>
      </c>
      <c r="V132" t="s">
        <v>38</v>
      </c>
      <c r="W132">
        <v>1</v>
      </c>
      <c r="X132" t="s">
        <v>39</v>
      </c>
      <c r="Y132">
        <v>1</v>
      </c>
      <c r="Z132" t="s">
        <v>51</v>
      </c>
      <c r="AA132" t="s">
        <v>40</v>
      </c>
      <c r="AB132">
        <v>1</v>
      </c>
    </row>
    <row r="133" spans="1:28" x14ac:dyDescent="0.3">
      <c r="A133">
        <v>132</v>
      </c>
      <c r="B133" t="s">
        <v>41</v>
      </c>
      <c r="C133" t="s">
        <v>27</v>
      </c>
      <c r="D133" t="s">
        <v>28</v>
      </c>
      <c r="E133">
        <v>36</v>
      </c>
      <c r="F133" t="s">
        <v>62</v>
      </c>
      <c r="G133" t="s">
        <v>54</v>
      </c>
      <c r="H133">
        <v>6887</v>
      </c>
      <c r="I133" t="s">
        <v>45</v>
      </c>
      <c r="J133" t="s">
        <v>46</v>
      </c>
      <c r="K133" t="s">
        <v>47</v>
      </c>
      <c r="L133" t="s">
        <v>48</v>
      </c>
      <c r="M133">
        <v>4</v>
      </c>
      <c r="N133" t="s">
        <v>34</v>
      </c>
      <c r="O133" t="s">
        <v>35</v>
      </c>
      <c r="P133" t="s">
        <v>36</v>
      </c>
      <c r="Q133">
        <v>3</v>
      </c>
      <c r="R133" t="s">
        <v>60</v>
      </c>
      <c r="S133">
        <v>29</v>
      </c>
      <c r="T133" t="s">
        <v>98</v>
      </c>
      <c r="U133" t="s">
        <v>86</v>
      </c>
      <c r="V133" t="s">
        <v>38</v>
      </c>
      <c r="W133">
        <v>1</v>
      </c>
      <c r="X133" t="s">
        <v>39</v>
      </c>
      <c r="Y133">
        <v>1</v>
      </c>
      <c r="Z133" t="s">
        <v>40</v>
      </c>
      <c r="AA133" t="s">
        <v>40</v>
      </c>
      <c r="AB133">
        <v>2</v>
      </c>
    </row>
    <row r="134" spans="1:28" x14ac:dyDescent="0.3">
      <c r="A134">
        <v>133</v>
      </c>
      <c r="B134" t="s">
        <v>26</v>
      </c>
      <c r="C134" t="s">
        <v>52</v>
      </c>
      <c r="D134" t="s">
        <v>53</v>
      </c>
      <c r="E134">
        <v>15</v>
      </c>
      <c r="F134" t="s">
        <v>44</v>
      </c>
      <c r="G134" t="s">
        <v>58</v>
      </c>
      <c r="H134">
        <v>2708</v>
      </c>
      <c r="I134" t="s">
        <v>45</v>
      </c>
      <c r="J134" t="s">
        <v>46</v>
      </c>
      <c r="K134" t="s">
        <v>76</v>
      </c>
      <c r="L134" t="s">
        <v>77</v>
      </c>
      <c r="M134">
        <v>2</v>
      </c>
      <c r="N134" t="s">
        <v>34</v>
      </c>
      <c r="O134" t="s">
        <v>35</v>
      </c>
      <c r="P134" t="s">
        <v>36</v>
      </c>
      <c r="Q134">
        <v>3</v>
      </c>
      <c r="R134" t="s">
        <v>60</v>
      </c>
      <c r="S134">
        <v>27</v>
      </c>
      <c r="T134" t="s">
        <v>98</v>
      </c>
      <c r="U134" t="s">
        <v>82</v>
      </c>
      <c r="V134" t="s">
        <v>38</v>
      </c>
      <c r="W134">
        <v>2</v>
      </c>
      <c r="X134" t="s">
        <v>57</v>
      </c>
      <c r="Y134">
        <v>1</v>
      </c>
      <c r="Z134" t="s">
        <v>51</v>
      </c>
      <c r="AA134" t="s">
        <v>40</v>
      </c>
      <c r="AB134">
        <v>1</v>
      </c>
    </row>
    <row r="135" spans="1:28" x14ac:dyDescent="0.3">
      <c r="A135">
        <v>134</v>
      </c>
      <c r="B135" t="s">
        <v>26</v>
      </c>
      <c r="C135" t="s">
        <v>52</v>
      </c>
      <c r="D135" t="s">
        <v>53</v>
      </c>
      <c r="E135">
        <v>18</v>
      </c>
      <c r="F135" t="s">
        <v>44</v>
      </c>
      <c r="G135" t="s">
        <v>58</v>
      </c>
      <c r="H135">
        <v>1984</v>
      </c>
      <c r="I135" t="s">
        <v>45</v>
      </c>
      <c r="J135" t="s">
        <v>46</v>
      </c>
      <c r="K135" t="s">
        <v>47</v>
      </c>
      <c r="L135" t="s">
        <v>48</v>
      </c>
      <c r="M135">
        <v>4</v>
      </c>
      <c r="N135" t="s">
        <v>34</v>
      </c>
      <c r="O135" t="s">
        <v>35</v>
      </c>
      <c r="P135" t="s">
        <v>36</v>
      </c>
      <c r="Q135">
        <v>4</v>
      </c>
      <c r="R135" t="s">
        <v>64</v>
      </c>
      <c r="S135">
        <v>47</v>
      </c>
      <c r="T135" t="s">
        <v>97</v>
      </c>
      <c r="U135" t="s">
        <v>82</v>
      </c>
      <c r="V135" t="s">
        <v>61</v>
      </c>
      <c r="W135">
        <v>2</v>
      </c>
      <c r="X135" t="s">
        <v>39</v>
      </c>
      <c r="Y135">
        <v>1</v>
      </c>
      <c r="Z135" t="s">
        <v>51</v>
      </c>
      <c r="AA135" t="s">
        <v>40</v>
      </c>
      <c r="AB135">
        <v>1</v>
      </c>
    </row>
    <row r="136" spans="1:28" x14ac:dyDescent="0.3">
      <c r="A136">
        <v>135</v>
      </c>
      <c r="B136" t="s">
        <v>26</v>
      </c>
      <c r="C136" t="s">
        <v>52</v>
      </c>
      <c r="D136" t="s">
        <v>53</v>
      </c>
      <c r="E136">
        <v>60</v>
      </c>
      <c r="F136" t="s">
        <v>44</v>
      </c>
      <c r="G136" t="s">
        <v>30</v>
      </c>
      <c r="H136">
        <v>10144</v>
      </c>
      <c r="I136" t="s">
        <v>79</v>
      </c>
      <c r="J136" t="s">
        <v>80</v>
      </c>
      <c r="K136" t="s">
        <v>55</v>
      </c>
      <c r="L136" t="s">
        <v>56</v>
      </c>
      <c r="M136">
        <v>2</v>
      </c>
      <c r="N136" t="s">
        <v>49</v>
      </c>
      <c r="O136" t="s">
        <v>50</v>
      </c>
      <c r="P136" t="s">
        <v>36</v>
      </c>
      <c r="Q136">
        <v>4</v>
      </c>
      <c r="R136" t="s">
        <v>37</v>
      </c>
      <c r="S136">
        <v>21</v>
      </c>
      <c r="T136" t="s">
        <v>96</v>
      </c>
      <c r="U136" t="s">
        <v>36</v>
      </c>
      <c r="V136" t="s">
        <v>38</v>
      </c>
      <c r="W136">
        <v>1</v>
      </c>
      <c r="X136" t="s">
        <v>39</v>
      </c>
      <c r="Y136">
        <v>1</v>
      </c>
      <c r="Z136" t="s">
        <v>40</v>
      </c>
      <c r="AA136" t="s">
        <v>40</v>
      </c>
      <c r="AB136">
        <v>1</v>
      </c>
    </row>
    <row r="137" spans="1:28" x14ac:dyDescent="0.3">
      <c r="A137">
        <v>136</v>
      </c>
      <c r="B137" t="s">
        <v>26</v>
      </c>
      <c r="C137" t="s">
        <v>52</v>
      </c>
      <c r="D137" t="s">
        <v>53</v>
      </c>
      <c r="E137">
        <v>12</v>
      </c>
      <c r="F137" t="s">
        <v>29</v>
      </c>
      <c r="G137" t="s">
        <v>30</v>
      </c>
      <c r="H137">
        <v>1240</v>
      </c>
      <c r="I137" t="s">
        <v>31</v>
      </c>
      <c r="J137" t="s">
        <v>31</v>
      </c>
      <c r="K137" t="s">
        <v>32</v>
      </c>
      <c r="L137" t="s">
        <v>33</v>
      </c>
      <c r="M137">
        <v>4</v>
      </c>
      <c r="N137" t="s">
        <v>49</v>
      </c>
      <c r="O137" t="s">
        <v>50</v>
      </c>
      <c r="P137" t="s">
        <v>36</v>
      </c>
      <c r="Q137">
        <v>2</v>
      </c>
      <c r="R137" t="s">
        <v>37</v>
      </c>
      <c r="S137">
        <v>38</v>
      </c>
      <c r="T137" t="s">
        <v>98</v>
      </c>
      <c r="U137" t="s">
        <v>36</v>
      </c>
      <c r="V137" t="s">
        <v>38</v>
      </c>
      <c r="W137">
        <v>2</v>
      </c>
      <c r="X137" t="s">
        <v>39</v>
      </c>
      <c r="Y137">
        <v>1</v>
      </c>
      <c r="Z137" t="s">
        <v>40</v>
      </c>
      <c r="AA137" t="s">
        <v>40</v>
      </c>
      <c r="AB137">
        <v>1</v>
      </c>
    </row>
    <row r="138" spans="1:28" x14ac:dyDescent="0.3">
      <c r="A138">
        <v>137</v>
      </c>
      <c r="B138" t="s">
        <v>26</v>
      </c>
      <c r="C138" t="s">
        <v>52</v>
      </c>
      <c r="D138" t="s">
        <v>53</v>
      </c>
      <c r="E138">
        <v>27</v>
      </c>
      <c r="F138" t="s">
        <v>62</v>
      </c>
      <c r="G138" t="s">
        <v>67</v>
      </c>
      <c r="H138">
        <v>8613</v>
      </c>
      <c r="I138" t="s">
        <v>71</v>
      </c>
      <c r="J138" t="s">
        <v>72</v>
      </c>
      <c r="K138" t="s">
        <v>47</v>
      </c>
      <c r="L138" t="s">
        <v>48</v>
      </c>
      <c r="M138">
        <v>2</v>
      </c>
      <c r="N138" t="s">
        <v>34</v>
      </c>
      <c r="O138" t="s">
        <v>35</v>
      </c>
      <c r="P138" t="s">
        <v>36</v>
      </c>
      <c r="Q138">
        <v>2</v>
      </c>
      <c r="R138" t="s">
        <v>68</v>
      </c>
      <c r="S138">
        <v>27</v>
      </c>
      <c r="T138" t="s">
        <v>98</v>
      </c>
      <c r="U138" t="s">
        <v>36</v>
      </c>
      <c r="V138" t="s">
        <v>38</v>
      </c>
      <c r="W138">
        <v>2</v>
      </c>
      <c r="X138" t="s">
        <v>39</v>
      </c>
      <c r="Y138">
        <v>1</v>
      </c>
      <c r="Z138" t="s">
        <v>51</v>
      </c>
      <c r="AA138" t="s">
        <v>40</v>
      </c>
      <c r="AB138">
        <v>1</v>
      </c>
    </row>
    <row r="139" spans="1:28" x14ac:dyDescent="0.3">
      <c r="A139">
        <v>138</v>
      </c>
      <c r="B139" t="s">
        <v>41</v>
      </c>
      <c r="C139" t="s">
        <v>42</v>
      </c>
      <c r="D139" t="s">
        <v>43</v>
      </c>
      <c r="E139">
        <v>12</v>
      </c>
      <c r="F139" t="s">
        <v>44</v>
      </c>
      <c r="G139" t="s">
        <v>30</v>
      </c>
      <c r="H139">
        <v>766</v>
      </c>
      <c r="I139" t="s">
        <v>65</v>
      </c>
      <c r="J139" t="s">
        <v>66</v>
      </c>
      <c r="K139" t="s">
        <v>47</v>
      </c>
      <c r="L139" t="s">
        <v>48</v>
      </c>
      <c r="M139">
        <v>4</v>
      </c>
      <c r="N139" t="s">
        <v>34</v>
      </c>
      <c r="O139" t="s">
        <v>35</v>
      </c>
      <c r="P139" t="s">
        <v>36</v>
      </c>
      <c r="Q139">
        <v>3</v>
      </c>
      <c r="R139" t="s">
        <v>37</v>
      </c>
      <c r="S139">
        <v>66</v>
      </c>
      <c r="T139" t="s">
        <v>95</v>
      </c>
      <c r="U139" t="s">
        <v>36</v>
      </c>
      <c r="V139" t="s">
        <v>38</v>
      </c>
      <c r="W139">
        <v>1</v>
      </c>
      <c r="X139" t="s">
        <v>57</v>
      </c>
      <c r="Y139">
        <v>1</v>
      </c>
      <c r="Z139" t="s">
        <v>51</v>
      </c>
      <c r="AA139" t="s">
        <v>40</v>
      </c>
      <c r="AB139">
        <v>2</v>
      </c>
    </row>
    <row r="140" spans="1:28" x14ac:dyDescent="0.3">
      <c r="A140">
        <v>139</v>
      </c>
      <c r="B140" t="s">
        <v>26</v>
      </c>
      <c r="C140" t="s">
        <v>42</v>
      </c>
      <c r="D140" t="s">
        <v>43</v>
      </c>
      <c r="E140">
        <v>15</v>
      </c>
      <c r="F140" t="s">
        <v>29</v>
      </c>
      <c r="G140" t="s">
        <v>30</v>
      </c>
      <c r="H140">
        <v>2728</v>
      </c>
      <c r="I140" t="s">
        <v>31</v>
      </c>
      <c r="J140" t="s">
        <v>31</v>
      </c>
      <c r="K140" t="s">
        <v>55</v>
      </c>
      <c r="L140" t="s">
        <v>56</v>
      </c>
      <c r="M140">
        <v>4</v>
      </c>
      <c r="N140" t="s">
        <v>34</v>
      </c>
      <c r="O140" t="s">
        <v>35</v>
      </c>
      <c r="P140" t="s">
        <v>59</v>
      </c>
      <c r="Q140">
        <v>2</v>
      </c>
      <c r="R140" t="s">
        <v>37</v>
      </c>
      <c r="S140">
        <v>35</v>
      </c>
      <c r="T140" t="s">
        <v>98</v>
      </c>
      <c r="U140" t="s">
        <v>82</v>
      </c>
      <c r="V140" t="s">
        <v>38</v>
      </c>
      <c r="W140">
        <v>3</v>
      </c>
      <c r="X140" t="s">
        <v>39</v>
      </c>
      <c r="Y140">
        <v>1</v>
      </c>
      <c r="Z140" t="s">
        <v>40</v>
      </c>
      <c r="AA140" t="s">
        <v>40</v>
      </c>
      <c r="AB140">
        <v>1</v>
      </c>
    </row>
    <row r="141" spans="1:28" x14ac:dyDescent="0.3">
      <c r="A141">
        <v>140</v>
      </c>
      <c r="B141" t="s">
        <v>26</v>
      </c>
      <c r="C141" t="s">
        <v>83</v>
      </c>
      <c r="D141" t="s">
        <v>84</v>
      </c>
      <c r="E141">
        <v>12</v>
      </c>
      <c r="F141" t="s">
        <v>44</v>
      </c>
      <c r="G141" t="s">
        <v>30</v>
      </c>
      <c r="H141">
        <v>1881</v>
      </c>
      <c r="I141" t="s">
        <v>45</v>
      </c>
      <c r="J141" t="s">
        <v>46</v>
      </c>
      <c r="K141" t="s">
        <v>47</v>
      </c>
      <c r="L141" t="s">
        <v>48</v>
      </c>
      <c r="M141">
        <v>2</v>
      </c>
      <c r="N141" t="s">
        <v>49</v>
      </c>
      <c r="O141" t="s">
        <v>50</v>
      </c>
      <c r="P141" t="s">
        <v>36</v>
      </c>
      <c r="Q141">
        <v>2</v>
      </c>
      <c r="R141" t="s">
        <v>68</v>
      </c>
      <c r="S141">
        <v>44</v>
      </c>
      <c r="T141" t="s">
        <v>97</v>
      </c>
      <c r="U141" t="s">
        <v>36</v>
      </c>
      <c r="V141" t="s">
        <v>69</v>
      </c>
      <c r="W141">
        <v>1</v>
      </c>
      <c r="X141" t="s">
        <v>57</v>
      </c>
      <c r="Y141">
        <v>1</v>
      </c>
      <c r="Z141" t="s">
        <v>40</v>
      </c>
      <c r="AA141" t="s">
        <v>40</v>
      </c>
      <c r="AB141">
        <v>1</v>
      </c>
    </row>
    <row r="142" spans="1:28" x14ac:dyDescent="0.3">
      <c r="A142">
        <v>141</v>
      </c>
      <c r="B142" t="s">
        <v>26</v>
      </c>
      <c r="C142" t="s">
        <v>83</v>
      </c>
      <c r="D142" t="s">
        <v>84</v>
      </c>
      <c r="E142">
        <v>6</v>
      </c>
      <c r="F142" t="s">
        <v>44</v>
      </c>
      <c r="G142" t="s">
        <v>63</v>
      </c>
      <c r="H142">
        <v>709</v>
      </c>
      <c r="I142" t="s">
        <v>71</v>
      </c>
      <c r="J142" t="s">
        <v>72</v>
      </c>
      <c r="K142" t="s">
        <v>76</v>
      </c>
      <c r="L142" t="s">
        <v>77</v>
      </c>
      <c r="M142">
        <v>2</v>
      </c>
      <c r="N142" t="s">
        <v>34</v>
      </c>
      <c r="O142" t="s">
        <v>75</v>
      </c>
      <c r="P142" t="s">
        <v>36</v>
      </c>
      <c r="Q142">
        <v>2</v>
      </c>
      <c r="R142" t="s">
        <v>37</v>
      </c>
      <c r="S142">
        <v>27</v>
      </c>
      <c r="T142" t="s">
        <v>98</v>
      </c>
      <c r="U142" t="s">
        <v>36</v>
      </c>
      <c r="V142" t="s">
        <v>38</v>
      </c>
      <c r="W142">
        <v>1</v>
      </c>
      <c r="X142" t="s">
        <v>90</v>
      </c>
      <c r="Y142">
        <v>1</v>
      </c>
      <c r="Z142" t="s">
        <v>51</v>
      </c>
      <c r="AA142" t="s">
        <v>51</v>
      </c>
      <c r="AB142">
        <v>1</v>
      </c>
    </row>
    <row r="143" spans="1:28" x14ac:dyDescent="0.3">
      <c r="A143">
        <v>142</v>
      </c>
      <c r="B143" t="s">
        <v>26</v>
      </c>
      <c r="C143" t="s">
        <v>42</v>
      </c>
      <c r="D143" t="s">
        <v>43</v>
      </c>
      <c r="E143">
        <v>36</v>
      </c>
      <c r="F143" t="s">
        <v>44</v>
      </c>
      <c r="G143" t="s">
        <v>30</v>
      </c>
      <c r="H143">
        <v>4795</v>
      </c>
      <c r="I143" t="s">
        <v>45</v>
      </c>
      <c r="J143" t="s">
        <v>46</v>
      </c>
      <c r="K143" t="s">
        <v>76</v>
      </c>
      <c r="L143" t="s">
        <v>77</v>
      </c>
      <c r="M143">
        <v>4</v>
      </c>
      <c r="N143" t="s">
        <v>49</v>
      </c>
      <c r="O143" t="s">
        <v>50</v>
      </c>
      <c r="P143" t="s">
        <v>36</v>
      </c>
      <c r="Q143">
        <v>1</v>
      </c>
      <c r="R143" t="s">
        <v>64</v>
      </c>
      <c r="S143">
        <v>30</v>
      </c>
      <c r="T143" t="s">
        <v>98</v>
      </c>
      <c r="U143" t="s">
        <v>36</v>
      </c>
      <c r="V143" t="s">
        <v>38</v>
      </c>
      <c r="W143">
        <v>1</v>
      </c>
      <c r="X143" t="s">
        <v>70</v>
      </c>
      <c r="Y143">
        <v>1</v>
      </c>
      <c r="Z143" t="s">
        <v>40</v>
      </c>
      <c r="AA143" t="s">
        <v>40</v>
      </c>
      <c r="AB143">
        <v>1</v>
      </c>
    </row>
    <row r="144" spans="1:28" x14ac:dyDescent="0.3">
      <c r="A144">
        <v>143</v>
      </c>
      <c r="B144" t="s">
        <v>26</v>
      </c>
      <c r="C144" t="s">
        <v>27</v>
      </c>
      <c r="D144" t="s">
        <v>28</v>
      </c>
      <c r="E144">
        <v>27</v>
      </c>
      <c r="F144" t="s">
        <v>44</v>
      </c>
      <c r="G144" t="s">
        <v>30</v>
      </c>
      <c r="H144">
        <v>3416</v>
      </c>
      <c r="I144" t="s">
        <v>45</v>
      </c>
      <c r="J144" t="s">
        <v>46</v>
      </c>
      <c r="K144" t="s">
        <v>47</v>
      </c>
      <c r="L144" t="s">
        <v>48</v>
      </c>
      <c r="M144">
        <v>3</v>
      </c>
      <c r="N144" t="s">
        <v>34</v>
      </c>
      <c r="O144" t="s">
        <v>35</v>
      </c>
      <c r="P144" t="s">
        <v>36</v>
      </c>
      <c r="Q144">
        <v>2</v>
      </c>
      <c r="R144" t="s">
        <v>68</v>
      </c>
      <c r="S144">
        <v>27</v>
      </c>
      <c r="T144" t="s">
        <v>98</v>
      </c>
      <c r="U144" t="s">
        <v>36</v>
      </c>
      <c r="V144" t="s">
        <v>38</v>
      </c>
      <c r="W144">
        <v>1</v>
      </c>
      <c r="X144" t="s">
        <v>70</v>
      </c>
      <c r="Y144">
        <v>1</v>
      </c>
      <c r="Z144" t="s">
        <v>51</v>
      </c>
      <c r="AA144" t="s">
        <v>40</v>
      </c>
      <c r="AB144">
        <v>1</v>
      </c>
    </row>
    <row r="145" spans="1:28" x14ac:dyDescent="0.3">
      <c r="A145">
        <v>144</v>
      </c>
      <c r="B145" t="s">
        <v>41</v>
      </c>
      <c r="C145" t="s">
        <v>27</v>
      </c>
      <c r="D145" t="s">
        <v>28</v>
      </c>
      <c r="E145">
        <v>18</v>
      </c>
      <c r="F145" t="s">
        <v>44</v>
      </c>
      <c r="G145" t="s">
        <v>58</v>
      </c>
      <c r="H145">
        <v>2462</v>
      </c>
      <c r="I145" t="s">
        <v>45</v>
      </c>
      <c r="J145" t="s">
        <v>46</v>
      </c>
      <c r="K145" t="s">
        <v>47</v>
      </c>
      <c r="L145" t="s">
        <v>48</v>
      </c>
      <c r="M145">
        <v>2</v>
      </c>
      <c r="N145" t="s">
        <v>34</v>
      </c>
      <c r="O145" t="s">
        <v>35</v>
      </c>
      <c r="P145" t="s">
        <v>36</v>
      </c>
      <c r="Q145">
        <v>2</v>
      </c>
      <c r="R145" t="s">
        <v>68</v>
      </c>
      <c r="S145">
        <v>22</v>
      </c>
      <c r="T145" t="s">
        <v>96</v>
      </c>
      <c r="U145" t="s">
        <v>36</v>
      </c>
      <c r="V145" t="s">
        <v>38</v>
      </c>
      <c r="W145">
        <v>1</v>
      </c>
      <c r="X145" t="s">
        <v>39</v>
      </c>
      <c r="Y145">
        <v>1</v>
      </c>
      <c r="Z145" t="s">
        <v>51</v>
      </c>
      <c r="AA145" t="s">
        <v>40</v>
      </c>
      <c r="AB145">
        <v>2</v>
      </c>
    </row>
    <row r="146" spans="1:28" x14ac:dyDescent="0.3">
      <c r="A146">
        <v>145</v>
      </c>
      <c r="B146" t="s">
        <v>26</v>
      </c>
      <c r="C146" t="s">
        <v>52</v>
      </c>
      <c r="D146" t="s">
        <v>53</v>
      </c>
      <c r="E146">
        <v>21</v>
      </c>
      <c r="F146" t="s">
        <v>29</v>
      </c>
      <c r="G146" t="s">
        <v>58</v>
      </c>
      <c r="H146">
        <v>2288</v>
      </c>
      <c r="I146" t="s">
        <v>45</v>
      </c>
      <c r="J146" t="s">
        <v>46</v>
      </c>
      <c r="K146" t="s">
        <v>76</v>
      </c>
      <c r="L146" t="s">
        <v>77</v>
      </c>
      <c r="M146">
        <v>4</v>
      </c>
      <c r="N146" t="s">
        <v>49</v>
      </c>
      <c r="O146" t="s">
        <v>50</v>
      </c>
      <c r="P146" t="s">
        <v>36</v>
      </c>
      <c r="Q146">
        <v>4</v>
      </c>
      <c r="R146" t="s">
        <v>60</v>
      </c>
      <c r="S146">
        <v>23</v>
      </c>
      <c r="T146" t="s">
        <v>96</v>
      </c>
      <c r="U146" t="s">
        <v>36</v>
      </c>
      <c r="V146" t="s">
        <v>38</v>
      </c>
      <c r="W146">
        <v>1</v>
      </c>
      <c r="X146" t="s">
        <v>39</v>
      </c>
      <c r="Y146">
        <v>1</v>
      </c>
      <c r="Z146" t="s">
        <v>40</v>
      </c>
      <c r="AA146" t="s">
        <v>40</v>
      </c>
      <c r="AB146">
        <v>1</v>
      </c>
    </row>
    <row r="147" spans="1:28" x14ac:dyDescent="0.3">
      <c r="A147">
        <v>146</v>
      </c>
      <c r="B147" t="s">
        <v>26</v>
      </c>
      <c r="C147" t="s">
        <v>42</v>
      </c>
      <c r="D147" t="s">
        <v>43</v>
      </c>
      <c r="E147">
        <v>48</v>
      </c>
      <c r="F147" t="s">
        <v>85</v>
      </c>
      <c r="G147" t="s">
        <v>78</v>
      </c>
      <c r="H147">
        <v>3566</v>
      </c>
      <c r="I147" t="s">
        <v>79</v>
      </c>
      <c r="J147" t="s">
        <v>80</v>
      </c>
      <c r="K147" t="s">
        <v>55</v>
      </c>
      <c r="L147" t="s">
        <v>56</v>
      </c>
      <c r="M147">
        <v>4</v>
      </c>
      <c r="N147" t="s">
        <v>34</v>
      </c>
      <c r="O147" t="s">
        <v>35</v>
      </c>
      <c r="P147" t="s">
        <v>36</v>
      </c>
      <c r="Q147">
        <v>2</v>
      </c>
      <c r="R147" t="s">
        <v>68</v>
      </c>
      <c r="S147">
        <v>30</v>
      </c>
      <c r="T147" t="s">
        <v>98</v>
      </c>
      <c r="U147" t="s">
        <v>36</v>
      </c>
      <c r="V147" t="s">
        <v>38</v>
      </c>
      <c r="W147">
        <v>1</v>
      </c>
      <c r="X147" t="s">
        <v>39</v>
      </c>
      <c r="Y147">
        <v>1</v>
      </c>
      <c r="Z147" t="s">
        <v>51</v>
      </c>
      <c r="AA147" t="s">
        <v>40</v>
      </c>
      <c r="AB147">
        <v>1</v>
      </c>
    </row>
    <row r="148" spans="1:28" x14ac:dyDescent="0.3">
      <c r="A148">
        <v>147</v>
      </c>
      <c r="B148" t="s">
        <v>26</v>
      </c>
      <c r="C148" t="s">
        <v>27</v>
      </c>
      <c r="D148" t="s">
        <v>28</v>
      </c>
      <c r="E148">
        <v>6</v>
      </c>
      <c r="F148" t="s">
        <v>29</v>
      </c>
      <c r="G148" t="s">
        <v>63</v>
      </c>
      <c r="H148">
        <v>860</v>
      </c>
      <c r="I148" t="s">
        <v>45</v>
      </c>
      <c r="J148" t="s">
        <v>46</v>
      </c>
      <c r="K148" t="s">
        <v>32</v>
      </c>
      <c r="L148" t="s">
        <v>33</v>
      </c>
      <c r="M148">
        <v>1</v>
      </c>
      <c r="N148" t="s">
        <v>49</v>
      </c>
      <c r="O148" t="s">
        <v>50</v>
      </c>
      <c r="P148" t="s">
        <v>36</v>
      </c>
      <c r="Q148">
        <v>4</v>
      </c>
      <c r="R148" t="s">
        <v>64</v>
      </c>
      <c r="S148">
        <v>39</v>
      </c>
      <c r="T148" t="s">
        <v>98</v>
      </c>
      <c r="U148" t="s">
        <v>36</v>
      </c>
      <c r="V148" t="s">
        <v>38</v>
      </c>
      <c r="W148">
        <v>2</v>
      </c>
      <c r="X148" t="s">
        <v>39</v>
      </c>
      <c r="Y148">
        <v>1</v>
      </c>
      <c r="Z148" t="s">
        <v>40</v>
      </c>
      <c r="AA148" t="s">
        <v>40</v>
      </c>
      <c r="AB148">
        <v>1</v>
      </c>
    </row>
    <row r="149" spans="1:28" x14ac:dyDescent="0.3">
      <c r="A149">
        <v>148</v>
      </c>
      <c r="B149" t="s">
        <v>26</v>
      </c>
      <c r="C149" t="s">
        <v>52</v>
      </c>
      <c r="D149" t="s">
        <v>53</v>
      </c>
      <c r="E149">
        <v>12</v>
      </c>
      <c r="F149" t="s">
        <v>29</v>
      </c>
      <c r="G149" t="s">
        <v>63</v>
      </c>
      <c r="H149">
        <v>682</v>
      </c>
      <c r="I149" t="s">
        <v>79</v>
      </c>
      <c r="J149" t="s">
        <v>80</v>
      </c>
      <c r="K149" t="s">
        <v>55</v>
      </c>
      <c r="L149" t="s">
        <v>56</v>
      </c>
      <c r="M149">
        <v>4</v>
      </c>
      <c r="N149" t="s">
        <v>49</v>
      </c>
      <c r="O149" t="s">
        <v>50</v>
      </c>
      <c r="P149" t="s">
        <v>36</v>
      </c>
      <c r="Q149">
        <v>3</v>
      </c>
      <c r="R149" t="s">
        <v>68</v>
      </c>
      <c r="S149">
        <v>51</v>
      </c>
      <c r="T149" t="s">
        <v>97</v>
      </c>
      <c r="U149" t="s">
        <v>36</v>
      </c>
      <c r="V149" t="s">
        <v>38</v>
      </c>
      <c r="W149">
        <v>2</v>
      </c>
      <c r="X149" t="s">
        <v>39</v>
      </c>
      <c r="Y149">
        <v>1</v>
      </c>
      <c r="Z149" t="s">
        <v>40</v>
      </c>
      <c r="AA149" t="s">
        <v>40</v>
      </c>
      <c r="AB149">
        <v>1</v>
      </c>
    </row>
    <row r="150" spans="1:28" x14ac:dyDescent="0.3">
      <c r="A150">
        <v>149</v>
      </c>
      <c r="B150" t="s">
        <v>26</v>
      </c>
      <c r="C150" t="s">
        <v>27</v>
      </c>
      <c r="D150" t="s">
        <v>28</v>
      </c>
      <c r="E150">
        <v>36</v>
      </c>
      <c r="F150" t="s">
        <v>29</v>
      </c>
      <c r="G150" t="s">
        <v>58</v>
      </c>
      <c r="H150">
        <v>5371</v>
      </c>
      <c r="I150" t="s">
        <v>45</v>
      </c>
      <c r="J150" t="s">
        <v>46</v>
      </c>
      <c r="K150" t="s">
        <v>47</v>
      </c>
      <c r="L150" t="s">
        <v>48</v>
      </c>
      <c r="M150">
        <v>3</v>
      </c>
      <c r="N150" t="s">
        <v>34</v>
      </c>
      <c r="O150" t="s">
        <v>35</v>
      </c>
      <c r="P150" t="s">
        <v>59</v>
      </c>
      <c r="Q150">
        <v>2</v>
      </c>
      <c r="R150" t="s">
        <v>60</v>
      </c>
      <c r="S150">
        <v>28</v>
      </c>
      <c r="T150" t="s">
        <v>98</v>
      </c>
      <c r="U150" t="s">
        <v>36</v>
      </c>
      <c r="V150" t="s">
        <v>38</v>
      </c>
      <c r="W150">
        <v>2</v>
      </c>
      <c r="X150" t="s">
        <v>39</v>
      </c>
      <c r="Y150">
        <v>1</v>
      </c>
      <c r="Z150" t="s">
        <v>51</v>
      </c>
      <c r="AA150" t="s">
        <v>40</v>
      </c>
      <c r="AB150">
        <v>1</v>
      </c>
    </row>
    <row r="151" spans="1:28" x14ac:dyDescent="0.3">
      <c r="A151">
        <v>150</v>
      </c>
      <c r="B151" t="s">
        <v>26</v>
      </c>
      <c r="C151" t="s">
        <v>52</v>
      </c>
      <c r="D151" t="s">
        <v>53</v>
      </c>
      <c r="E151">
        <v>18</v>
      </c>
      <c r="F151" t="s">
        <v>29</v>
      </c>
      <c r="G151" t="s">
        <v>30</v>
      </c>
      <c r="H151">
        <v>1582</v>
      </c>
      <c r="I151" t="s">
        <v>71</v>
      </c>
      <c r="J151" t="s">
        <v>72</v>
      </c>
      <c r="K151" t="s">
        <v>32</v>
      </c>
      <c r="L151" t="s">
        <v>33</v>
      </c>
      <c r="M151">
        <v>4</v>
      </c>
      <c r="N151" t="s">
        <v>34</v>
      </c>
      <c r="O151" t="s">
        <v>35</v>
      </c>
      <c r="P151" t="s">
        <v>36</v>
      </c>
      <c r="Q151">
        <v>4</v>
      </c>
      <c r="R151" t="s">
        <v>68</v>
      </c>
      <c r="S151">
        <v>46</v>
      </c>
      <c r="T151" t="s">
        <v>97</v>
      </c>
      <c r="U151" t="s">
        <v>36</v>
      </c>
      <c r="V151" t="s">
        <v>38</v>
      </c>
      <c r="W151">
        <v>2</v>
      </c>
      <c r="X151" t="s">
        <v>39</v>
      </c>
      <c r="Y151">
        <v>1</v>
      </c>
      <c r="Z151" t="s">
        <v>51</v>
      </c>
      <c r="AA151" t="s">
        <v>40</v>
      </c>
      <c r="AB151">
        <v>1</v>
      </c>
    </row>
    <row r="152" spans="1:28" x14ac:dyDescent="0.3">
      <c r="A152">
        <v>151</v>
      </c>
      <c r="B152" t="s">
        <v>26</v>
      </c>
      <c r="C152" t="s">
        <v>52</v>
      </c>
      <c r="D152" t="s">
        <v>53</v>
      </c>
      <c r="E152">
        <v>6</v>
      </c>
      <c r="F152" t="s">
        <v>44</v>
      </c>
      <c r="G152" t="s">
        <v>30</v>
      </c>
      <c r="H152">
        <v>1346</v>
      </c>
      <c r="I152" t="s">
        <v>79</v>
      </c>
      <c r="J152" t="s">
        <v>80</v>
      </c>
      <c r="K152" t="s">
        <v>32</v>
      </c>
      <c r="L152" t="s">
        <v>33</v>
      </c>
      <c r="M152">
        <v>2</v>
      </c>
      <c r="N152" t="s">
        <v>34</v>
      </c>
      <c r="O152" t="s">
        <v>35</v>
      </c>
      <c r="P152" t="s">
        <v>36</v>
      </c>
      <c r="Q152">
        <v>4</v>
      </c>
      <c r="R152" t="s">
        <v>64</v>
      </c>
      <c r="S152">
        <v>42</v>
      </c>
      <c r="T152" t="s">
        <v>97</v>
      </c>
      <c r="U152" t="s">
        <v>82</v>
      </c>
      <c r="V152" t="s">
        <v>61</v>
      </c>
      <c r="W152">
        <v>1</v>
      </c>
      <c r="X152" t="s">
        <v>39</v>
      </c>
      <c r="Y152">
        <v>2</v>
      </c>
      <c r="Z152" t="s">
        <v>40</v>
      </c>
      <c r="AA152" t="s">
        <v>40</v>
      </c>
      <c r="AB152">
        <v>1</v>
      </c>
    </row>
    <row r="153" spans="1:28" x14ac:dyDescent="0.3">
      <c r="A153">
        <v>152</v>
      </c>
      <c r="B153" t="s">
        <v>26</v>
      </c>
      <c r="C153" t="s">
        <v>52</v>
      </c>
      <c r="D153" t="s">
        <v>53</v>
      </c>
      <c r="E153">
        <v>10</v>
      </c>
      <c r="F153" t="s">
        <v>44</v>
      </c>
      <c r="G153" t="s">
        <v>30</v>
      </c>
      <c r="H153">
        <v>1924</v>
      </c>
      <c r="I153" t="s">
        <v>45</v>
      </c>
      <c r="J153" t="s">
        <v>46</v>
      </c>
      <c r="K153" t="s">
        <v>47</v>
      </c>
      <c r="L153" t="s">
        <v>48</v>
      </c>
      <c r="M153">
        <v>1</v>
      </c>
      <c r="N153" t="s">
        <v>34</v>
      </c>
      <c r="O153" t="s">
        <v>35</v>
      </c>
      <c r="P153" t="s">
        <v>36</v>
      </c>
      <c r="Q153">
        <v>4</v>
      </c>
      <c r="R153" t="s">
        <v>60</v>
      </c>
      <c r="S153">
        <v>38</v>
      </c>
      <c r="T153" t="s">
        <v>98</v>
      </c>
      <c r="U153" t="s">
        <v>36</v>
      </c>
      <c r="V153" t="s">
        <v>38</v>
      </c>
      <c r="W153">
        <v>1</v>
      </c>
      <c r="X153" t="s">
        <v>39</v>
      </c>
      <c r="Y153">
        <v>1</v>
      </c>
      <c r="Z153" t="s">
        <v>40</v>
      </c>
      <c r="AA153" t="s">
        <v>51</v>
      </c>
      <c r="AB153">
        <v>1</v>
      </c>
    </row>
    <row r="154" spans="1:28" x14ac:dyDescent="0.3">
      <c r="A154">
        <v>153</v>
      </c>
      <c r="B154" t="s">
        <v>26</v>
      </c>
      <c r="C154" t="s">
        <v>83</v>
      </c>
      <c r="D154" t="s">
        <v>84</v>
      </c>
      <c r="E154">
        <v>36</v>
      </c>
      <c r="F154" t="s">
        <v>44</v>
      </c>
      <c r="G154" t="s">
        <v>30</v>
      </c>
      <c r="H154">
        <v>5848</v>
      </c>
      <c r="I154" t="s">
        <v>45</v>
      </c>
      <c r="J154" t="s">
        <v>46</v>
      </c>
      <c r="K154" t="s">
        <v>47</v>
      </c>
      <c r="L154" t="s">
        <v>48</v>
      </c>
      <c r="M154">
        <v>4</v>
      </c>
      <c r="N154" t="s">
        <v>34</v>
      </c>
      <c r="O154" t="s">
        <v>35</v>
      </c>
      <c r="P154" t="s">
        <v>36</v>
      </c>
      <c r="Q154">
        <v>1</v>
      </c>
      <c r="R154" t="s">
        <v>68</v>
      </c>
      <c r="S154">
        <v>24</v>
      </c>
      <c r="T154" t="s">
        <v>96</v>
      </c>
      <c r="U154" t="s">
        <v>36</v>
      </c>
      <c r="V154" t="s">
        <v>38</v>
      </c>
      <c r="W154">
        <v>1</v>
      </c>
      <c r="X154" t="s">
        <v>39</v>
      </c>
      <c r="Y154">
        <v>1</v>
      </c>
      <c r="Z154" t="s">
        <v>51</v>
      </c>
      <c r="AA154" t="s">
        <v>40</v>
      </c>
      <c r="AB154">
        <v>1</v>
      </c>
    </row>
    <row r="155" spans="1:28" x14ac:dyDescent="0.3">
      <c r="A155">
        <v>154</v>
      </c>
      <c r="B155" t="s">
        <v>26</v>
      </c>
      <c r="C155" t="s">
        <v>42</v>
      </c>
      <c r="D155" t="s">
        <v>43</v>
      </c>
      <c r="E155">
        <v>24</v>
      </c>
      <c r="F155" t="s">
        <v>29</v>
      </c>
      <c r="G155" t="s">
        <v>67</v>
      </c>
      <c r="H155">
        <v>7758</v>
      </c>
      <c r="I155" t="s">
        <v>71</v>
      </c>
      <c r="J155" t="s">
        <v>72</v>
      </c>
      <c r="K155" t="s">
        <v>32</v>
      </c>
      <c r="L155" t="s">
        <v>33</v>
      </c>
      <c r="M155">
        <v>2</v>
      </c>
      <c r="N155" t="s">
        <v>49</v>
      </c>
      <c r="O155" t="s">
        <v>50</v>
      </c>
      <c r="P155" t="s">
        <v>36</v>
      </c>
      <c r="Q155">
        <v>4</v>
      </c>
      <c r="R155" t="s">
        <v>64</v>
      </c>
      <c r="S155">
        <v>29</v>
      </c>
      <c r="T155" t="s">
        <v>98</v>
      </c>
      <c r="U155" t="s">
        <v>36</v>
      </c>
      <c r="V155" t="s">
        <v>69</v>
      </c>
      <c r="W155">
        <v>1</v>
      </c>
      <c r="X155" t="s">
        <v>39</v>
      </c>
      <c r="Y155">
        <v>1</v>
      </c>
      <c r="Z155" t="s">
        <v>51</v>
      </c>
      <c r="AA155" t="s">
        <v>40</v>
      </c>
      <c r="AB155">
        <v>1</v>
      </c>
    </row>
    <row r="156" spans="1:28" x14ac:dyDescent="0.3">
      <c r="A156">
        <v>155</v>
      </c>
      <c r="B156" t="s">
        <v>26</v>
      </c>
      <c r="C156" t="s">
        <v>42</v>
      </c>
      <c r="D156" t="s">
        <v>43</v>
      </c>
      <c r="E156">
        <v>24</v>
      </c>
      <c r="F156" t="s">
        <v>62</v>
      </c>
      <c r="G156" t="s">
        <v>78</v>
      </c>
      <c r="H156">
        <v>6967</v>
      </c>
      <c r="I156" t="s">
        <v>79</v>
      </c>
      <c r="J156" t="s">
        <v>80</v>
      </c>
      <c r="K156" t="s">
        <v>55</v>
      </c>
      <c r="L156" t="s">
        <v>56</v>
      </c>
      <c r="M156">
        <v>4</v>
      </c>
      <c r="N156" t="s">
        <v>34</v>
      </c>
      <c r="O156" t="s">
        <v>35</v>
      </c>
      <c r="P156" t="s">
        <v>36</v>
      </c>
      <c r="Q156">
        <v>4</v>
      </c>
      <c r="R156" t="s">
        <v>68</v>
      </c>
      <c r="S156">
        <v>36</v>
      </c>
      <c r="T156" t="s">
        <v>98</v>
      </c>
      <c r="U156" t="s">
        <v>36</v>
      </c>
      <c r="V156" t="s">
        <v>69</v>
      </c>
      <c r="W156">
        <v>1</v>
      </c>
      <c r="X156" t="s">
        <v>70</v>
      </c>
      <c r="Y156">
        <v>1</v>
      </c>
      <c r="Z156" t="s">
        <v>40</v>
      </c>
      <c r="AA156" t="s">
        <v>40</v>
      </c>
      <c r="AB156">
        <v>1</v>
      </c>
    </row>
    <row r="157" spans="1:28" x14ac:dyDescent="0.3">
      <c r="A157">
        <v>156</v>
      </c>
      <c r="B157" t="s">
        <v>41</v>
      </c>
      <c r="C157" t="s">
        <v>27</v>
      </c>
      <c r="D157" t="s">
        <v>28</v>
      </c>
      <c r="E157">
        <v>12</v>
      </c>
      <c r="F157" t="s">
        <v>44</v>
      </c>
      <c r="G157" t="s">
        <v>58</v>
      </c>
      <c r="H157">
        <v>1282</v>
      </c>
      <c r="I157" t="s">
        <v>45</v>
      </c>
      <c r="J157" t="s">
        <v>46</v>
      </c>
      <c r="K157" t="s">
        <v>47</v>
      </c>
      <c r="L157" t="s">
        <v>48</v>
      </c>
      <c r="M157">
        <v>2</v>
      </c>
      <c r="N157" t="s">
        <v>49</v>
      </c>
      <c r="O157" t="s">
        <v>50</v>
      </c>
      <c r="P157" t="s">
        <v>36</v>
      </c>
      <c r="Q157">
        <v>4</v>
      </c>
      <c r="R157" t="s">
        <v>68</v>
      </c>
      <c r="S157">
        <v>20</v>
      </c>
      <c r="T157" t="s">
        <v>96</v>
      </c>
      <c r="U157" t="s">
        <v>36</v>
      </c>
      <c r="V157" t="s">
        <v>69</v>
      </c>
      <c r="W157">
        <v>1</v>
      </c>
      <c r="X157" t="s">
        <v>39</v>
      </c>
      <c r="Y157">
        <v>1</v>
      </c>
      <c r="Z157" t="s">
        <v>51</v>
      </c>
      <c r="AA157" t="s">
        <v>40</v>
      </c>
      <c r="AB157">
        <v>2</v>
      </c>
    </row>
    <row r="158" spans="1:28" x14ac:dyDescent="0.3">
      <c r="A158">
        <v>157</v>
      </c>
      <c r="B158" t="s">
        <v>26</v>
      </c>
      <c r="C158" t="s">
        <v>27</v>
      </c>
      <c r="D158" t="s">
        <v>28</v>
      </c>
      <c r="E158">
        <v>9</v>
      </c>
      <c r="F158" t="s">
        <v>29</v>
      </c>
      <c r="G158" t="s">
        <v>89</v>
      </c>
      <c r="H158">
        <v>1288</v>
      </c>
      <c r="I158" t="s">
        <v>79</v>
      </c>
      <c r="J158" t="s">
        <v>80</v>
      </c>
      <c r="K158" t="s">
        <v>32</v>
      </c>
      <c r="L158" t="s">
        <v>33</v>
      </c>
      <c r="M158">
        <v>3</v>
      </c>
      <c r="N158" t="s">
        <v>34</v>
      </c>
      <c r="O158" t="s">
        <v>35</v>
      </c>
      <c r="P158" t="s">
        <v>59</v>
      </c>
      <c r="Q158">
        <v>4</v>
      </c>
      <c r="R158" t="s">
        <v>37</v>
      </c>
      <c r="S158">
        <v>48</v>
      </c>
      <c r="T158" t="s">
        <v>97</v>
      </c>
      <c r="U158" t="s">
        <v>36</v>
      </c>
      <c r="V158" t="s">
        <v>38</v>
      </c>
      <c r="W158">
        <v>2</v>
      </c>
      <c r="X158" t="s">
        <v>39</v>
      </c>
      <c r="Y158">
        <v>2</v>
      </c>
      <c r="Z158" t="s">
        <v>51</v>
      </c>
      <c r="AA158" t="s">
        <v>51</v>
      </c>
      <c r="AB158">
        <v>1</v>
      </c>
    </row>
    <row r="159" spans="1:28" x14ac:dyDescent="0.3">
      <c r="A159">
        <v>158</v>
      </c>
      <c r="B159" t="s">
        <v>26</v>
      </c>
      <c r="C159" t="s">
        <v>27</v>
      </c>
      <c r="D159" t="s">
        <v>28</v>
      </c>
      <c r="E159">
        <v>12</v>
      </c>
      <c r="F159" t="s">
        <v>85</v>
      </c>
      <c r="G159" t="s">
        <v>92</v>
      </c>
      <c r="H159">
        <v>339</v>
      </c>
      <c r="I159" t="s">
        <v>45</v>
      </c>
      <c r="J159" t="s">
        <v>46</v>
      </c>
      <c r="K159" t="s">
        <v>32</v>
      </c>
      <c r="L159" t="s">
        <v>33</v>
      </c>
      <c r="M159">
        <v>4</v>
      </c>
      <c r="N159" t="s">
        <v>34</v>
      </c>
      <c r="O159" t="s">
        <v>75</v>
      </c>
      <c r="P159" t="s">
        <v>36</v>
      </c>
      <c r="Q159">
        <v>1</v>
      </c>
      <c r="R159" t="s">
        <v>68</v>
      </c>
      <c r="S159">
        <v>45</v>
      </c>
      <c r="T159" t="s">
        <v>97</v>
      </c>
      <c r="U159" t="s">
        <v>82</v>
      </c>
      <c r="V159" t="s">
        <v>38</v>
      </c>
      <c r="W159">
        <v>1</v>
      </c>
      <c r="X159" t="s">
        <v>57</v>
      </c>
      <c r="Y159">
        <v>1</v>
      </c>
      <c r="Z159" t="s">
        <v>51</v>
      </c>
      <c r="AA159" t="s">
        <v>40</v>
      </c>
      <c r="AB159">
        <v>1</v>
      </c>
    </row>
    <row r="160" spans="1:28" x14ac:dyDescent="0.3">
      <c r="A160">
        <v>159</v>
      </c>
      <c r="B160" t="s">
        <v>26</v>
      </c>
      <c r="C160" t="s">
        <v>42</v>
      </c>
      <c r="D160" t="s">
        <v>43</v>
      </c>
      <c r="E160">
        <v>24</v>
      </c>
      <c r="F160" t="s">
        <v>44</v>
      </c>
      <c r="G160" t="s">
        <v>63</v>
      </c>
      <c r="H160">
        <v>3512</v>
      </c>
      <c r="I160" t="s">
        <v>79</v>
      </c>
      <c r="J160" t="s">
        <v>80</v>
      </c>
      <c r="K160" t="s">
        <v>55</v>
      </c>
      <c r="L160" t="s">
        <v>56</v>
      </c>
      <c r="M160">
        <v>2</v>
      </c>
      <c r="N160" t="s">
        <v>34</v>
      </c>
      <c r="O160" t="s">
        <v>35</v>
      </c>
      <c r="P160" t="s">
        <v>36</v>
      </c>
      <c r="Q160">
        <v>3</v>
      </c>
      <c r="R160" t="s">
        <v>68</v>
      </c>
      <c r="S160">
        <v>38</v>
      </c>
      <c r="T160" t="s">
        <v>98</v>
      </c>
      <c r="U160" t="s">
        <v>82</v>
      </c>
      <c r="V160" t="s">
        <v>38</v>
      </c>
      <c r="W160">
        <v>2</v>
      </c>
      <c r="X160" t="s">
        <v>39</v>
      </c>
      <c r="Y160">
        <v>1</v>
      </c>
      <c r="Z160" t="s">
        <v>40</v>
      </c>
      <c r="AA160" t="s">
        <v>40</v>
      </c>
      <c r="AB160">
        <v>1</v>
      </c>
    </row>
    <row r="161" spans="1:28" x14ac:dyDescent="0.3">
      <c r="A161">
        <v>160</v>
      </c>
      <c r="B161" t="s">
        <v>26</v>
      </c>
      <c r="C161" t="s">
        <v>52</v>
      </c>
      <c r="D161" t="s">
        <v>53</v>
      </c>
      <c r="E161">
        <v>6</v>
      </c>
      <c r="F161" t="s">
        <v>29</v>
      </c>
      <c r="G161" t="s">
        <v>30</v>
      </c>
      <c r="H161">
        <v>1898</v>
      </c>
      <c r="I161" t="s">
        <v>31</v>
      </c>
      <c r="J161" t="s">
        <v>31</v>
      </c>
      <c r="K161" t="s">
        <v>47</v>
      </c>
      <c r="L161" t="s">
        <v>48</v>
      </c>
      <c r="M161">
        <v>1</v>
      </c>
      <c r="N161" t="s">
        <v>34</v>
      </c>
      <c r="O161" t="s">
        <v>35</v>
      </c>
      <c r="P161" t="s">
        <v>36</v>
      </c>
      <c r="Q161">
        <v>2</v>
      </c>
      <c r="R161" t="s">
        <v>37</v>
      </c>
      <c r="S161">
        <v>34</v>
      </c>
      <c r="T161" t="s">
        <v>98</v>
      </c>
      <c r="U161" t="s">
        <v>36</v>
      </c>
      <c r="V161" t="s">
        <v>38</v>
      </c>
      <c r="W161">
        <v>2</v>
      </c>
      <c r="X161" t="s">
        <v>57</v>
      </c>
      <c r="Y161">
        <v>2</v>
      </c>
      <c r="Z161" t="s">
        <v>51</v>
      </c>
      <c r="AA161" t="s">
        <v>40</v>
      </c>
      <c r="AB161">
        <v>1</v>
      </c>
    </row>
    <row r="162" spans="1:28" x14ac:dyDescent="0.3">
      <c r="A162">
        <v>161</v>
      </c>
      <c r="B162" t="s">
        <v>26</v>
      </c>
      <c r="C162" t="s">
        <v>52</v>
      </c>
      <c r="D162" t="s">
        <v>53</v>
      </c>
      <c r="E162">
        <v>24</v>
      </c>
      <c r="F162" t="s">
        <v>29</v>
      </c>
      <c r="G162" t="s">
        <v>30</v>
      </c>
      <c r="H162">
        <v>2872</v>
      </c>
      <c r="I162" t="s">
        <v>79</v>
      </c>
      <c r="J162" t="s">
        <v>80</v>
      </c>
      <c r="K162" t="s">
        <v>32</v>
      </c>
      <c r="L162" t="s">
        <v>33</v>
      </c>
      <c r="M162">
        <v>3</v>
      </c>
      <c r="N162" t="s">
        <v>34</v>
      </c>
      <c r="O162" t="s">
        <v>35</v>
      </c>
      <c r="P162" t="s">
        <v>36</v>
      </c>
      <c r="Q162">
        <v>4</v>
      </c>
      <c r="R162" t="s">
        <v>37</v>
      </c>
      <c r="S162">
        <v>36</v>
      </c>
      <c r="T162" t="s">
        <v>98</v>
      </c>
      <c r="U162" t="s">
        <v>36</v>
      </c>
      <c r="V162" t="s">
        <v>38</v>
      </c>
      <c r="W162">
        <v>1</v>
      </c>
      <c r="X162" t="s">
        <v>39</v>
      </c>
      <c r="Y162">
        <v>2</v>
      </c>
      <c r="Z162" t="s">
        <v>40</v>
      </c>
      <c r="AA162" t="s">
        <v>40</v>
      </c>
      <c r="AB162">
        <v>1</v>
      </c>
    </row>
    <row r="163" spans="1:28" x14ac:dyDescent="0.3">
      <c r="A163">
        <v>162</v>
      </c>
      <c r="B163" t="s">
        <v>26</v>
      </c>
      <c r="C163" t="s">
        <v>52</v>
      </c>
      <c r="D163" t="s">
        <v>53</v>
      </c>
      <c r="E163">
        <v>18</v>
      </c>
      <c r="F163" t="s">
        <v>29</v>
      </c>
      <c r="G163" t="s">
        <v>63</v>
      </c>
      <c r="H163">
        <v>1055</v>
      </c>
      <c r="I163" t="s">
        <v>45</v>
      </c>
      <c r="J163" t="s">
        <v>46</v>
      </c>
      <c r="K163" t="s">
        <v>76</v>
      </c>
      <c r="L163" t="s">
        <v>77</v>
      </c>
      <c r="M163">
        <v>4</v>
      </c>
      <c r="N163" t="s">
        <v>49</v>
      </c>
      <c r="O163" t="s">
        <v>50</v>
      </c>
      <c r="P163" t="s">
        <v>36</v>
      </c>
      <c r="Q163">
        <v>1</v>
      </c>
      <c r="R163" t="s">
        <v>60</v>
      </c>
      <c r="S163">
        <v>30</v>
      </c>
      <c r="T163" t="s">
        <v>98</v>
      </c>
      <c r="U163" t="s">
        <v>36</v>
      </c>
      <c r="V163" t="s">
        <v>38</v>
      </c>
      <c r="W163">
        <v>2</v>
      </c>
      <c r="X163" t="s">
        <v>39</v>
      </c>
      <c r="Y163">
        <v>1</v>
      </c>
      <c r="Z163" t="s">
        <v>51</v>
      </c>
      <c r="AA163" t="s">
        <v>40</v>
      </c>
      <c r="AB163">
        <v>1</v>
      </c>
    </row>
    <row r="164" spans="1:28" x14ac:dyDescent="0.3">
      <c r="A164">
        <v>163</v>
      </c>
      <c r="B164" t="s">
        <v>26</v>
      </c>
      <c r="C164" t="s">
        <v>52</v>
      </c>
      <c r="D164" t="s">
        <v>53</v>
      </c>
      <c r="E164">
        <v>15</v>
      </c>
      <c r="F164" t="s">
        <v>44</v>
      </c>
      <c r="G164" t="s">
        <v>88</v>
      </c>
      <c r="H164">
        <v>1262</v>
      </c>
      <c r="I164" t="s">
        <v>65</v>
      </c>
      <c r="J164" t="s">
        <v>66</v>
      </c>
      <c r="K164" t="s">
        <v>55</v>
      </c>
      <c r="L164" t="s">
        <v>56</v>
      </c>
      <c r="M164">
        <v>4</v>
      </c>
      <c r="N164" t="s">
        <v>34</v>
      </c>
      <c r="O164" t="s">
        <v>35</v>
      </c>
      <c r="P164" t="s">
        <v>36</v>
      </c>
      <c r="Q164">
        <v>3</v>
      </c>
      <c r="R164" t="s">
        <v>60</v>
      </c>
      <c r="S164">
        <v>36</v>
      </c>
      <c r="T164" t="s">
        <v>98</v>
      </c>
      <c r="U164" t="s">
        <v>36</v>
      </c>
      <c r="V164" t="s">
        <v>38</v>
      </c>
      <c r="W164">
        <v>2</v>
      </c>
      <c r="X164" t="s">
        <v>39</v>
      </c>
      <c r="Y164">
        <v>1</v>
      </c>
      <c r="Z164" t="s">
        <v>40</v>
      </c>
      <c r="AA164" t="s">
        <v>40</v>
      </c>
      <c r="AB164">
        <v>1</v>
      </c>
    </row>
    <row r="165" spans="1:28" x14ac:dyDescent="0.3">
      <c r="A165">
        <v>164</v>
      </c>
      <c r="B165" t="s">
        <v>26</v>
      </c>
      <c r="C165" t="s">
        <v>42</v>
      </c>
      <c r="D165" t="s">
        <v>43</v>
      </c>
      <c r="E165">
        <v>10</v>
      </c>
      <c r="F165" t="s">
        <v>44</v>
      </c>
      <c r="G165" t="s">
        <v>63</v>
      </c>
      <c r="H165">
        <v>7308</v>
      </c>
      <c r="I165" t="s">
        <v>45</v>
      </c>
      <c r="J165" t="s">
        <v>46</v>
      </c>
      <c r="K165" t="s">
        <v>74</v>
      </c>
      <c r="L165" t="s">
        <v>74</v>
      </c>
      <c r="M165">
        <v>2</v>
      </c>
      <c r="N165" t="s">
        <v>34</v>
      </c>
      <c r="O165" t="s">
        <v>35</v>
      </c>
      <c r="P165" t="s">
        <v>36</v>
      </c>
      <c r="Q165">
        <v>4</v>
      </c>
      <c r="R165" t="s">
        <v>64</v>
      </c>
      <c r="S165">
        <v>70</v>
      </c>
      <c r="T165" t="s">
        <v>95</v>
      </c>
      <c r="U165" t="s">
        <v>82</v>
      </c>
      <c r="V165" t="s">
        <v>61</v>
      </c>
      <c r="W165">
        <v>1</v>
      </c>
      <c r="X165" t="s">
        <v>70</v>
      </c>
      <c r="Y165">
        <v>1</v>
      </c>
      <c r="Z165" t="s">
        <v>40</v>
      </c>
      <c r="AA165" t="s">
        <v>40</v>
      </c>
      <c r="AB165">
        <v>1</v>
      </c>
    </row>
    <row r="166" spans="1:28" x14ac:dyDescent="0.3">
      <c r="A166">
        <v>165</v>
      </c>
      <c r="B166" t="s">
        <v>26</v>
      </c>
      <c r="C166" t="s">
        <v>52</v>
      </c>
      <c r="D166" t="s">
        <v>53</v>
      </c>
      <c r="E166">
        <v>36</v>
      </c>
      <c r="F166" t="s">
        <v>44</v>
      </c>
      <c r="G166" t="s">
        <v>63</v>
      </c>
      <c r="H166">
        <v>909</v>
      </c>
      <c r="I166" t="s">
        <v>65</v>
      </c>
      <c r="J166" t="s">
        <v>66</v>
      </c>
      <c r="K166" t="s">
        <v>32</v>
      </c>
      <c r="L166" t="s">
        <v>33</v>
      </c>
      <c r="M166">
        <v>4</v>
      </c>
      <c r="N166" t="s">
        <v>34</v>
      </c>
      <c r="O166" t="s">
        <v>35</v>
      </c>
      <c r="P166" t="s">
        <v>36</v>
      </c>
      <c r="Q166">
        <v>4</v>
      </c>
      <c r="R166" t="s">
        <v>60</v>
      </c>
      <c r="S166">
        <v>36</v>
      </c>
      <c r="T166" t="s">
        <v>98</v>
      </c>
      <c r="U166" t="s">
        <v>36</v>
      </c>
      <c r="V166" t="s">
        <v>38</v>
      </c>
      <c r="W166">
        <v>1</v>
      </c>
      <c r="X166" t="s">
        <v>39</v>
      </c>
      <c r="Y166">
        <v>1</v>
      </c>
      <c r="Z166" t="s">
        <v>51</v>
      </c>
      <c r="AA166" t="s">
        <v>40</v>
      </c>
      <c r="AB166">
        <v>1</v>
      </c>
    </row>
    <row r="167" spans="1:28" x14ac:dyDescent="0.3">
      <c r="A167">
        <v>166</v>
      </c>
      <c r="B167" t="s">
        <v>26</v>
      </c>
      <c r="C167" t="s">
        <v>52</v>
      </c>
      <c r="D167" t="s">
        <v>53</v>
      </c>
      <c r="E167">
        <v>6</v>
      </c>
      <c r="F167" t="s">
        <v>44</v>
      </c>
      <c r="G167" t="s">
        <v>58</v>
      </c>
      <c r="H167">
        <v>2978</v>
      </c>
      <c r="I167" t="s">
        <v>65</v>
      </c>
      <c r="J167" t="s">
        <v>66</v>
      </c>
      <c r="K167" t="s">
        <v>47</v>
      </c>
      <c r="L167" t="s">
        <v>48</v>
      </c>
      <c r="M167">
        <v>1</v>
      </c>
      <c r="N167" t="s">
        <v>34</v>
      </c>
      <c r="O167" t="s">
        <v>35</v>
      </c>
      <c r="P167" t="s">
        <v>36</v>
      </c>
      <c r="Q167">
        <v>2</v>
      </c>
      <c r="R167" t="s">
        <v>68</v>
      </c>
      <c r="S167">
        <v>32</v>
      </c>
      <c r="T167" t="s">
        <v>98</v>
      </c>
      <c r="U167" t="s">
        <v>36</v>
      </c>
      <c r="V167" t="s">
        <v>38</v>
      </c>
      <c r="W167">
        <v>1</v>
      </c>
      <c r="X167" t="s">
        <v>39</v>
      </c>
      <c r="Y167">
        <v>1</v>
      </c>
      <c r="Z167" t="s">
        <v>40</v>
      </c>
      <c r="AA167" t="s">
        <v>40</v>
      </c>
      <c r="AB167">
        <v>1</v>
      </c>
    </row>
    <row r="168" spans="1:28" x14ac:dyDescent="0.3">
      <c r="A168">
        <v>167</v>
      </c>
      <c r="B168" t="s">
        <v>41</v>
      </c>
      <c r="C168" t="s">
        <v>27</v>
      </c>
      <c r="D168" t="s">
        <v>28</v>
      </c>
      <c r="E168">
        <v>18</v>
      </c>
      <c r="F168" t="s">
        <v>44</v>
      </c>
      <c r="G168" t="s">
        <v>58</v>
      </c>
      <c r="H168">
        <v>1131</v>
      </c>
      <c r="I168" t="s">
        <v>45</v>
      </c>
      <c r="J168" t="s">
        <v>46</v>
      </c>
      <c r="K168" t="s">
        <v>74</v>
      </c>
      <c r="L168" t="s">
        <v>74</v>
      </c>
      <c r="M168">
        <v>4</v>
      </c>
      <c r="N168" t="s">
        <v>49</v>
      </c>
      <c r="O168" t="s">
        <v>50</v>
      </c>
      <c r="P168" t="s">
        <v>36</v>
      </c>
      <c r="Q168">
        <v>2</v>
      </c>
      <c r="R168" t="s">
        <v>68</v>
      </c>
      <c r="S168">
        <v>33</v>
      </c>
      <c r="T168" t="s">
        <v>98</v>
      </c>
      <c r="U168" t="s">
        <v>36</v>
      </c>
      <c r="V168" t="s">
        <v>38</v>
      </c>
      <c r="W168">
        <v>1</v>
      </c>
      <c r="X168" t="s">
        <v>39</v>
      </c>
      <c r="Y168">
        <v>1</v>
      </c>
      <c r="Z168" t="s">
        <v>51</v>
      </c>
      <c r="AA168" t="s">
        <v>40</v>
      </c>
      <c r="AB168">
        <v>2</v>
      </c>
    </row>
    <row r="169" spans="1:28" x14ac:dyDescent="0.3">
      <c r="A169">
        <v>168</v>
      </c>
      <c r="B169" t="s">
        <v>26</v>
      </c>
      <c r="C169" t="s">
        <v>42</v>
      </c>
      <c r="D169" t="s">
        <v>43</v>
      </c>
      <c r="E169">
        <v>11</v>
      </c>
      <c r="F169" t="s">
        <v>44</v>
      </c>
      <c r="G169" t="s">
        <v>58</v>
      </c>
      <c r="H169">
        <v>1577</v>
      </c>
      <c r="I169" t="s">
        <v>71</v>
      </c>
      <c r="J169" t="s">
        <v>72</v>
      </c>
      <c r="K169" t="s">
        <v>76</v>
      </c>
      <c r="L169" t="s">
        <v>77</v>
      </c>
      <c r="M169">
        <v>4</v>
      </c>
      <c r="N169" t="s">
        <v>49</v>
      </c>
      <c r="O169" t="s">
        <v>50</v>
      </c>
      <c r="P169" t="s">
        <v>36</v>
      </c>
      <c r="Q169">
        <v>1</v>
      </c>
      <c r="R169" t="s">
        <v>37</v>
      </c>
      <c r="S169">
        <v>20</v>
      </c>
      <c r="T169" t="s">
        <v>96</v>
      </c>
      <c r="U169" t="s">
        <v>36</v>
      </c>
      <c r="V169" t="s">
        <v>38</v>
      </c>
      <c r="W169">
        <v>1</v>
      </c>
      <c r="X169" t="s">
        <v>39</v>
      </c>
      <c r="Y169">
        <v>1</v>
      </c>
      <c r="Z169" t="s">
        <v>51</v>
      </c>
      <c r="AA169" t="s">
        <v>40</v>
      </c>
      <c r="AB169">
        <v>1</v>
      </c>
    </row>
    <row r="170" spans="1:28" x14ac:dyDescent="0.3">
      <c r="A170">
        <v>169</v>
      </c>
      <c r="B170" t="s">
        <v>26</v>
      </c>
      <c r="C170" t="s">
        <v>52</v>
      </c>
      <c r="D170" t="s">
        <v>53</v>
      </c>
      <c r="E170">
        <v>24</v>
      </c>
      <c r="F170" t="s">
        <v>44</v>
      </c>
      <c r="G170" t="s">
        <v>58</v>
      </c>
      <c r="H170">
        <v>3972</v>
      </c>
      <c r="I170" t="s">
        <v>45</v>
      </c>
      <c r="J170" t="s">
        <v>46</v>
      </c>
      <c r="K170" t="s">
        <v>55</v>
      </c>
      <c r="L170" t="s">
        <v>56</v>
      </c>
      <c r="M170">
        <v>2</v>
      </c>
      <c r="N170" t="s">
        <v>49</v>
      </c>
      <c r="O170" t="s">
        <v>50</v>
      </c>
      <c r="P170" t="s">
        <v>36</v>
      </c>
      <c r="Q170">
        <v>4</v>
      </c>
      <c r="R170" t="s">
        <v>60</v>
      </c>
      <c r="S170">
        <v>25</v>
      </c>
      <c r="T170" t="s">
        <v>98</v>
      </c>
      <c r="U170" t="s">
        <v>36</v>
      </c>
      <c r="V170" t="s">
        <v>69</v>
      </c>
      <c r="W170">
        <v>1</v>
      </c>
      <c r="X170" t="s">
        <v>39</v>
      </c>
      <c r="Y170">
        <v>1</v>
      </c>
      <c r="Z170" t="s">
        <v>40</v>
      </c>
      <c r="AA170" t="s">
        <v>40</v>
      </c>
      <c r="AB170">
        <v>1</v>
      </c>
    </row>
    <row r="171" spans="1:28" x14ac:dyDescent="0.3">
      <c r="A171">
        <v>170</v>
      </c>
      <c r="B171" t="s">
        <v>41</v>
      </c>
      <c r="C171" t="s">
        <v>42</v>
      </c>
      <c r="D171" t="s">
        <v>43</v>
      </c>
      <c r="E171">
        <v>24</v>
      </c>
      <c r="F171" t="s">
        <v>29</v>
      </c>
      <c r="G171" t="s">
        <v>78</v>
      </c>
      <c r="H171">
        <v>1935</v>
      </c>
      <c r="I171" t="s">
        <v>45</v>
      </c>
      <c r="J171" t="s">
        <v>46</v>
      </c>
      <c r="K171" t="s">
        <v>32</v>
      </c>
      <c r="L171" t="s">
        <v>33</v>
      </c>
      <c r="M171">
        <v>4</v>
      </c>
      <c r="N171" t="s">
        <v>34</v>
      </c>
      <c r="O171" t="s">
        <v>73</v>
      </c>
      <c r="P171" t="s">
        <v>36</v>
      </c>
      <c r="Q171">
        <v>4</v>
      </c>
      <c r="R171" t="s">
        <v>37</v>
      </c>
      <c r="S171">
        <v>31</v>
      </c>
      <c r="T171" t="s">
        <v>98</v>
      </c>
      <c r="U171" t="s">
        <v>36</v>
      </c>
      <c r="V171" t="s">
        <v>38</v>
      </c>
      <c r="W171">
        <v>2</v>
      </c>
      <c r="X171" t="s">
        <v>39</v>
      </c>
      <c r="Y171">
        <v>1</v>
      </c>
      <c r="Z171" t="s">
        <v>40</v>
      </c>
      <c r="AA171" t="s">
        <v>40</v>
      </c>
      <c r="AB171">
        <v>2</v>
      </c>
    </row>
    <row r="172" spans="1:28" x14ac:dyDescent="0.3">
      <c r="A172">
        <v>171</v>
      </c>
      <c r="B172" t="s">
        <v>41</v>
      </c>
      <c r="C172" t="s">
        <v>27</v>
      </c>
      <c r="D172" t="s">
        <v>28</v>
      </c>
      <c r="E172">
        <v>15</v>
      </c>
      <c r="F172" t="s">
        <v>81</v>
      </c>
      <c r="G172" t="s">
        <v>63</v>
      </c>
      <c r="H172">
        <v>950</v>
      </c>
      <c r="I172" t="s">
        <v>45</v>
      </c>
      <c r="J172" t="s">
        <v>46</v>
      </c>
      <c r="K172" t="s">
        <v>32</v>
      </c>
      <c r="L172" t="s">
        <v>33</v>
      </c>
      <c r="M172">
        <v>4</v>
      </c>
      <c r="N172" t="s">
        <v>34</v>
      </c>
      <c r="O172" t="s">
        <v>35</v>
      </c>
      <c r="P172" t="s">
        <v>36</v>
      </c>
      <c r="Q172">
        <v>3</v>
      </c>
      <c r="R172" t="s">
        <v>68</v>
      </c>
      <c r="S172">
        <v>33</v>
      </c>
      <c r="T172" t="s">
        <v>98</v>
      </c>
      <c r="U172" t="s">
        <v>36</v>
      </c>
      <c r="V172" t="s">
        <v>69</v>
      </c>
      <c r="W172">
        <v>2</v>
      </c>
      <c r="X172" t="s">
        <v>39</v>
      </c>
      <c r="Y172">
        <v>2</v>
      </c>
      <c r="Z172" t="s">
        <v>51</v>
      </c>
      <c r="AA172" t="s">
        <v>40</v>
      </c>
      <c r="AB172">
        <v>2</v>
      </c>
    </row>
    <row r="173" spans="1:28" x14ac:dyDescent="0.3">
      <c r="A173">
        <v>172</v>
      </c>
      <c r="B173" t="s">
        <v>26</v>
      </c>
      <c r="C173" t="s">
        <v>52</v>
      </c>
      <c r="D173" t="s">
        <v>53</v>
      </c>
      <c r="E173">
        <v>12</v>
      </c>
      <c r="F173" t="s">
        <v>44</v>
      </c>
      <c r="G173" t="s">
        <v>58</v>
      </c>
      <c r="H173">
        <v>763</v>
      </c>
      <c r="I173" t="s">
        <v>45</v>
      </c>
      <c r="J173" t="s">
        <v>46</v>
      </c>
      <c r="K173" t="s">
        <v>47</v>
      </c>
      <c r="L173" t="s">
        <v>48</v>
      </c>
      <c r="M173">
        <v>4</v>
      </c>
      <c r="N173" t="s">
        <v>49</v>
      </c>
      <c r="O173" t="s">
        <v>50</v>
      </c>
      <c r="P173" t="s">
        <v>36</v>
      </c>
      <c r="Q173">
        <v>1</v>
      </c>
      <c r="R173" t="s">
        <v>37</v>
      </c>
      <c r="S173">
        <v>26</v>
      </c>
      <c r="T173" t="s">
        <v>98</v>
      </c>
      <c r="U173" t="s">
        <v>36</v>
      </c>
      <c r="V173" t="s">
        <v>38</v>
      </c>
      <c r="W173">
        <v>1</v>
      </c>
      <c r="X173" t="s">
        <v>39</v>
      </c>
      <c r="Y173">
        <v>1</v>
      </c>
      <c r="Z173" t="s">
        <v>40</v>
      </c>
      <c r="AA173" t="s">
        <v>40</v>
      </c>
      <c r="AB173">
        <v>1</v>
      </c>
    </row>
    <row r="174" spans="1:28" x14ac:dyDescent="0.3">
      <c r="A174">
        <v>173</v>
      </c>
      <c r="B174" t="s">
        <v>41</v>
      </c>
      <c r="C174" t="s">
        <v>42</v>
      </c>
      <c r="D174" t="s">
        <v>43</v>
      </c>
      <c r="E174">
        <v>24</v>
      </c>
      <c r="F174" t="s">
        <v>62</v>
      </c>
      <c r="G174" t="s">
        <v>58</v>
      </c>
      <c r="H174">
        <v>2064</v>
      </c>
      <c r="I174" t="s">
        <v>45</v>
      </c>
      <c r="J174" t="s">
        <v>46</v>
      </c>
      <c r="K174" t="s">
        <v>74</v>
      </c>
      <c r="L174" t="s">
        <v>74</v>
      </c>
      <c r="M174">
        <v>3</v>
      </c>
      <c r="N174" t="s">
        <v>49</v>
      </c>
      <c r="O174" t="s">
        <v>50</v>
      </c>
      <c r="P174" t="s">
        <v>36</v>
      </c>
      <c r="Q174">
        <v>2</v>
      </c>
      <c r="R174" t="s">
        <v>60</v>
      </c>
      <c r="S174">
        <v>34</v>
      </c>
      <c r="T174" t="s">
        <v>98</v>
      </c>
      <c r="U174" t="s">
        <v>36</v>
      </c>
      <c r="V174" t="s">
        <v>38</v>
      </c>
      <c r="W174">
        <v>1</v>
      </c>
      <c r="X174" t="s">
        <v>70</v>
      </c>
      <c r="Y174">
        <v>1</v>
      </c>
      <c r="Z174" t="s">
        <v>40</v>
      </c>
      <c r="AA174" t="s">
        <v>40</v>
      </c>
      <c r="AB174">
        <v>2</v>
      </c>
    </row>
    <row r="175" spans="1:28" x14ac:dyDescent="0.3">
      <c r="A175">
        <v>174</v>
      </c>
      <c r="B175" t="s">
        <v>26</v>
      </c>
      <c r="C175" t="s">
        <v>42</v>
      </c>
      <c r="D175" t="s">
        <v>43</v>
      </c>
      <c r="E175">
        <v>8</v>
      </c>
      <c r="F175" t="s">
        <v>44</v>
      </c>
      <c r="G175" t="s">
        <v>30</v>
      </c>
      <c r="H175">
        <v>1414</v>
      </c>
      <c r="I175" t="s">
        <v>45</v>
      </c>
      <c r="J175" t="s">
        <v>46</v>
      </c>
      <c r="K175" t="s">
        <v>47</v>
      </c>
      <c r="L175" t="s">
        <v>48</v>
      </c>
      <c r="M175">
        <v>4</v>
      </c>
      <c r="N175" t="s">
        <v>34</v>
      </c>
      <c r="O175" t="s">
        <v>35</v>
      </c>
      <c r="P175" t="s">
        <v>59</v>
      </c>
      <c r="Q175">
        <v>2</v>
      </c>
      <c r="R175" t="s">
        <v>37</v>
      </c>
      <c r="S175">
        <v>33</v>
      </c>
      <c r="T175" t="s">
        <v>98</v>
      </c>
      <c r="U175" t="s">
        <v>36</v>
      </c>
      <c r="V175" t="s">
        <v>38</v>
      </c>
      <c r="W175">
        <v>1</v>
      </c>
      <c r="X175" t="s">
        <v>39</v>
      </c>
      <c r="Y175">
        <v>1</v>
      </c>
      <c r="Z175" t="s">
        <v>51</v>
      </c>
      <c r="AA175" t="s">
        <v>51</v>
      </c>
      <c r="AB175">
        <v>1</v>
      </c>
    </row>
    <row r="176" spans="1:28" x14ac:dyDescent="0.3">
      <c r="A176">
        <v>175</v>
      </c>
      <c r="B176" t="s">
        <v>41</v>
      </c>
      <c r="C176" t="s">
        <v>27</v>
      </c>
      <c r="D176" t="s">
        <v>28</v>
      </c>
      <c r="E176">
        <v>21</v>
      </c>
      <c r="F176" t="s">
        <v>62</v>
      </c>
      <c r="G176" t="s">
        <v>54</v>
      </c>
      <c r="H176">
        <v>3414</v>
      </c>
      <c r="I176" t="s">
        <v>45</v>
      </c>
      <c r="J176" t="s">
        <v>46</v>
      </c>
      <c r="K176" t="s">
        <v>76</v>
      </c>
      <c r="L176" t="s">
        <v>77</v>
      </c>
      <c r="M176">
        <v>2</v>
      </c>
      <c r="N176" t="s">
        <v>34</v>
      </c>
      <c r="O176" t="s">
        <v>35</v>
      </c>
      <c r="P176" t="s">
        <v>36</v>
      </c>
      <c r="Q176">
        <v>1</v>
      </c>
      <c r="R176" t="s">
        <v>60</v>
      </c>
      <c r="S176">
        <v>26</v>
      </c>
      <c r="T176" t="s">
        <v>98</v>
      </c>
      <c r="U176" t="s">
        <v>36</v>
      </c>
      <c r="V176" t="s">
        <v>38</v>
      </c>
      <c r="W176">
        <v>2</v>
      </c>
      <c r="X176" t="s">
        <v>39</v>
      </c>
      <c r="Y176">
        <v>1</v>
      </c>
      <c r="Z176" t="s">
        <v>51</v>
      </c>
      <c r="AA176" t="s">
        <v>40</v>
      </c>
      <c r="AB176">
        <v>2</v>
      </c>
    </row>
    <row r="177" spans="1:28" x14ac:dyDescent="0.3">
      <c r="A177">
        <v>176</v>
      </c>
      <c r="B177" t="s">
        <v>41</v>
      </c>
      <c r="C177" t="s">
        <v>52</v>
      </c>
      <c r="D177" t="s">
        <v>53</v>
      </c>
      <c r="E177">
        <v>30</v>
      </c>
      <c r="F177" t="s">
        <v>85</v>
      </c>
      <c r="G177" t="s">
        <v>67</v>
      </c>
      <c r="H177">
        <v>7485</v>
      </c>
      <c r="I177" t="s">
        <v>31</v>
      </c>
      <c r="J177" t="s">
        <v>31</v>
      </c>
      <c r="K177" t="s">
        <v>74</v>
      </c>
      <c r="L177" t="s">
        <v>74</v>
      </c>
      <c r="M177">
        <v>4</v>
      </c>
      <c r="N177" t="s">
        <v>49</v>
      </c>
      <c r="O177" t="s">
        <v>50</v>
      </c>
      <c r="P177" t="s">
        <v>36</v>
      </c>
      <c r="Q177">
        <v>1</v>
      </c>
      <c r="R177" t="s">
        <v>37</v>
      </c>
      <c r="S177">
        <v>53</v>
      </c>
      <c r="T177" t="s">
        <v>97</v>
      </c>
      <c r="U177" t="s">
        <v>82</v>
      </c>
      <c r="V177" t="s">
        <v>38</v>
      </c>
      <c r="W177">
        <v>1</v>
      </c>
      <c r="X177" t="s">
        <v>70</v>
      </c>
      <c r="Y177">
        <v>1</v>
      </c>
      <c r="Z177" t="s">
        <v>40</v>
      </c>
      <c r="AA177" t="s">
        <v>40</v>
      </c>
      <c r="AB177">
        <v>2</v>
      </c>
    </row>
    <row r="178" spans="1:28" x14ac:dyDescent="0.3">
      <c r="A178">
        <v>177</v>
      </c>
      <c r="B178" t="s">
        <v>26</v>
      </c>
      <c r="C178" t="s">
        <v>27</v>
      </c>
      <c r="D178" t="s">
        <v>28</v>
      </c>
      <c r="E178">
        <v>12</v>
      </c>
      <c r="F178" t="s">
        <v>44</v>
      </c>
      <c r="G178" t="s">
        <v>58</v>
      </c>
      <c r="H178">
        <v>2577</v>
      </c>
      <c r="I178" t="s">
        <v>45</v>
      </c>
      <c r="J178" t="s">
        <v>46</v>
      </c>
      <c r="K178" t="s">
        <v>47</v>
      </c>
      <c r="L178" t="s">
        <v>48</v>
      </c>
      <c r="M178">
        <v>2</v>
      </c>
      <c r="N178" t="s">
        <v>34</v>
      </c>
      <c r="O178" t="s">
        <v>73</v>
      </c>
      <c r="P178" t="s">
        <v>36</v>
      </c>
      <c r="Q178">
        <v>1</v>
      </c>
      <c r="R178" t="s">
        <v>68</v>
      </c>
      <c r="S178">
        <v>42</v>
      </c>
      <c r="T178" t="s">
        <v>97</v>
      </c>
      <c r="U178" t="s">
        <v>36</v>
      </c>
      <c r="V178" t="s">
        <v>38</v>
      </c>
      <c r="W178">
        <v>1</v>
      </c>
      <c r="X178" t="s">
        <v>39</v>
      </c>
      <c r="Y178">
        <v>1</v>
      </c>
      <c r="Z178" t="s">
        <v>51</v>
      </c>
      <c r="AA178" t="s">
        <v>40</v>
      </c>
      <c r="AB178">
        <v>1</v>
      </c>
    </row>
    <row r="179" spans="1:28" x14ac:dyDescent="0.3">
      <c r="A179">
        <v>178</v>
      </c>
      <c r="B179" t="s">
        <v>26</v>
      </c>
      <c r="C179" t="s">
        <v>27</v>
      </c>
      <c r="D179" t="s">
        <v>28</v>
      </c>
      <c r="E179">
        <v>6</v>
      </c>
      <c r="F179" t="s">
        <v>29</v>
      </c>
      <c r="G179" t="s">
        <v>30</v>
      </c>
      <c r="H179">
        <v>338</v>
      </c>
      <c r="I179" t="s">
        <v>65</v>
      </c>
      <c r="J179" t="s">
        <v>66</v>
      </c>
      <c r="K179" t="s">
        <v>32</v>
      </c>
      <c r="L179" t="s">
        <v>33</v>
      </c>
      <c r="M179">
        <v>4</v>
      </c>
      <c r="N179" t="s">
        <v>34</v>
      </c>
      <c r="O179" t="s">
        <v>35</v>
      </c>
      <c r="P179" t="s">
        <v>36</v>
      </c>
      <c r="Q179">
        <v>4</v>
      </c>
      <c r="R179" t="s">
        <v>68</v>
      </c>
      <c r="S179">
        <v>52</v>
      </c>
      <c r="T179" t="s">
        <v>97</v>
      </c>
      <c r="U179" t="s">
        <v>36</v>
      </c>
      <c r="V179" t="s">
        <v>38</v>
      </c>
      <c r="W179">
        <v>2</v>
      </c>
      <c r="X179" t="s">
        <v>39</v>
      </c>
      <c r="Y179">
        <v>1</v>
      </c>
      <c r="Z179" t="s">
        <v>51</v>
      </c>
      <c r="AA179" t="s">
        <v>40</v>
      </c>
      <c r="AB179">
        <v>1</v>
      </c>
    </row>
    <row r="180" spans="1:28" x14ac:dyDescent="0.3">
      <c r="A180">
        <v>179</v>
      </c>
      <c r="B180" t="s">
        <v>26</v>
      </c>
      <c r="C180" t="s">
        <v>52</v>
      </c>
      <c r="D180" t="s">
        <v>53</v>
      </c>
      <c r="E180">
        <v>12</v>
      </c>
      <c r="F180" t="s">
        <v>44</v>
      </c>
      <c r="G180" t="s">
        <v>30</v>
      </c>
      <c r="H180">
        <v>1963</v>
      </c>
      <c r="I180" t="s">
        <v>45</v>
      </c>
      <c r="J180" t="s">
        <v>46</v>
      </c>
      <c r="K180" t="s">
        <v>55</v>
      </c>
      <c r="L180" t="s">
        <v>56</v>
      </c>
      <c r="M180">
        <v>4</v>
      </c>
      <c r="N180" t="s">
        <v>34</v>
      </c>
      <c r="O180" t="s">
        <v>35</v>
      </c>
      <c r="P180" t="s">
        <v>36</v>
      </c>
      <c r="Q180">
        <v>2</v>
      </c>
      <c r="R180" t="s">
        <v>68</v>
      </c>
      <c r="S180">
        <v>31</v>
      </c>
      <c r="T180" t="s">
        <v>98</v>
      </c>
      <c r="U180" t="s">
        <v>36</v>
      </c>
      <c r="V180" t="s">
        <v>69</v>
      </c>
      <c r="W180">
        <v>2</v>
      </c>
      <c r="X180" t="s">
        <v>70</v>
      </c>
      <c r="Y180">
        <v>2</v>
      </c>
      <c r="Z180" t="s">
        <v>40</v>
      </c>
      <c r="AA180" t="s">
        <v>40</v>
      </c>
      <c r="AB180">
        <v>1</v>
      </c>
    </row>
    <row r="181" spans="1:28" x14ac:dyDescent="0.3">
      <c r="A181">
        <v>180</v>
      </c>
      <c r="B181" t="s">
        <v>26</v>
      </c>
      <c r="C181" t="s">
        <v>27</v>
      </c>
      <c r="D181" t="s">
        <v>28</v>
      </c>
      <c r="E181">
        <v>21</v>
      </c>
      <c r="F181" t="s">
        <v>29</v>
      </c>
      <c r="G181" t="s">
        <v>63</v>
      </c>
      <c r="H181">
        <v>571</v>
      </c>
      <c r="I181" t="s">
        <v>45</v>
      </c>
      <c r="J181" t="s">
        <v>46</v>
      </c>
      <c r="K181" t="s">
        <v>32</v>
      </c>
      <c r="L181" t="s">
        <v>33</v>
      </c>
      <c r="M181">
        <v>4</v>
      </c>
      <c r="N181" t="s">
        <v>34</v>
      </c>
      <c r="O181" t="s">
        <v>35</v>
      </c>
      <c r="P181" t="s">
        <v>36</v>
      </c>
      <c r="Q181">
        <v>4</v>
      </c>
      <c r="R181" t="s">
        <v>37</v>
      </c>
      <c r="S181">
        <v>65</v>
      </c>
      <c r="T181" t="s">
        <v>95</v>
      </c>
      <c r="U181" t="s">
        <v>36</v>
      </c>
      <c r="V181" t="s">
        <v>38</v>
      </c>
      <c r="W181">
        <v>2</v>
      </c>
      <c r="X181" t="s">
        <v>39</v>
      </c>
      <c r="Y181">
        <v>1</v>
      </c>
      <c r="Z181" t="s">
        <v>51</v>
      </c>
      <c r="AA181" t="s">
        <v>40</v>
      </c>
      <c r="AB181">
        <v>1</v>
      </c>
    </row>
    <row r="182" spans="1:28" x14ac:dyDescent="0.3">
      <c r="A182">
        <v>181</v>
      </c>
      <c r="B182" t="s">
        <v>41</v>
      </c>
      <c r="C182" t="s">
        <v>52</v>
      </c>
      <c r="D182" t="s">
        <v>53</v>
      </c>
      <c r="E182">
        <v>36</v>
      </c>
      <c r="F182" t="s">
        <v>62</v>
      </c>
      <c r="G182" t="s">
        <v>78</v>
      </c>
      <c r="H182">
        <v>9572</v>
      </c>
      <c r="I182" t="s">
        <v>45</v>
      </c>
      <c r="J182" t="s">
        <v>46</v>
      </c>
      <c r="K182" t="s">
        <v>76</v>
      </c>
      <c r="L182" t="s">
        <v>77</v>
      </c>
      <c r="M182">
        <v>1</v>
      </c>
      <c r="N182" t="s">
        <v>34</v>
      </c>
      <c r="O182" t="s">
        <v>73</v>
      </c>
      <c r="P182" t="s">
        <v>36</v>
      </c>
      <c r="Q182">
        <v>1</v>
      </c>
      <c r="R182" t="s">
        <v>68</v>
      </c>
      <c r="S182">
        <v>28</v>
      </c>
      <c r="T182" t="s">
        <v>98</v>
      </c>
      <c r="U182" t="s">
        <v>36</v>
      </c>
      <c r="V182" t="s">
        <v>38</v>
      </c>
      <c r="W182">
        <v>2</v>
      </c>
      <c r="X182" t="s">
        <v>39</v>
      </c>
      <c r="Y182">
        <v>1</v>
      </c>
      <c r="Z182" t="s">
        <v>51</v>
      </c>
      <c r="AA182" t="s">
        <v>40</v>
      </c>
      <c r="AB182">
        <v>2</v>
      </c>
    </row>
    <row r="183" spans="1:28" x14ac:dyDescent="0.3">
      <c r="A183">
        <v>182</v>
      </c>
      <c r="B183" t="s">
        <v>41</v>
      </c>
      <c r="C183" t="s">
        <v>42</v>
      </c>
      <c r="D183" t="s">
        <v>43</v>
      </c>
      <c r="E183">
        <v>36</v>
      </c>
      <c r="F183" t="s">
        <v>62</v>
      </c>
      <c r="G183" t="s">
        <v>78</v>
      </c>
      <c r="H183">
        <v>4455</v>
      </c>
      <c r="I183" t="s">
        <v>45</v>
      </c>
      <c r="J183" t="s">
        <v>46</v>
      </c>
      <c r="K183" t="s">
        <v>47</v>
      </c>
      <c r="L183" t="s">
        <v>48</v>
      </c>
      <c r="M183">
        <v>2</v>
      </c>
      <c r="N183" t="s">
        <v>34</v>
      </c>
      <c r="O183" t="s">
        <v>73</v>
      </c>
      <c r="P183" t="s">
        <v>36</v>
      </c>
      <c r="Q183">
        <v>2</v>
      </c>
      <c r="R183" t="s">
        <v>37</v>
      </c>
      <c r="S183">
        <v>30</v>
      </c>
      <c r="T183" t="s">
        <v>98</v>
      </c>
      <c r="U183" t="s">
        <v>86</v>
      </c>
      <c r="V183" t="s">
        <v>38</v>
      </c>
      <c r="W183">
        <v>2</v>
      </c>
      <c r="X183" t="s">
        <v>70</v>
      </c>
      <c r="Y183">
        <v>1</v>
      </c>
      <c r="Z183" t="s">
        <v>40</v>
      </c>
      <c r="AA183" t="s">
        <v>40</v>
      </c>
      <c r="AB183">
        <v>2</v>
      </c>
    </row>
    <row r="184" spans="1:28" x14ac:dyDescent="0.3">
      <c r="A184">
        <v>183</v>
      </c>
      <c r="B184" t="s">
        <v>41</v>
      </c>
      <c r="C184" t="s">
        <v>27</v>
      </c>
      <c r="D184" t="s">
        <v>28</v>
      </c>
      <c r="E184">
        <v>21</v>
      </c>
      <c r="F184" t="s">
        <v>85</v>
      </c>
      <c r="G184" t="s">
        <v>63</v>
      </c>
      <c r="H184">
        <v>1647</v>
      </c>
      <c r="I184" t="s">
        <v>31</v>
      </c>
      <c r="J184" t="s">
        <v>31</v>
      </c>
      <c r="K184" t="s">
        <v>47</v>
      </c>
      <c r="L184" t="s">
        <v>48</v>
      </c>
      <c r="M184">
        <v>4</v>
      </c>
      <c r="N184" t="s">
        <v>34</v>
      </c>
      <c r="O184" t="s">
        <v>35</v>
      </c>
      <c r="P184" t="s">
        <v>36</v>
      </c>
      <c r="Q184">
        <v>2</v>
      </c>
      <c r="R184" t="s">
        <v>60</v>
      </c>
      <c r="S184">
        <v>40</v>
      </c>
      <c r="T184" t="s">
        <v>97</v>
      </c>
      <c r="U184" t="s">
        <v>36</v>
      </c>
      <c r="V184" t="s">
        <v>38</v>
      </c>
      <c r="W184">
        <v>2</v>
      </c>
      <c r="X184" t="s">
        <v>57</v>
      </c>
      <c r="Y184">
        <v>2</v>
      </c>
      <c r="Z184" t="s">
        <v>51</v>
      </c>
      <c r="AA184" t="s">
        <v>40</v>
      </c>
      <c r="AB184">
        <v>2</v>
      </c>
    </row>
    <row r="185" spans="1:28" x14ac:dyDescent="0.3">
      <c r="A185">
        <v>184</v>
      </c>
      <c r="B185" t="s">
        <v>26</v>
      </c>
      <c r="C185" t="s">
        <v>52</v>
      </c>
      <c r="D185" t="s">
        <v>53</v>
      </c>
      <c r="E185">
        <v>24</v>
      </c>
      <c r="F185" t="s">
        <v>29</v>
      </c>
      <c r="G185" t="s">
        <v>58</v>
      </c>
      <c r="H185">
        <v>3777</v>
      </c>
      <c r="I185" t="s">
        <v>71</v>
      </c>
      <c r="J185" t="s">
        <v>72</v>
      </c>
      <c r="K185" t="s">
        <v>47</v>
      </c>
      <c r="L185" t="s">
        <v>48</v>
      </c>
      <c r="M185">
        <v>4</v>
      </c>
      <c r="N185" t="s">
        <v>34</v>
      </c>
      <c r="O185" t="s">
        <v>35</v>
      </c>
      <c r="P185" t="s">
        <v>36</v>
      </c>
      <c r="Q185">
        <v>4</v>
      </c>
      <c r="R185" t="s">
        <v>37</v>
      </c>
      <c r="S185">
        <v>50</v>
      </c>
      <c r="T185" t="s">
        <v>97</v>
      </c>
      <c r="U185" t="s">
        <v>36</v>
      </c>
      <c r="V185" t="s">
        <v>38</v>
      </c>
      <c r="W185">
        <v>1</v>
      </c>
      <c r="X185" t="s">
        <v>39</v>
      </c>
      <c r="Y185">
        <v>1</v>
      </c>
      <c r="Z185" t="s">
        <v>40</v>
      </c>
      <c r="AA185" t="s">
        <v>40</v>
      </c>
      <c r="AB185">
        <v>1</v>
      </c>
    </row>
    <row r="186" spans="1:28" x14ac:dyDescent="0.3">
      <c r="A186">
        <v>185</v>
      </c>
      <c r="B186" t="s">
        <v>41</v>
      </c>
      <c r="C186" t="s">
        <v>42</v>
      </c>
      <c r="D186" t="s">
        <v>43</v>
      </c>
      <c r="E186">
        <v>18</v>
      </c>
      <c r="F186" t="s">
        <v>29</v>
      </c>
      <c r="G186" t="s">
        <v>63</v>
      </c>
      <c r="H186">
        <v>884</v>
      </c>
      <c r="I186" t="s">
        <v>45</v>
      </c>
      <c r="J186" t="s">
        <v>46</v>
      </c>
      <c r="K186" t="s">
        <v>32</v>
      </c>
      <c r="L186" t="s">
        <v>33</v>
      </c>
      <c r="M186">
        <v>4</v>
      </c>
      <c r="N186" t="s">
        <v>34</v>
      </c>
      <c r="O186" t="s">
        <v>35</v>
      </c>
      <c r="P186" t="s">
        <v>36</v>
      </c>
      <c r="Q186">
        <v>4</v>
      </c>
      <c r="R186" t="s">
        <v>68</v>
      </c>
      <c r="S186">
        <v>36</v>
      </c>
      <c r="T186" t="s">
        <v>98</v>
      </c>
      <c r="U186" t="s">
        <v>82</v>
      </c>
      <c r="V186" t="s">
        <v>38</v>
      </c>
      <c r="W186">
        <v>1</v>
      </c>
      <c r="X186" t="s">
        <v>39</v>
      </c>
      <c r="Y186">
        <v>2</v>
      </c>
      <c r="Z186" t="s">
        <v>40</v>
      </c>
      <c r="AA186" t="s">
        <v>40</v>
      </c>
      <c r="AB186">
        <v>2</v>
      </c>
    </row>
    <row r="187" spans="1:28" x14ac:dyDescent="0.3">
      <c r="A187">
        <v>186</v>
      </c>
      <c r="B187" t="s">
        <v>26</v>
      </c>
      <c r="C187" t="s">
        <v>52</v>
      </c>
      <c r="D187" t="s">
        <v>53</v>
      </c>
      <c r="E187">
        <v>15</v>
      </c>
      <c r="F187" t="s">
        <v>29</v>
      </c>
      <c r="G187" t="s">
        <v>30</v>
      </c>
      <c r="H187">
        <v>1360</v>
      </c>
      <c r="I187" t="s">
        <v>45</v>
      </c>
      <c r="J187" t="s">
        <v>46</v>
      </c>
      <c r="K187" t="s">
        <v>47</v>
      </c>
      <c r="L187" t="s">
        <v>48</v>
      </c>
      <c r="M187">
        <v>4</v>
      </c>
      <c r="N187" t="s">
        <v>34</v>
      </c>
      <c r="O187" t="s">
        <v>35</v>
      </c>
      <c r="P187" t="s">
        <v>36</v>
      </c>
      <c r="Q187">
        <v>2</v>
      </c>
      <c r="R187" t="s">
        <v>60</v>
      </c>
      <c r="S187">
        <v>31</v>
      </c>
      <c r="T187" t="s">
        <v>98</v>
      </c>
      <c r="U187" t="s">
        <v>36</v>
      </c>
      <c r="V187" t="s">
        <v>38</v>
      </c>
      <c r="W187">
        <v>2</v>
      </c>
      <c r="X187" t="s">
        <v>39</v>
      </c>
      <c r="Y187">
        <v>1</v>
      </c>
      <c r="Z187" t="s">
        <v>51</v>
      </c>
      <c r="AA187" t="s">
        <v>40</v>
      </c>
      <c r="AB187">
        <v>1</v>
      </c>
    </row>
    <row r="188" spans="1:28" x14ac:dyDescent="0.3">
      <c r="A188">
        <v>187</v>
      </c>
      <c r="B188" t="s">
        <v>41</v>
      </c>
      <c r="C188" t="s">
        <v>42</v>
      </c>
      <c r="D188" t="s">
        <v>43</v>
      </c>
      <c r="E188">
        <v>9</v>
      </c>
      <c r="F188" t="s">
        <v>85</v>
      </c>
      <c r="G188" t="s">
        <v>67</v>
      </c>
      <c r="H188">
        <v>5129</v>
      </c>
      <c r="I188" t="s">
        <v>45</v>
      </c>
      <c r="J188" t="s">
        <v>46</v>
      </c>
      <c r="K188" t="s">
        <v>32</v>
      </c>
      <c r="L188" t="s">
        <v>33</v>
      </c>
      <c r="M188">
        <v>2</v>
      </c>
      <c r="N188" t="s">
        <v>49</v>
      </c>
      <c r="O188" t="s">
        <v>50</v>
      </c>
      <c r="P188" t="s">
        <v>36</v>
      </c>
      <c r="Q188">
        <v>4</v>
      </c>
      <c r="R188" t="s">
        <v>64</v>
      </c>
      <c r="S188">
        <v>74</v>
      </c>
      <c r="T188" t="s">
        <v>95</v>
      </c>
      <c r="U188" t="s">
        <v>82</v>
      </c>
      <c r="V188" t="s">
        <v>61</v>
      </c>
      <c r="W188">
        <v>1</v>
      </c>
      <c r="X188" t="s">
        <v>70</v>
      </c>
      <c r="Y188">
        <v>2</v>
      </c>
      <c r="Z188" t="s">
        <v>40</v>
      </c>
      <c r="AA188" t="s">
        <v>40</v>
      </c>
      <c r="AB188">
        <v>2</v>
      </c>
    </row>
    <row r="189" spans="1:28" x14ac:dyDescent="0.3">
      <c r="A189">
        <v>188</v>
      </c>
      <c r="B189" t="s">
        <v>26</v>
      </c>
      <c r="C189" t="s">
        <v>42</v>
      </c>
      <c r="D189" t="s">
        <v>43</v>
      </c>
      <c r="E189">
        <v>16</v>
      </c>
      <c r="F189" t="s">
        <v>29</v>
      </c>
      <c r="G189" t="s">
        <v>63</v>
      </c>
      <c r="H189">
        <v>1175</v>
      </c>
      <c r="I189" t="s">
        <v>45</v>
      </c>
      <c r="J189" t="s">
        <v>46</v>
      </c>
      <c r="K189" t="s">
        <v>74</v>
      </c>
      <c r="L189" t="s">
        <v>74</v>
      </c>
      <c r="M189">
        <v>2</v>
      </c>
      <c r="N189" t="s">
        <v>34</v>
      </c>
      <c r="O189" t="s">
        <v>35</v>
      </c>
      <c r="P189" t="s">
        <v>36</v>
      </c>
      <c r="Q189">
        <v>3</v>
      </c>
      <c r="R189" t="s">
        <v>68</v>
      </c>
      <c r="S189">
        <v>68</v>
      </c>
      <c r="T189" t="s">
        <v>95</v>
      </c>
      <c r="U189" t="s">
        <v>36</v>
      </c>
      <c r="V189" t="s">
        <v>61</v>
      </c>
      <c r="W189">
        <v>3</v>
      </c>
      <c r="X189" t="s">
        <v>90</v>
      </c>
      <c r="Y189">
        <v>1</v>
      </c>
      <c r="Z189" t="s">
        <v>40</v>
      </c>
      <c r="AA189" t="s">
        <v>40</v>
      </c>
      <c r="AB189">
        <v>1</v>
      </c>
    </row>
    <row r="190" spans="1:28" x14ac:dyDescent="0.3">
      <c r="A190">
        <v>189</v>
      </c>
      <c r="B190" t="s">
        <v>41</v>
      </c>
      <c r="C190" t="s">
        <v>27</v>
      </c>
      <c r="D190" t="s">
        <v>28</v>
      </c>
      <c r="E190">
        <v>12</v>
      </c>
      <c r="F190" t="s">
        <v>44</v>
      </c>
      <c r="G190" t="s">
        <v>30</v>
      </c>
      <c r="H190">
        <v>674</v>
      </c>
      <c r="I190" t="s">
        <v>79</v>
      </c>
      <c r="J190" t="s">
        <v>80</v>
      </c>
      <c r="K190" t="s">
        <v>55</v>
      </c>
      <c r="L190" t="s">
        <v>56</v>
      </c>
      <c r="M190">
        <v>4</v>
      </c>
      <c r="N190" t="s">
        <v>34</v>
      </c>
      <c r="O190" t="s">
        <v>75</v>
      </c>
      <c r="P190" t="s">
        <v>36</v>
      </c>
      <c r="Q190">
        <v>1</v>
      </c>
      <c r="R190" t="s">
        <v>60</v>
      </c>
      <c r="S190">
        <v>20</v>
      </c>
      <c r="T190" t="s">
        <v>96</v>
      </c>
      <c r="U190" t="s">
        <v>36</v>
      </c>
      <c r="V190" t="s">
        <v>38</v>
      </c>
      <c r="W190">
        <v>1</v>
      </c>
      <c r="X190" t="s">
        <v>39</v>
      </c>
      <c r="Y190">
        <v>1</v>
      </c>
      <c r="Z190" t="s">
        <v>51</v>
      </c>
      <c r="AA190" t="s">
        <v>40</v>
      </c>
      <c r="AB190">
        <v>2</v>
      </c>
    </row>
    <row r="191" spans="1:28" x14ac:dyDescent="0.3">
      <c r="A191">
        <v>190</v>
      </c>
      <c r="B191" t="s">
        <v>26</v>
      </c>
      <c r="C191" t="s">
        <v>42</v>
      </c>
      <c r="D191" t="s">
        <v>43</v>
      </c>
      <c r="E191">
        <v>18</v>
      </c>
      <c r="F191" t="s">
        <v>81</v>
      </c>
      <c r="G191" t="s">
        <v>58</v>
      </c>
      <c r="H191">
        <v>3244</v>
      </c>
      <c r="I191" t="s">
        <v>45</v>
      </c>
      <c r="J191" t="s">
        <v>46</v>
      </c>
      <c r="K191" t="s">
        <v>47</v>
      </c>
      <c r="L191" t="s">
        <v>48</v>
      </c>
      <c r="M191">
        <v>1</v>
      </c>
      <c r="N191" t="s">
        <v>49</v>
      </c>
      <c r="O191" t="s">
        <v>50</v>
      </c>
      <c r="P191" t="s">
        <v>36</v>
      </c>
      <c r="Q191">
        <v>4</v>
      </c>
      <c r="R191" t="s">
        <v>68</v>
      </c>
      <c r="S191">
        <v>33</v>
      </c>
      <c r="T191" t="s">
        <v>98</v>
      </c>
      <c r="U191" t="s">
        <v>82</v>
      </c>
      <c r="V191" t="s">
        <v>38</v>
      </c>
      <c r="W191">
        <v>2</v>
      </c>
      <c r="X191" t="s">
        <v>39</v>
      </c>
      <c r="Y191">
        <v>1</v>
      </c>
      <c r="Z191" t="s">
        <v>40</v>
      </c>
      <c r="AA191" t="s">
        <v>40</v>
      </c>
      <c r="AB191">
        <v>1</v>
      </c>
    </row>
    <row r="192" spans="1:28" x14ac:dyDescent="0.3">
      <c r="A192">
        <v>191</v>
      </c>
      <c r="B192" t="s">
        <v>41</v>
      </c>
      <c r="C192" t="s">
        <v>52</v>
      </c>
      <c r="D192" t="s">
        <v>53</v>
      </c>
      <c r="E192">
        <v>24</v>
      </c>
      <c r="F192" t="s">
        <v>44</v>
      </c>
      <c r="G192" t="s">
        <v>78</v>
      </c>
      <c r="H192">
        <v>4591</v>
      </c>
      <c r="I192" t="s">
        <v>71</v>
      </c>
      <c r="J192" t="s">
        <v>72</v>
      </c>
      <c r="K192" t="s">
        <v>47</v>
      </c>
      <c r="L192" t="s">
        <v>48</v>
      </c>
      <c r="M192">
        <v>2</v>
      </c>
      <c r="N192" t="s">
        <v>34</v>
      </c>
      <c r="O192" t="s">
        <v>35</v>
      </c>
      <c r="P192" t="s">
        <v>36</v>
      </c>
      <c r="Q192">
        <v>3</v>
      </c>
      <c r="R192" t="s">
        <v>60</v>
      </c>
      <c r="S192">
        <v>54</v>
      </c>
      <c r="T192" t="s">
        <v>97</v>
      </c>
      <c r="U192" t="s">
        <v>36</v>
      </c>
      <c r="V192" t="s">
        <v>38</v>
      </c>
      <c r="W192">
        <v>3</v>
      </c>
      <c r="X192" t="s">
        <v>70</v>
      </c>
      <c r="Y192">
        <v>1</v>
      </c>
      <c r="Z192" t="s">
        <v>40</v>
      </c>
      <c r="AA192" t="s">
        <v>40</v>
      </c>
      <c r="AB192">
        <v>2</v>
      </c>
    </row>
    <row r="193" spans="1:28" x14ac:dyDescent="0.3">
      <c r="A193">
        <v>192</v>
      </c>
      <c r="B193" t="s">
        <v>41</v>
      </c>
      <c r="C193" t="s">
        <v>42</v>
      </c>
      <c r="D193" t="s">
        <v>43</v>
      </c>
      <c r="E193">
        <v>48</v>
      </c>
      <c r="F193" t="s">
        <v>81</v>
      </c>
      <c r="G193" t="s">
        <v>78</v>
      </c>
      <c r="H193">
        <v>3844</v>
      </c>
      <c r="I193" t="s">
        <v>79</v>
      </c>
      <c r="J193" t="s">
        <v>80</v>
      </c>
      <c r="K193" t="s">
        <v>55</v>
      </c>
      <c r="L193" t="s">
        <v>56</v>
      </c>
      <c r="M193">
        <v>4</v>
      </c>
      <c r="N193" t="s">
        <v>34</v>
      </c>
      <c r="O193" t="s">
        <v>35</v>
      </c>
      <c r="P193" t="s">
        <v>36</v>
      </c>
      <c r="Q193">
        <v>4</v>
      </c>
      <c r="R193" t="s">
        <v>64</v>
      </c>
      <c r="S193">
        <v>34</v>
      </c>
      <c r="T193" t="s">
        <v>98</v>
      </c>
      <c r="U193" t="s">
        <v>36</v>
      </c>
      <c r="V193" t="s">
        <v>61</v>
      </c>
      <c r="W193">
        <v>1</v>
      </c>
      <c r="X193" t="s">
        <v>57</v>
      </c>
      <c r="Y193">
        <v>2</v>
      </c>
      <c r="Z193" t="s">
        <v>51</v>
      </c>
      <c r="AA193" t="s">
        <v>40</v>
      </c>
      <c r="AB193">
        <v>2</v>
      </c>
    </row>
    <row r="194" spans="1:28" x14ac:dyDescent="0.3">
      <c r="A194">
        <v>193</v>
      </c>
      <c r="B194" t="s">
        <v>41</v>
      </c>
      <c r="C194" t="s">
        <v>42</v>
      </c>
      <c r="D194" t="s">
        <v>43</v>
      </c>
      <c r="E194">
        <v>27</v>
      </c>
      <c r="F194" t="s">
        <v>44</v>
      </c>
      <c r="G194" t="s">
        <v>78</v>
      </c>
      <c r="H194">
        <v>3915</v>
      </c>
      <c r="I194" t="s">
        <v>45</v>
      </c>
      <c r="J194" t="s">
        <v>46</v>
      </c>
      <c r="K194" t="s">
        <v>47</v>
      </c>
      <c r="L194" t="s">
        <v>48</v>
      </c>
      <c r="M194">
        <v>4</v>
      </c>
      <c r="N194" t="s">
        <v>34</v>
      </c>
      <c r="O194" t="s">
        <v>35</v>
      </c>
      <c r="P194" t="s">
        <v>36</v>
      </c>
      <c r="Q194">
        <v>2</v>
      </c>
      <c r="R194" t="s">
        <v>68</v>
      </c>
      <c r="S194">
        <v>36</v>
      </c>
      <c r="T194" t="s">
        <v>98</v>
      </c>
      <c r="U194" t="s">
        <v>36</v>
      </c>
      <c r="V194" t="s">
        <v>38</v>
      </c>
      <c r="W194">
        <v>1</v>
      </c>
      <c r="X194" t="s">
        <v>39</v>
      </c>
      <c r="Y194">
        <v>2</v>
      </c>
      <c r="Z194" t="s">
        <v>40</v>
      </c>
      <c r="AA194" t="s">
        <v>40</v>
      </c>
      <c r="AB194">
        <v>2</v>
      </c>
    </row>
    <row r="195" spans="1:28" x14ac:dyDescent="0.3">
      <c r="A195">
        <v>194</v>
      </c>
      <c r="B195" t="s">
        <v>26</v>
      </c>
      <c r="C195" t="s">
        <v>52</v>
      </c>
      <c r="D195" t="s">
        <v>53</v>
      </c>
      <c r="E195">
        <v>6</v>
      </c>
      <c r="F195" t="s">
        <v>44</v>
      </c>
      <c r="G195" t="s">
        <v>30</v>
      </c>
      <c r="H195">
        <v>2108</v>
      </c>
      <c r="I195" t="s">
        <v>45</v>
      </c>
      <c r="J195" t="s">
        <v>46</v>
      </c>
      <c r="K195" t="s">
        <v>55</v>
      </c>
      <c r="L195" t="s">
        <v>56</v>
      </c>
      <c r="M195">
        <v>2</v>
      </c>
      <c r="N195" t="s">
        <v>34</v>
      </c>
      <c r="O195" t="s">
        <v>75</v>
      </c>
      <c r="P195" t="s">
        <v>36</v>
      </c>
      <c r="Q195">
        <v>2</v>
      </c>
      <c r="R195" t="s">
        <v>37</v>
      </c>
      <c r="S195">
        <v>29</v>
      </c>
      <c r="T195" t="s">
        <v>98</v>
      </c>
      <c r="U195" t="s">
        <v>36</v>
      </c>
      <c r="V195" t="s">
        <v>69</v>
      </c>
      <c r="W195">
        <v>1</v>
      </c>
      <c r="X195" t="s">
        <v>39</v>
      </c>
      <c r="Y195">
        <v>1</v>
      </c>
      <c r="Z195" t="s">
        <v>51</v>
      </c>
      <c r="AA195" t="s">
        <v>40</v>
      </c>
      <c r="AB195">
        <v>1</v>
      </c>
    </row>
    <row r="196" spans="1:28" x14ac:dyDescent="0.3">
      <c r="A196">
        <v>195</v>
      </c>
      <c r="B196" t="s">
        <v>41</v>
      </c>
      <c r="C196" t="s">
        <v>42</v>
      </c>
      <c r="D196" t="s">
        <v>43</v>
      </c>
      <c r="E196">
        <v>45</v>
      </c>
      <c r="F196" t="s">
        <v>44</v>
      </c>
      <c r="G196" t="s">
        <v>30</v>
      </c>
      <c r="H196">
        <v>3031</v>
      </c>
      <c r="I196" t="s">
        <v>79</v>
      </c>
      <c r="J196" t="s">
        <v>80</v>
      </c>
      <c r="K196" t="s">
        <v>47</v>
      </c>
      <c r="L196" t="s">
        <v>48</v>
      </c>
      <c r="M196">
        <v>4</v>
      </c>
      <c r="N196" t="s">
        <v>34</v>
      </c>
      <c r="O196" t="s">
        <v>35</v>
      </c>
      <c r="P196" t="s">
        <v>59</v>
      </c>
      <c r="Q196">
        <v>4</v>
      </c>
      <c r="R196" t="s">
        <v>60</v>
      </c>
      <c r="S196">
        <v>21</v>
      </c>
      <c r="T196" t="s">
        <v>96</v>
      </c>
      <c r="U196" t="s">
        <v>36</v>
      </c>
      <c r="V196" t="s">
        <v>69</v>
      </c>
      <c r="W196">
        <v>1</v>
      </c>
      <c r="X196" t="s">
        <v>39</v>
      </c>
      <c r="Y196">
        <v>1</v>
      </c>
      <c r="Z196" t="s">
        <v>51</v>
      </c>
      <c r="AA196" t="s">
        <v>40</v>
      </c>
      <c r="AB196">
        <v>2</v>
      </c>
    </row>
    <row r="197" spans="1:28" x14ac:dyDescent="0.3">
      <c r="A197">
        <v>196</v>
      </c>
      <c r="B197" t="s">
        <v>41</v>
      </c>
      <c r="C197" t="s">
        <v>42</v>
      </c>
      <c r="D197" t="s">
        <v>43</v>
      </c>
      <c r="E197">
        <v>9</v>
      </c>
      <c r="F197" t="s">
        <v>29</v>
      </c>
      <c r="G197" t="s">
        <v>54</v>
      </c>
      <c r="H197">
        <v>1501</v>
      </c>
      <c r="I197" t="s">
        <v>45</v>
      </c>
      <c r="J197" t="s">
        <v>46</v>
      </c>
      <c r="K197" t="s">
        <v>32</v>
      </c>
      <c r="L197" t="s">
        <v>33</v>
      </c>
      <c r="M197">
        <v>2</v>
      </c>
      <c r="N197" t="s">
        <v>49</v>
      </c>
      <c r="O197" t="s">
        <v>50</v>
      </c>
      <c r="P197" t="s">
        <v>36</v>
      </c>
      <c r="Q197">
        <v>3</v>
      </c>
      <c r="R197" t="s">
        <v>68</v>
      </c>
      <c r="S197">
        <v>34</v>
      </c>
      <c r="T197" t="s">
        <v>98</v>
      </c>
      <c r="U197" t="s">
        <v>36</v>
      </c>
      <c r="V197" t="s">
        <v>38</v>
      </c>
      <c r="W197">
        <v>2</v>
      </c>
      <c r="X197" t="s">
        <v>70</v>
      </c>
      <c r="Y197">
        <v>1</v>
      </c>
      <c r="Z197" t="s">
        <v>40</v>
      </c>
      <c r="AA197" t="s">
        <v>40</v>
      </c>
      <c r="AB197">
        <v>2</v>
      </c>
    </row>
    <row r="198" spans="1:28" x14ac:dyDescent="0.3">
      <c r="A198">
        <v>197</v>
      </c>
      <c r="B198" t="s">
        <v>26</v>
      </c>
      <c r="C198" t="s">
        <v>52</v>
      </c>
      <c r="D198" t="s">
        <v>53</v>
      </c>
      <c r="E198">
        <v>6</v>
      </c>
      <c r="F198" t="s">
        <v>29</v>
      </c>
      <c r="G198" t="s">
        <v>30</v>
      </c>
      <c r="H198">
        <v>1382</v>
      </c>
      <c r="I198" t="s">
        <v>45</v>
      </c>
      <c r="J198" t="s">
        <v>46</v>
      </c>
      <c r="K198" t="s">
        <v>47</v>
      </c>
      <c r="L198" t="s">
        <v>48</v>
      </c>
      <c r="M198">
        <v>1</v>
      </c>
      <c r="N198" t="s">
        <v>49</v>
      </c>
      <c r="O198" t="s">
        <v>50</v>
      </c>
      <c r="P198" t="s">
        <v>36</v>
      </c>
      <c r="Q198">
        <v>1</v>
      </c>
      <c r="R198" t="s">
        <v>68</v>
      </c>
      <c r="S198">
        <v>28</v>
      </c>
      <c r="T198" t="s">
        <v>98</v>
      </c>
      <c r="U198" t="s">
        <v>36</v>
      </c>
      <c r="V198" t="s">
        <v>38</v>
      </c>
      <c r="W198">
        <v>2</v>
      </c>
      <c r="X198" t="s">
        <v>39</v>
      </c>
      <c r="Y198">
        <v>1</v>
      </c>
      <c r="Z198" t="s">
        <v>40</v>
      </c>
      <c r="AA198" t="s">
        <v>40</v>
      </c>
      <c r="AB198">
        <v>1</v>
      </c>
    </row>
    <row r="199" spans="1:28" x14ac:dyDescent="0.3">
      <c r="A199">
        <v>198</v>
      </c>
      <c r="B199" t="s">
        <v>41</v>
      </c>
      <c r="C199" t="s">
        <v>42</v>
      </c>
      <c r="D199" t="s">
        <v>43</v>
      </c>
      <c r="E199">
        <v>12</v>
      </c>
      <c r="F199" t="s">
        <v>44</v>
      </c>
      <c r="G199" t="s">
        <v>58</v>
      </c>
      <c r="H199">
        <v>951</v>
      </c>
      <c r="I199" t="s">
        <v>79</v>
      </c>
      <c r="J199" t="s">
        <v>80</v>
      </c>
      <c r="K199" t="s">
        <v>76</v>
      </c>
      <c r="L199" t="s">
        <v>77</v>
      </c>
      <c r="M199">
        <v>4</v>
      </c>
      <c r="N199" t="s">
        <v>49</v>
      </c>
      <c r="O199" t="s">
        <v>50</v>
      </c>
      <c r="P199" t="s">
        <v>36</v>
      </c>
      <c r="Q199">
        <v>4</v>
      </c>
      <c r="R199" t="s">
        <v>68</v>
      </c>
      <c r="S199">
        <v>27</v>
      </c>
      <c r="T199" t="s">
        <v>98</v>
      </c>
      <c r="U199" t="s">
        <v>82</v>
      </c>
      <c r="V199" t="s">
        <v>69</v>
      </c>
      <c r="W199">
        <v>4</v>
      </c>
      <c r="X199" t="s">
        <v>39</v>
      </c>
      <c r="Y199">
        <v>1</v>
      </c>
      <c r="Z199" t="s">
        <v>51</v>
      </c>
      <c r="AA199" t="s">
        <v>40</v>
      </c>
      <c r="AB199">
        <v>2</v>
      </c>
    </row>
    <row r="200" spans="1:28" x14ac:dyDescent="0.3">
      <c r="A200">
        <v>199</v>
      </c>
      <c r="B200" t="s">
        <v>26</v>
      </c>
      <c r="C200" t="s">
        <v>42</v>
      </c>
      <c r="D200" t="s">
        <v>43</v>
      </c>
      <c r="E200">
        <v>24</v>
      </c>
      <c r="F200" t="s">
        <v>44</v>
      </c>
      <c r="G200" t="s">
        <v>67</v>
      </c>
      <c r="H200">
        <v>2760</v>
      </c>
      <c r="I200" t="s">
        <v>31</v>
      </c>
      <c r="J200" t="s">
        <v>31</v>
      </c>
      <c r="K200" t="s">
        <v>32</v>
      </c>
      <c r="L200" t="s">
        <v>33</v>
      </c>
      <c r="M200">
        <v>4</v>
      </c>
      <c r="N200" t="s">
        <v>34</v>
      </c>
      <c r="O200" t="s">
        <v>35</v>
      </c>
      <c r="P200" t="s">
        <v>36</v>
      </c>
      <c r="Q200">
        <v>4</v>
      </c>
      <c r="R200" t="s">
        <v>64</v>
      </c>
      <c r="S200">
        <v>36</v>
      </c>
      <c r="T200" t="s">
        <v>98</v>
      </c>
      <c r="U200" t="s">
        <v>82</v>
      </c>
      <c r="V200" t="s">
        <v>61</v>
      </c>
      <c r="W200">
        <v>1</v>
      </c>
      <c r="X200" t="s">
        <v>39</v>
      </c>
      <c r="Y200">
        <v>1</v>
      </c>
      <c r="Z200" t="s">
        <v>40</v>
      </c>
      <c r="AA200" t="s">
        <v>40</v>
      </c>
      <c r="AB200">
        <v>1</v>
      </c>
    </row>
    <row r="201" spans="1:28" x14ac:dyDescent="0.3">
      <c r="A201">
        <v>200</v>
      </c>
      <c r="B201" t="s">
        <v>41</v>
      </c>
      <c r="C201" t="s">
        <v>42</v>
      </c>
      <c r="D201" t="s">
        <v>43</v>
      </c>
      <c r="E201">
        <v>18</v>
      </c>
      <c r="F201" t="s">
        <v>62</v>
      </c>
      <c r="G201" t="s">
        <v>58</v>
      </c>
      <c r="H201">
        <v>4297</v>
      </c>
      <c r="I201" t="s">
        <v>45</v>
      </c>
      <c r="J201" t="s">
        <v>46</v>
      </c>
      <c r="K201" t="s">
        <v>32</v>
      </c>
      <c r="L201" t="s">
        <v>33</v>
      </c>
      <c r="M201">
        <v>4</v>
      </c>
      <c r="N201" t="s">
        <v>34</v>
      </c>
      <c r="O201" t="s">
        <v>73</v>
      </c>
      <c r="P201" t="s">
        <v>36</v>
      </c>
      <c r="Q201">
        <v>3</v>
      </c>
      <c r="R201" t="s">
        <v>64</v>
      </c>
      <c r="S201">
        <v>40</v>
      </c>
      <c r="T201" t="s">
        <v>97</v>
      </c>
      <c r="U201" t="s">
        <v>36</v>
      </c>
      <c r="V201" t="s">
        <v>38</v>
      </c>
      <c r="W201">
        <v>1</v>
      </c>
      <c r="X201" t="s">
        <v>70</v>
      </c>
      <c r="Y201">
        <v>1</v>
      </c>
      <c r="Z201" t="s">
        <v>40</v>
      </c>
      <c r="AA201" t="s">
        <v>40</v>
      </c>
      <c r="AB201">
        <v>2</v>
      </c>
    </row>
    <row r="202" spans="1:28" x14ac:dyDescent="0.3">
      <c r="A202">
        <v>201</v>
      </c>
      <c r="B202" t="s">
        <v>26</v>
      </c>
      <c r="C202" t="s">
        <v>52</v>
      </c>
      <c r="D202" t="s">
        <v>53</v>
      </c>
      <c r="E202">
        <v>9</v>
      </c>
      <c r="F202" t="s">
        <v>29</v>
      </c>
      <c r="G202" t="s">
        <v>54</v>
      </c>
      <c r="H202">
        <v>936</v>
      </c>
      <c r="I202" t="s">
        <v>65</v>
      </c>
      <c r="J202" t="s">
        <v>66</v>
      </c>
      <c r="K202" t="s">
        <v>32</v>
      </c>
      <c r="L202" t="s">
        <v>33</v>
      </c>
      <c r="M202">
        <v>4</v>
      </c>
      <c r="N202" t="s">
        <v>34</v>
      </c>
      <c r="O202" t="s">
        <v>35</v>
      </c>
      <c r="P202" t="s">
        <v>36</v>
      </c>
      <c r="Q202">
        <v>2</v>
      </c>
      <c r="R202" t="s">
        <v>68</v>
      </c>
      <c r="S202">
        <v>52</v>
      </c>
      <c r="T202" t="s">
        <v>97</v>
      </c>
      <c r="U202" t="s">
        <v>36</v>
      </c>
      <c r="V202" t="s">
        <v>38</v>
      </c>
      <c r="W202">
        <v>2</v>
      </c>
      <c r="X202" t="s">
        <v>39</v>
      </c>
      <c r="Y202">
        <v>1</v>
      </c>
      <c r="Z202" t="s">
        <v>40</v>
      </c>
      <c r="AA202" t="s">
        <v>40</v>
      </c>
      <c r="AB202">
        <v>1</v>
      </c>
    </row>
    <row r="203" spans="1:28" x14ac:dyDescent="0.3">
      <c r="A203">
        <v>202</v>
      </c>
      <c r="B203" t="s">
        <v>26</v>
      </c>
      <c r="C203" t="s">
        <v>27</v>
      </c>
      <c r="D203" t="s">
        <v>28</v>
      </c>
      <c r="E203">
        <v>12</v>
      </c>
      <c r="F203" t="s">
        <v>44</v>
      </c>
      <c r="G203" t="s">
        <v>63</v>
      </c>
      <c r="H203">
        <v>1168</v>
      </c>
      <c r="I203" t="s">
        <v>45</v>
      </c>
      <c r="J203" t="s">
        <v>46</v>
      </c>
      <c r="K203" t="s">
        <v>47</v>
      </c>
      <c r="L203" t="s">
        <v>48</v>
      </c>
      <c r="M203">
        <v>4</v>
      </c>
      <c r="N203" t="s">
        <v>34</v>
      </c>
      <c r="O203" t="s">
        <v>75</v>
      </c>
      <c r="P203" t="s">
        <v>36</v>
      </c>
      <c r="Q203">
        <v>3</v>
      </c>
      <c r="R203" t="s">
        <v>37</v>
      </c>
      <c r="S203">
        <v>27</v>
      </c>
      <c r="T203" t="s">
        <v>98</v>
      </c>
      <c r="U203" t="s">
        <v>36</v>
      </c>
      <c r="V203" t="s">
        <v>38</v>
      </c>
      <c r="W203">
        <v>1</v>
      </c>
      <c r="X203" t="s">
        <v>57</v>
      </c>
      <c r="Y203">
        <v>1</v>
      </c>
      <c r="Z203" t="s">
        <v>51</v>
      </c>
      <c r="AA203" t="s">
        <v>40</v>
      </c>
      <c r="AB203">
        <v>1</v>
      </c>
    </row>
    <row r="204" spans="1:28" x14ac:dyDescent="0.3">
      <c r="A204">
        <v>203</v>
      </c>
      <c r="B204" t="s">
        <v>26</v>
      </c>
      <c r="C204" t="s">
        <v>52</v>
      </c>
      <c r="D204" t="s">
        <v>53</v>
      </c>
      <c r="E204">
        <v>27</v>
      </c>
      <c r="F204" t="s">
        <v>62</v>
      </c>
      <c r="G204" t="s">
        <v>78</v>
      </c>
      <c r="H204">
        <v>5117</v>
      </c>
      <c r="I204" t="s">
        <v>45</v>
      </c>
      <c r="J204" t="s">
        <v>46</v>
      </c>
      <c r="K204" t="s">
        <v>55</v>
      </c>
      <c r="L204" t="s">
        <v>56</v>
      </c>
      <c r="M204">
        <v>3</v>
      </c>
      <c r="N204" t="s">
        <v>34</v>
      </c>
      <c r="O204" t="s">
        <v>35</v>
      </c>
      <c r="P204" t="s">
        <v>36</v>
      </c>
      <c r="Q204">
        <v>4</v>
      </c>
      <c r="R204" t="s">
        <v>68</v>
      </c>
      <c r="S204">
        <v>26</v>
      </c>
      <c r="T204" t="s">
        <v>98</v>
      </c>
      <c r="U204" t="s">
        <v>36</v>
      </c>
      <c r="V204" t="s">
        <v>38</v>
      </c>
      <c r="W204">
        <v>2</v>
      </c>
      <c r="X204" t="s">
        <v>39</v>
      </c>
      <c r="Y204">
        <v>1</v>
      </c>
      <c r="Z204" t="s">
        <v>51</v>
      </c>
      <c r="AA204" t="s">
        <v>40</v>
      </c>
      <c r="AB204">
        <v>1</v>
      </c>
    </row>
    <row r="205" spans="1:28" x14ac:dyDescent="0.3">
      <c r="A205">
        <v>204</v>
      </c>
      <c r="B205" t="s">
        <v>41</v>
      </c>
      <c r="C205" t="s">
        <v>27</v>
      </c>
      <c r="D205" t="s">
        <v>28</v>
      </c>
      <c r="E205">
        <v>12</v>
      </c>
      <c r="F205" t="s">
        <v>44</v>
      </c>
      <c r="G205" t="s">
        <v>92</v>
      </c>
      <c r="H205">
        <v>902</v>
      </c>
      <c r="I205" t="s">
        <v>45</v>
      </c>
      <c r="J205" t="s">
        <v>46</v>
      </c>
      <c r="K205" t="s">
        <v>55</v>
      </c>
      <c r="L205" t="s">
        <v>56</v>
      </c>
      <c r="M205">
        <v>4</v>
      </c>
      <c r="N205" t="s">
        <v>34</v>
      </c>
      <c r="O205" t="s">
        <v>75</v>
      </c>
      <c r="P205" t="s">
        <v>36</v>
      </c>
      <c r="Q205">
        <v>4</v>
      </c>
      <c r="R205" t="s">
        <v>60</v>
      </c>
      <c r="S205">
        <v>21</v>
      </c>
      <c r="T205" t="s">
        <v>96</v>
      </c>
      <c r="U205" t="s">
        <v>36</v>
      </c>
      <c r="V205" t="s">
        <v>69</v>
      </c>
      <c r="W205">
        <v>1</v>
      </c>
      <c r="X205" t="s">
        <v>39</v>
      </c>
      <c r="Y205">
        <v>1</v>
      </c>
      <c r="Z205" t="s">
        <v>51</v>
      </c>
      <c r="AA205" t="s">
        <v>40</v>
      </c>
      <c r="AB205">
        <v>2</v>
      </c>
    </row>
    <row r="206" spans="1:28" x14ac:dyDescent="0.3">
      <c r="A206">
        <v>205</v>
      </c>
      <c r="B206" t="s">
        <v>26</v>
      </c>
      <c r="C206" t="s">
        <v>52</v>
      </c>
      <c r="D206" t="s">
        <v>53</v>
      </c>
      <c r="E206">
        <v>12</v>
      </c>
      <c r="F206" t="s">
        <v>29</v>
      </c>
      <c r="G206" t="s">
        <v>63</v>
      </c>
      <c r="H206">
        <v>1495</v>
      </c>
      <c r="I206" t="s">
        <v>45</v>
      </c>
      <c r="J206" t="s">
        <v>46</v>
      </c>
      <c r="K206" t="s">
        <v>32</v>
      </c>
      <c r="L206" t="s">
        <v>33</v>
      </c>
      <c r="M206">
        <v>4</v>
      </c>
      <c r="N206" t="s">
        <v>34</v>
      </c>
      <c r="O206" t="s">
        <v>35</v>
      </c>
      <c r="P206" t="s">
        <v>36</v>
      </c>
      <c r="Q206">
        <v>1</v>
      </c>
      <c r="R206" t="s">
        <v>37</v>
      </c>
      <c r="S206">
        <v>38</v>
      </c>
      <c r="T206" t="s">
        <v>98</v>
      </c>
      <c r="U206" t="s">
        <v>36</v>
      </c>
      <c r="V206" t="s">
        <v>38</v>
      </c>
      <c r="W206">
        <v>2</v>
      </c>
      <c r="X206" t="s">
        <v>57</v>
      </c>
      <c r="Y206">
        <v>2</v>
      </c>
      <c r="Z206" t="s">
        <v>51</v>
      </c>
      <c r="AA206" t="s">
        <v>40</v>
      </c>
      <c r="AB206">
        <v>1</v>
      </c>
    </row>
    <row r="207" spans="1:28" x14ac:dyDescent="0.3">
      <c r="A207">
        <v>206</v>
      </c>
      <c r="B207" t="s">
        <v>26</v>
      </c>
      <c r="C207" t="s">
        <v>27</v>
      </c>
      <c r="D207" t="s">
        <v>28</v>
      </c>
      <c r="E207">
        <v>30</v>
      </c>
      <c r="F207" t="s">
        <v>29</v>
      </c>
      <c r="G207" t="s">
        <v>67</v>
      </c>
      <c r="H207">
        <v>10623</v>
      </c>
      <c r="I207" t="s">
        <v>45</v>
      </c>
      <c r="J207" t="s">
        <v>46</v>
      </c>
      <c r="K207" t="s">
        <v>32</v>
      </c>
      <c r="L207" t="s">
        <v>33</v>
      </c>
      <c r="M207">
        <v>3</v>
      </c>
      <c r="N207" t="s">
        <v>34</v>
      </c>
      <c r="O207" t="s">
        <v>35</v>
      </c>
      <c r="P207" t="s">
        <v>36</v>
      </c>
      <c r="Q207">
        <v>4</v>
      </c>
      <c r="R207" t="s">
        <v>64</v>
      </c>
      <c r="S207">
        <v>38</v>
      </c>
      <c r="T207" t="s">
        <v>98</v>
      </c>
      <c r="U207" t="s">
        <v>36</v>
      </c>
      <c r="V207" t="s">
        <v>61</v>
      </c>
      <c r="W207">
        <v>3</v>
      </c>
      <c r="X207" t="s">
        <v>70</v>
      </c>
      <c r="Y207">
        <v>2</v>
      </c>
      <c r="Z207" t="s">
        <v>40</v>
      </c>
      <c r="AA207" t="s">
        <v>40</v>
      </c>
      <c r="AB207">
        <v>1</v>
      </c>
    </row>
    <row r="208" spans="1:28" x14ac:dyDescent="0.3">
      <c r="A208">
        <v>207</v>
      </c>
      <c r="B208" t="s">
        <v>26</v>
      </c>
      <c r="C208" t="s">
        <v>52</v>
      </c>
      <c r="D208" t="s">
        <v>53</v>
      </c>
      <c r="E208">
        <v>12</v>
      </c>
      <c r="F208" t="s">
        <v>29</v>
      </c>
      <c r="G208" t="s">
        <v>58</v>
      </c>
      <c r="H208">
        <v>1935</v>
      </c>
      <c r="I208" t="s">
        <v>45</v>
      </c>
      <c r="J208" t="s">
        <v>46</v>
      </c>
      <c r="K208" t="s">
        <v>32</v>
      </c>
      <c r="L208" t="s">
        <v>33</v>
      </c>
      <c r="M208">
        <v>4</v>
      </c>
      <c r="N208" t="s">
        <v>34</v>
      </c>
      <c r="O208" t="s">
        <v>35</v>
      </c>
      <c r="P208" t="s">
        <v>36</v>
      </c>
      <c r="Q208">
        <v>4</v>
      </c>
      <c r="R208" t="s">
        <v>37</v>
      </c>
      <c r="S208">
        <v>43</v>
      </c>
      <c r="T208" t="s">
        <v>97</v>
      </c>
      <c r="U208" t="s">
        <v>36</v>
      </c>
      <c r="V208" t="s">
        <v>38</v>
      </c>
      <c r="W208">
        <v>3</v>
      </c>
      <c r="X208" t="s">
        <v>39</v>
      </c>
      <c r="Y208">
        <v>1</v>
      </c>
      <c r="Z208" t="s">
        <v>40</v>
      </c>
      <c r="AA208" t="s">
        <v>40</v>
      </c>
      <c r="AB208">
        <v>1</v>
      </c>
    </row>
    <row r="209" spans="1:28" x14ac:dyDescent="0.3">
      <c r="A209">
        <v>208</v>
      </c>
      <c r="B209" t="s">
        <v>26</v>
      </c>
      <c r="C209" t="s">
        <v>42</v>
      </c>
      <c r="D209" t="s">
        <v>43</v>
      </c>
      <c r="E209">
        <v>12</v>
      </c>
      <c r="F209" t="s">
        <v>29</v>
      </c>
      <c r="G209" t="s">
        <v>88</v>
      </c>
      <c r="H209">
        <v>1424</v>
      </c>
      <c r="I209" t="s">
        <v>45</v>
      </c>
      <c r="J209" t="s">
        <v>46</v>
      </c>
      <c r="K209" t="s">
        <v>55</v>
      </c>
      <c r="L209" t="s">
        <v>56</v>
      </c>
      <c r="M209">
        <v>4</v>
      </c>
      <c r="N209" t="s">
        <v>34</v>
      </c>
      <c r="O209" t="s">
        <v>35</v>
      </c>
      <c r="P209" t="s">
        <v>36</v>
      </c>
      <c r="Q209">
        <v>3</v>
      </c>
      <c r="R209" t="s">
        <v>60</v>
      </c>
      <c r="S209">
        <v>26</v>
      </c>
      <c r="T209" t="s">
        <v>98</v>
      </c>
      <c r="U209" t="s">
        <v>36</v>
      </c>
      <c r="V209" t="s">
        <v>38</v>
      </c>
      <c r="W209">
        <v>1</v>
      </c>
      <c r="X209" t="s">
        <v>39</v>
      </c>
      <c r="Y209">
        <v>1</v>
      </c>
      <c r="Z209" t="s">
        <v>51</v>
      </c>
      <c r="AA209" t="s">
        <v>40</v>
      </c>
      <c r="AB209">
        <v>1</v>
      </c>
    </row>
    <row r="210" spans="1:28" x14ac:dyDescent="0.3">
      <c r="A210">
        <v>209</v>
      </c>
      <c r="B210" t="s">
        <v>26</v>
      </c>
      <c r="C210" t="s">
        <v>27</v>
      </c>
      <c r="D210" t="s">
        <v>28</v>
      </c>
      <c r="E210">
        <v>24</v>
      </c>
      <c r="F210" t="s">
        <v>44</v>
      </c>
      <c r="G210" t="s">
        <v>78</v>
      </c>
      <c r="H210">
        <v>6568</v>
      </c>
      <c r="I210" t="s">
        <v>45</v>
      </c>
      <c r="J210" t="s">
        <v>46</v>
      </c>
      <c r="K210" t="s">
        <v>47</v>
      </c>
      <c r="L210" t="s">
        <v>48</v>
      </c>
      <c r="M210">
        <v>2</v>
      </c>
      <c r="N210" t="s">
        <v>34</v>
      </c>
      <c r="O210" t="s">
        <v>75</v>
      </c>
      <c r="P210" t="s">
        <v>36</v>
      </c>
      <c r="Q210">
        <v>2</v>
      </c>
      <c r="R210" t="s">
        <v>68</v>
      </c>
      <c r="S210">
        <v>21</v>
      </c>
      <c r="T210" t="s">
        <v>96</v>
      </c>
      <c r="U210" t="s">
        <v>86</v>
      </c>
      <c r="V210" t="s">
        <v>38</v>
      </c>
      <c r="W210">
        <v>1</v>
      </c>
      <c r="X210" t="s">
        <v>57</v>
      </c>
      <c r="Y210">
        <v>1</v>
      </c>
      <c r="Z210" t="s">
        <v>51</v>
      </c>
      <c r="AA210" t="s">
        <v>40</v>
      </c>
      <c r="AB210">
        <v>1</v>
      </c>
    </row>
    <row r="211" spans="1:28" x14ac:dyDescent="0.3">
      <c r="A211">
        <v>210</v>
      </c>
      <c r="B211" t="s">
        <v>26</v>
      </c>
      <c r="C211" t="s">
        <v>52</v>
      </c>
      <c r="D211" t="s">
        <v>53</v>
      </c>
      <c r="E211">
        <v>12</v>
      </c>
      <c r="F211" t="s">
        <v>44</v>
      </c>
      <c r="G211" t="s">
        <v>67</v>
      </c>
      <c r="H211">
        <v>1413</v>
      </c>
      <c r="I211" t="s">
        <v>71</v>
      </c>
      <c r="J211" t="s">
        <v>72</v>
      </c>
      <c r="K211" t="s">
        <v>55</v>
      </c>
      <c r="L211" t="s">
        <v>56</v>
      </c>
      <c r="M211">
        <v>3</v>
      </c>
      <c r="N211" t="s">
        <v>34</v>
      </c>
      <c r="O211" t="s">
        <v>35</v>
      </c>
      <c r="P211" t="s">
        <v>36</v>
      </c>
      <c r="Q211">
        <v>2</v>
      </c>
      <c r="R211" t="s">
        <v>60</v>
      </c>
      <c r="S211">
        <v>55</v>
      </c>
      <c r="T211" t="s">
        <v>97</v>
      </c>
      <c r="U211" t="s">
        <v>36</v>
      </c>
      <c r="V211" t="s">
        <v>38</v>
      </c>
      <c r="W211">
        <v>1</v>
      </c>
      <c r="X211" t="s">
        <v>39</v>
      </c>
      <c r="Y211">
        <v>1</v>
      </c>
      <c r="Z211" t="s">
        <v>51</v>
      </c>
      <c r="AA211" t="s">
        <v>51</v>
      </c>
      <c r="AB211">
        <v>1</v>
      </c>
    </row>
    <row r="212" spans="1:28" x14ac:dyDescent="0.3">
      <c r="A212">
        <v>211</v>
      </c>
      <c r="B212" t="s">
        <v>26</v>
      </c>
      <c r="C212" t="s">
        <v>52</v>
      </c>
      <c r="D212" t="s">
        <v>53</v>
      </c>
      <c r="E212">
        <v>9</v>
      </c>
      <c r="F212" t="s">
        <v>29</v>
      </c>
      <c r="G212" t="s">
        <v>30</v>
      </c>
      <c r="H212">
        <v>3074</v>
      </c>
      <c r="I212" t="s">
        <v>31</v>
      </c>
      <c r="J212" t="s">
        <v>31</v>
      </c>
      <c r="K212" t="s">
        <v>47</v>
      </c>
      <c r="L212" t="s">
        <v>48</v>
      </c>
      <c r="M212">
        <v>1</v>
      </c>
      <c r="N212" t="s">
        <v>34</v>
      </c>
      <c r="O212" t="s">
        <v>35</v>
      </c>
      <c r="P212" t="s">
        <v>36</v>
      </c>
      <c r="Q212">
        <v>2</v>
      </c>
      <c r="R212" t="s">
        <v>37</v>
      </c>
      <c r="S212">
        <v>33</v>
      </c>
      <c r="T212" t="s">
        <v>98</v>
      </c>
      <c r="U212" t="s">
        <v>36</v>
      </c>
      <c r="V212" t="s">
        <v>38</v>
      </c>
      <c r="W212">
        <v>2</v>
      </c>
      <c r="X212" t="s">
        <v>39</v>
      </c>
      <c r="Y212">
        <v>2</v>
      </c>
      <c r="Z212" t="s">
        <v>51</v>
      </c>
      <c r="AA212" t="s">
        <v>40</v>
      </c>
      <c r="AB212">
        <v>1</v>
      </c>
    </row>
    <row r="213" spans="1:28" x14ac:dyDescent="0.3">
      <c r="A213">
        <v>212</v>
      </c>
      <c r="B213" t="s">
        <v>26</v>
      </c>
      <c r="C213" t="s">
        <v>52</v>
      </c>
      <c r="D213" t="s">
        <v>53</v>
      </c>
      <c r="E213">
        <v>36</v>
      </c>
      <c r="F213" t="s">
        <v>44</v>
      </c>
      <c r="G213" t="s">
        <v>30</v>
      </c>
      <c r="H213">
        <v>3835</v>
      </c>
      <c r="I213" t="s">
        <v>31</v>
      </c>
      <c r="J213" t="s">
        <v>31</v>
      </c>
      <c r="K213" t="s">
        <v>32</v>
      </c>
      <c r="L213" t="s">
        <v>33</v>
      </c>
      <c r="M213">
        <v>2</v>
      </c>
      <c r="N213" t="s">
        <v>49</v>
      </c>
      <c r="O213" t="s">
        <v>50</v>
      </c>
      <c r="P213" t="s">
        <v>36</v>
      </c>
      <c r="Q213">
        <v>4</v>
      </c>
      <c r="R213" t="s">
        <v>37</v>
      </c>
      <c r="S213">
        <v>45</v>
      </c>
      <c r="T213" t="s">
        <v>97</v>
      </c>
      <c r="U213" t="s">
        <v>36</v>
      </c>
      <c r="V213" t="s">
        <v>38</v>
      </c>
      <c r="W213">
        <v>1</v>
      </c>
      <c r="X213" t="s">
        <v>57</v>
      </c>
      <c r="Y213">
        <v>1</v>
      </c>
      <c r="Z213" t="s">
        <v>40</v>
      </c>
      <c r="AA213" t="s">
        <v>40</v>
      </c>
      <c r="AB213">
        <v>1</v>
      </c>
    </row>
    <row r="214" spans="1:28" x14ac:dyDescent="0.3">
      <c r="A214">
        <v>213</v>
      </c>
      <c r="B214" t="s">
        <v>41</v>
      </c>
      <c r="C214" t="s">
        <v>27</v>
      </c>
      <c r="D214" t="s">
        <v>28</v>
      </c>
      <c r="E214">
        <v>27</v>
      </c>
      <c r="F214" t="s">
        <v>81</v>
      </c>
      <c r="G214" t="s">
        <v>78</v>
      </c>
      <c r="H214">
        <v>5293</v>
      </c>
      <c r="I214" t="s">
        <v>45</v>
      </c>
      <c r="J214" t="s">
        <v>46</v>
      </c>
      <c r="K214" t="s">
        <v>74</v>
      </c>
      <c r="L214" t="s">
        <v>74</v>
      </c>
      <c r="M214">
        <v>2</v>
      </c>
      <c r="N214" t="s">
        <v>34</v>
      </c>
      <c r="O214" t="s">
        <v>35</v>
      </c>
      <c r="P214" t="s">
        <v>36</v>
      </c>
      <c r="Q214">
        <v>4</v>
      </c>
      <c r="R214" t="s">
        <v>60</v>
      </c>
      <c r="S214">
        <v>50</v>
      </c>
      <c r="T214" t="s">
        <v>97</v>
      </c>
      <c r="U214" t="s">
        <v>86</v>
      </c>
      <c r="V214" t="s">
        <v>38</v>
      </c>
      <c r="W214">
        <v>2</v>
      </c>
      <c r="X214" t="s">
        <v>39</v>
      </c>
      <c r="Y214">
        <v>1</v>
      </c>
      <c r="Z214" t="s">
        <v>40</v>
      </c>
      <c r="AA214" t="s">
        <v>40</v>
      </c>
      <c r="AB214">
        <v>2</v>
      </c>
    </row>
    <row r="215" spans="1:28" x14ac:dyDescent="0.3">
      <c r="A215">
        <v>214</v>
      </c>
      <c r="B215" t="s">
        <v>41</v>
      </c>
      <c r="C215" t="s">
        <v>83</v>
      </c>
      <c r="D215" t="s">
        <v>84</v>
      </c>
      <c r="E215">
        <v>30</v>
      </c>
      <c r="F215" t="s">
        <v>62</v>
      </c>
      <c r="G215" t="s">
        <v>78</v>
      </c>
      <c r="H215">
        <v>1908</v>
      </c>
      <c r="I215" t="s">
        <v>45</v>
      </c>
      <c r="J215" t="s">
        <v>46</v>
      </c>
      <c r="K215" t="s">
        <v>32</v>
      </c>
      <c r="L215" t="s">
        <v>33</v>
      </c>
      <c r="M215">
        <v>4</v>
      </c>
      <c r="N215" t="s">
        <v>34</v>
      </c>
      <c r="O215" t="s">
        <v>35</v>
      </c>
      <c r="P215" t="s">
        <v>36</v>
      </c>
      <c r="Q215">
        <v>4</v>
      </c>
      <c r="R215" t="s">
        <v>37</v>
      </c>
      <c r="S215">
        <v>66</v>
      </c>
      <c r="T215" t="s">
        <v>95</v>
      </c>
      <c r="U215" t="s">
        <v>36</v>
      </c>
      <c r="V215" t="s">
        <v>38</v>
      </c>
      <c r="W215">
        <v>1</v>
      </c>
      <c r="X215" t="s">
        <v>70</v>
      </c>
      <c r="Y215">
        <v>1</v>
      </c>
      <c r="Z215" t="s">
        <v>40</v>
      </c>
      <c r="AA215" t="s">
        <v>40</v>
      </c>
      <c r="AB215">
        <v>2</v>
      </c>
    </row>
    <row r="216" spans="1:28" x14ac:dyDescent="0.3">
      <c r="A216">
        <v>215</v>
      </c>
      <c r="B216" t="s">
        <v>26</v>
      </c>
      <c r="C216" t="s">
        <v>52</v>
      </c>
      <c r="D216" t="s">
        <v>53</v>
      </c>
      <c r="E216">
        <v>36</v>
      </c>
      <c r="F216" t="s">
        <v>29</v>
      </c>
      <c r="G216" t="s">
        <v>30</v>
      </c>
      <c r="H216">
        <v>3342</v>
      </c>
      <c r="I216" t="s">
        <v>31</v>
      </c>
      <c r="J216" t="s">
        <v>31</v>
      </c>
      <c r="K216" t="s">
        <v>32</v>
      </c>
      <c r="L216" t="s">
        <v>33</v>
      </c>
      <c r="M216">
        <v>4</v>
      </c>
      <c r="N216" t="s">
        <v>34</v>
      </c>
      <c r="O216" t="s">
        <v>35</v>
      </c>
      <c r="P216" t="s">
        <v>36</v>
      </c>
      <c r="Q216">
        <v>2</v>
      </c>
      <c r="R216" t="s">
        <v>68</v>
      </c>
      <c r="S216">
        <v>51</v>
      </c>
      <c r="T216" t="s">
        <v>97</v>
      </c>
      <c r="U216" t="s">
        <v>36</v>
      </c>
      <c r="V216" t="s">
        <v>38</v>
      </c>
      <c r="W216">
        <v>1</v>
      </c>
      <c r="X216" t="s">
        <v>39</v>
      </c>
      <c r="Y216">
        <v>1</v>
      </c>
      <c r="Z216" t="s">
        <v>40</v>
      </c>
      <c r="AA216" t="s">
        <v>40</v>
      </c>
      <c r="AB216">
        <v>1</v>
      </c>
    </row>
    <row r="217" spans="1:28" x14ac:dyDescent="0.3">
      <c r="A217">
        <v>216</v>
      </c>
      <c r="B217" t="s">
        <v>26</v>
      </c>
      <c r="C217" t="s">
        <v>42</v>
      </c>
      <c r="D217" t="s">
        <v>43</v>
      </c>
      <c r="E217">
        <v>6</v>
      </c>
      <c r="F217" t="s">
        <v>29</v>
      </c>
      <c r="G217" t="s">
        <v>92</v>
      </c>
      <c r="H217">
        <v>932</v>
      </c>
      <c r="I217" t="s">
        <v>31</v>
      </c>
      <c r="J217" t="s">
        <v>31</v>
      </c>
      <c r="K217" t="s">
        <v>55</v>
      </c>
      <c r="L217" t="s">
        <v>56</v>
      </c>
      <c r="M217">
        <v>1</v>
      </c>
      <c r="N217" t="s">
        <v>49</v>
      </c>
      <c r="O217" t="s">
        <v>50</v>
      </c>
      <c r="P217" t="s">
        <v>36</v>
      </c>
      <c r="Q217">
        <v>3</v>
      </c>
      <c r="R217" t="s">
        <v>60</v>
      </c>
      <c r="S217">
        <v>39</v>
      </c>
      <c r="T217" t="s">
        <v>98</v>
      </c>
      <c r="U217" t="s">
        <v>36</v>
      </c>
      <c r="V217" t="s">
        <v>38</v>
      </c>
      <c r="W217">
        <v>2</v>
      </c>
      <c r="X217" t="s">
        <v>57</v>
      </c>
      <c r="Y217">
        <v>1</v>
      </c>
      <c r="Z217" t="s">
        <v>51</v>
      </c>
      <c r="AA217" t="s">
        <v>40</v>
      </c>
      <c r="AB217">
        <v>1</v>
      </c>
    </row>
    <row r="218" spans="1:28" x14ac:dyDescent="0.3">
      <c r="A218">
        <v>217</v>
      </c>
      <c r="B218" t="s">
        <v>26</v>
      </c>
      <c r="C218" t="s">
        <v>27</v>
      </c>
      <c r="D218" t="s">
        <v>28</v>
      </c>
      <c r="E218">
        <v>18</v>
      </c>
      <c r="F218" t="s">
        <v>81</v>
      </c>
      <c r="G218" t="s">
        <v>78</v>
      </c>
      <c r="H218">
        <v>3104</v>
      </c>
      <c r="I218" t="s">
        <v>45</v>
      </c>
      <c r="J218" t="s">
        <v>46</v>
      </c>
      <c r="K218" t="s">
        <v>55</v>
      </c>
      <c r="L218" t="s">
        <v>56</v>
      </c>
      <c r="M218">
        <v>3</v>
      </c>
      <c r="N218" t="s">
        <v>34</v>
      </c>
      <c r="O218" t="s">
        <v>35</v>
      </c>
      <c r="P218" t="s">
        <v>36</v>
      </c>
      <c r="Q218">
        <v>1</v>
      </c>
      <c r="R218" t="s">
        <v>60</v>
      </c>
      <c r="S218">
        <v>31</v>
      </c>
      <c r="T218" t="s">
        <v>98</v>
      </c>
      <c r="U218" t="s">
        <v>82</v>
      </c>
      <c r="V218" t="s">
        <v>38</v>
      </c>
      <c r="W218">
        <v>1</v>
      </c>
      <c r="X218" t="s">
        <v>39</v>
      </c>
      <c r="Y218">
        <v>1</v>
      </c>
      <c r="Z218" t="s">
        <v>40</v>
      </c>
      <c r="AA218" t="s">
        <v>40</v>
      </c>
      <c r="AB218">
        <v>1</v>
      </c>
    </row>
    <row r="219" spans="1:28" x14ac:dyDescent="0.3">
      <c r="A219">
        <v>218</v>
      </c>
      <c r="B219" t="s">
        <v>26</v>
      </c>
      <c r="C219" t="s">
        <v>83</v>
      </c>
      <c r="D219" t="s">
        <v>84</v>
      </c>
      <c r="E219">
        <v>36</v>
      </c>
      <c r="F219" t="s">
        <v>44</v>
      </c>
      <c r="G219" t="s">
        <v>30</v>
      </c>
      <c r="H219">
        <v>3913</v>
      </c>
      <c r="I219" t="s">
        <v>45</v>
      </c>
      <c r="J219" t="s">
        <v>46</v>
      </c>
      <c r="K219" t="s">
        <v>47</v>
      </c>
      <c r="L219" t="s">
        <v>48</v>
      </c>
      <c r="M219">
        <v>2</v>
      </c>
      <c r="N219" t="s">
        <v>34</v>
      </c>
      <c r="O219" t="s">
        <v>35</v>
      </c>
      <c r="P219" t="s">
        <v>36</v>
      </c>
      <c r="Q219">
        <v>2</v>
      </c>
      <c r="R219" t="s">
        <v>37</v>
      </c>
      <c r="S219">
        <v>23</v>
      </c>
      <c r="T219" t="s">
        <v>96</v>
      </c>
      <c r="U219" t="s">
        <v>36</v>
      </c>
      <c r="V219" t="s">
        <v>38</v>
      </c>
      <c r="W219">
        <v>1</v>
      </c>
      <c r="X219" t="s">
        <v>39</v>
      </c>
      <c r="Y219">
        <v>1</v>
      </c>
      <c r="Z219" t="s">
        <v>40</v>
      </c>
      <c r="AA219" t="s">
        <v>40</v>
      </c>
      <c r="AB219">
        <v>1</v>
      </c>
    </row>
    <row r="220" spans="1:28" x14ac:dyDescent="0.3">
      <c r="A220">
        <v>219</v>
      </c>
      <c r="B220" t="s">
        <v>26</v>
      </c>
      <c r="C220" t="s">
        <v>27</v>
      </c>
      <c r="D220" t="s">
        <v>28</v>
      </c>
      <c r="E220">
        <v>24</v>
      </c>
      <c r="F220" t="s">
        <v>44</v>
      </c>
      <c r="G220" t="s">
        <v>58</v>
      </c>
      <c r="H220">
        <v>3021</v>
      </c>
      <c r="I220" t="s">
        <v>45</v>
      </c>
      <c r="J220" t="s">
        <v>46</v>
      </c>
      <c r="K220" t="s">
        <v>47</v>
      </c>
      <c r="L220" t="s">
        <v>48</v>
      </c>
      <c r="M220">
        <v>2</v>
      </c>
      <c r="N220" t="s">
        <v>34</v>
      </c>
      <c r="O220" t="s">
        <v>73</v>
      </c>
      <c r="P220" t="s">
        <v>36</v>
      </c>
      <c r="Q220">
        <v>2</v>
      </c>
      <c r="R220" t="s">
        <v>37</v>
      </c>
      <c r="S220">
        <v>24</v>
      </c>
      <c r="T220" t="s">
        <v>96</v>
      </c>
      <c r="U220" t="s">
        <v>36</v>
      </c>
      <c r="V220" t="s">
        <v>69</v>
      </c>
      <c r="W220">
        <v>1</v>
      </c>
      <c r="X220" t="s">
        <v>57</v>
      </c>
      <c r="Y220">
        <v>1</v>
      </c>
      <c r="Z220" t="s">
        <v>51</v>
      </c>
      <c r="AA220" t="s">
        <v>40</v>
      </c>
      <c r="AB220">
        <v>1</v>
      </c>
    </row>
    <row r="221" spans="1:28" x14ac:dyDescent="0.3">
      <c r="A221">
        <v>220</v>
      </c>
      <c r="B221" t="s">
        <v>26</v>
      </c>
      <c r="C221" t="s">
        <v>52</v>
      </c>
      <c r="D221" t="s">
        <v>53</v>
      </c>
      <c r="E221">
        <v>10</v>
      </c>
      <c r="F221" t="s">
        <v>44</v>
      </c>
      <c r="G221" t="s">
        <v>63</v>
      </c>
      <c r="H221">
        <v>1364</v>
      </c>
      <c r="I221" t="s">
        <v>45</v>
      </c>
      <c r="J221" t="s">
        <v>46</v>
      </c>
      <c r="K221" t="s">
        <v>47</v>
      </c>
      <c r="L221" t="s">
        <v>48</v>
      </c>
      <c r="M221">
        <v>2</v>
      </c>
      <c r="N221" t="s">
        <v>49</v>
      </c>
      <c r="O221" t="s">
        <v>50</v>
      </c>
      <c r="P221" t="s">
        <v>36</v>
      </c>
      <c r="Q221">
        <v>4</v>
      </c>
      <c r="R221" t="s">
        <v>68</v>
      </c>
      <c r="S221">
        <v>64</v>
      </c>
      <c r="T221" t="s">
        <v>95</v>
      </c>
      <c r="U221" t="s">
        <v>36</v>
      </c>
      <c r="V221" t="s">
        <v>38</v>
      </c>
      <c r="W221">
        <v>1</v>
      </c>
      <c r="X221" t="s">
        <v>39</v>
      </c>
      <c r="Y221">
        <v>1</v>
      </c>
      <c r="Z221" t="s">
        <v>40</v>
      </c>
      <c r="AA221" t="s">
        <v>40</v>
      </c>
      <c r="AB221">
        <v>1</v>
      </c>
    </row>
    <row r="222" spans="1:28" x14ac:dyDescent="0.3">
      <c r="A222">
        <v>221</v>
      </c>
      <c r="B222" t="s">
        <v>26</v>
      </c>
      <c r="C222" t="s">
        <v>42</v>
      </c>
      <c r="D222" t="s">
        <v>43</v>
      </c>
      <c r="E222">
        <v>12</v>
      </c>
      <c r="F222" t="s">
        <v>44</v>
      </c>
      <c r="G222" t="s">
        <v>30</v>
      </c>
      <c r="H222">
        <v>625</v>
      </c>
      <c r="I222" t="s">
        <v>45</v>
      </c>
      <c r="J222" t="s">
        <v>46</v>
      </c>
      <c r="K222" t="s">
        <v>76</v>
      </c>
      <c r="L222" t="s">
        <v>77</v>
      </c>
      <c r="M222">
        <v>4</v>
      </c>
      <c r="N222" t="s">
        <v>34</v>
      </c>
      <c r="O222" t="s">
        <v>75</v>
      </c>
      <c r="P222" t="s">
        <v>59</v>
      </c>
      <c r="Q222">
        <v>1</v>
      </c>
      <c r="R222" t="s">
        <v>37</v>
      </c>
      <c r="S222">
        <v>26</v>
      </c>
      <c r="T222" t="s">
        <v>98</v>
      </c>
      <c r="U222" t="s">
        <v>82</v>
      </c>
      <c r="V222" t="s">
        <v>38</v>
      </c>
      <c r="W222">
        <v>1</v>
      </c>
      <c r="X222" t="s">
        <v>57</v>
      </c>
      <c r="Y222">
        <v>1</v>
      </c>
      <c r="Z222" t="s">
        <v>51</v>
      </c>
      <c r="AA222" t="s">
        <v>40</v>
      </c>
      <c r="AB222">
        <v>1</v>
      </c>
    </row>
    <row r="223" spans="1:28" x14ac:dyDescent="0.3">
      <c r="A223">
        <v>222</v>
      </c>
      <c r="B223" t="s">
        <v>26</v>
      </c>
      <c r="C223" t="s">
        <v>27</v>
      </c>
      <c r="D223" t="s">
        <v>28</v>
      </c>
      <c r="E223">
        <v>12</v>
      </c>
      <c r="F223" t="s">
        <v>44</v>
      </c>
      <c r="G223" t="s">
        <v>54</v>
      </c>
      <c r="H223">
        <v>1200</v>
      </c>
      <c r="I223" t="s">
        <v>31</v>
      </c>
      <c r="J223" t="s">
        <v>31</v>
      </c>
      <c r="K223" t="s">
        <v>47</v>
      </c>
      <c r="L223" t="s">
        <v>48</v>
      </c>
      <c r="M223">
        <v>4</v>
      </c>
      <c r="N223" t="s">
        <v>49</v>
      </c>
      <c r="O223" t="s">
        <v>50</v>
      </c>
      <c r="P223" t="s">
        <v>36</v>
      </c>
      <c r="Q223">
        <v>4</v>
      </c>
      <c r="R223" t="s">
        <v>60</v>
      </c>
      <c r="S223">
        <v>23</v>
      </c>
      <c r="T223" t="s">
        <v>96</v>
      </c>
      <c r="U223" t="s">
        <v>82</v>
      </c>
      <c r="V223" t="s">
        <v>69</v>
      </c>
      <c r="W223">
        <v>1</v>
      </c>
      <c r="X223" t="s">
        <v>39</v>
      </c>
      <c r="Y223">
        <v>1</v>
      </c>
      <c r="Z223" t="s">
        <v>40</v>
      </c>
      <c r="AA223" t="s">
        <v>40</v>
      </c>
      <c r="AB223">
        <v>1</v>
      </c>
    </row>
    <row r="224" spans="1:28" x14ac:dyDescent="0.3">
      <c r="A224">
        <v>223</v>
      </c>
      <c r="B224" t="s">
        <v>26</v>
      </c>
      <c r="C224" t="s">
        <v>52</v>
      </c>
      <c r="D224" t="s">
        <v>53</v>
      </c>
      <c r="E224">
        <v>12</v>
      </c>
      <c r="F224" t="s">
        <v>44</v>
      </c>
      <c r="G224" t="s">
        <v>30</v>
      </c>
      <c r="H224">
        <v>707</v>
      </c>
      <c r="I224" t="s">
        <v>45</v>
      </c>
      <c r="J224" t="s">
        <v>46</v>
      </c>
      <c r="K224" t="s">
        <v>47</v>
      </c>
      <c r="L224" t="s">
        <v>48</v>
      </c>
      <c r="M224">
        <v>4</v>
      </c>
      <c r="N224" t="s">
        <v>34</v>
      </c>
      <c r="O224" t="s">
        <v>35</v>
      </c>
      <c r="P224" t="s">
        <v>36</v>
      </c>
      <c r="Q224">
        <v>2</v>
      </c>
      <c r="R224" t="s">
        <v>37</v>
      </c>
      <c r="S224">
        <v>30</v>
      </c>
      <c r="T224" t="s">
        <v>98</v>
      </c>
      <c r="U224" t="s">
        <v>82</v>
      </c>
      <c r="V224" t="s">
        <v>38</v>
      </c>
      <c r="W224">
        <v>2</v>
      </c>
      <c r="X224" t="s">
        <v>39</v>
      </c>
      <c r="Y224">
        <v>1</v>
      </c>
      <c r="Z224" t="s">
        <v>51</v>
      </c>
      <c r="AA224" t="s">
        <v>40</v>
      </c>
      <c r="AB224">
        <v>1</v>
      </c>
    </row>
    <row r="225" spans="1:28" x14ac:dyDescent="0.3">
      <c r="A225">
        <v>224</v>
      </c>
      <c r="B225" t="s">
        <v>26</v>
      </c>
      <c r="C225" t="s">
        <v>52</v>
      </c>
      <c r="D225" t="s">
        <v>53</v>
      </c>
      <c r="E225">
        <v>24</v>
      </c>
      <c r="F225" t="s">
        <v>62</v>
      </c>
      <c r="G225" t="s">
        <v>78</v>
      </c>
      <c r="H225">
        <v>2978</v>
      </c>
      <c r="I225" t="s">
        <v>31</v>
      </c>
      <c r="J225" t="s">
        <v>31</v>
      </c>
      <c r="K225" t="s">
        <v>47</v>
      </c>
      <c r="L225" t="s">
        <v>48</v>
      </c>
      <c r="M225">
        <v>4</v>
      </c>
      <c r="N225" t="s">
        <v>34</v>
      </c>
      <c r="O225" t="s">
        <v>35</v>
      </c>
      <c r="P225" t="s">
        <v>36</v>
      </c>
      <c r="Q225">
        <v>4</v>
      </c>
      <c r="R225" t="s">
        <v>37</v>
      </c>
      <c r="S225">
        <v>32</v>
      </c>
      <c r="T225" t="s">
        <v>98</v>
      </c>
      <c r="U225" t="s">
        <v>36</v>
      </c>
      <c r="V225" t="s">
        <v>38</v>
      </c>
      <c r="W225">
        <v>2</v>
      </c>
      <c r="X225" t="s">
        <v>39</v>
      </c>
      <c r="Y225">
        <v>2</v>
      </c>
      <c r="Z225" t="s">
        <v>40</v>
      </c>
      <c r="AA225" t="s">
        <v>40</v>
      </c>
      <c r="AB225">
        <v>1</v>
      </c>
    </row>
    <row r="226" spans="1:28" x14ac:dyDescent="0.3">
      <c r="A226">
        <v>225</v>
      </c>
      <c r="B226" t="s">
        <v>26</v>
      </c>
      <c r="C226" t="s">
        <v>52</v>
      </c>
      <c r="D226" t="s">
        <v>53</v>
      </c>
      <c r="E226">
        <v>15</v>
      </c>
      <c r="F226" t="s">
        <v>44</v>
      </c>
      <c r="G226" t="s">
        <v>67</v>
      </c>
      <c r="H226">
        <v>4657</v>
      </c>
      <c r="I226" t="s">
        <v>45</v>
      </c>
      <c r="J226" t="s">
        <v>46</v>
      </c>
      <c r="K226" t="s">
        <v>47</v>
      </c>
      <c r="L226" t="s">
        <v>48</v>
      </c>
      <c r="M226">
        <v>3</v>
      </c>
      <c r="N226" t="s">
        <v>34</v>
      </c>
      <c r="O226" t="s">
        <v>35</v>
      </c>
      <c r="P226" t="s">
        <v>36</v>
      </c>
      <c r="Q226">
        <v>2</v>
      </c>
      <c r="R226" t="s">
        <v>68</v>
      </c>
      <c r="S226">
        <v>30</v>
      </c>
      <c r="T226" t="s">
        <v>98</v>
      </c>
      <c r="U226" t="s">
        <v>36</v>
      </c>
      <c r="V226" t="s">
        <v>38</v>
      </c>
      <c r="W226">
        <v>1</v>
      </c>
      <c r="X226" t="s">
        <v>39</v>
      </c>
      <c r="Y226">
        <v>1</v>
      </c>
      <c r="Z226" t="s">
        <v>40</v>
      </c>
      <c r="AA226" t="s">
        <v>40</v>
      </c>
      <c r="AB226">
        <v>1</v>
      </c>
    </row>
    <row r="227" spans="1:28" x14ac:dyDescent="0.3">
      <c r="A227">
        <v>226</v>
      </c>
      <c r="B227" t="s">
        <v>26</v>
      </c>
      <c r="C227" t="s">
        <v>52</v>
      </c>
      <c r="D227" t="s">
        <v>53</v>
      </c>
      <c r="E227">
        <v>36</v>
      </c>
      <c r="F227" t="s">
        <v>81</v>
      </c>
      <c r="G227" t="s">
        <v>89</v>
      </c>
      <c r="H227">
        <v>2613</v>
      </c>
      <c r="I227" t="s">
        <v>45</v>
      </c>
      <c r="J227" t="s">
        <v>46</v>
      </c>
      <c r="K227" t="s">
        <v>47</v>
      </c>
      <c r="L227" t="s">
        <v>48</v>
      </c>
      <c r="M227">
        <v>4</v>
      </c>
      <c r="N227" t="s">
        <v>34</v>
      </c>
      <c r="O227" t="s">
        <v>35</v>
      </c>
      <c r="P227" t="s">
        <v>36</v>
      </c>
      <c r="Q227">
        <v>2</v>
      </c>
      <c r="R227" t="s">
        <v>68</v>
      </c>
      <c r="S227">
        <v>27</v>
      </c>
      <c r="T227" t="s">
        <v>98</v>
      </c>
      <c r="U227" t="s">
        <v>36</v>
      </c>
      <c r="V227" t="s">
        <v>38</v>
      </c>
      <c r="W227">
        <v>2</v>
      </c>
      <c r="X227" t="s">
        <v>39</v>
      </c>
      <c r="Y227">
        <v>1</v>
      </c>
      <c r="Z227" t="s">
        <v>51</v>
      </c>
      <c r="AA227" t="s">
        <v>40</v>
      </c>
      <c r="AB227">
        <v>1</v>
      </c>
    </row>
    <row r="228" spans="1:28" x14ac:dyDescent="0.3">
      <c r="A228">
        <v>227</v>
      </c>
      <c r="B228" t="s">
        <v>41</v>
      </c>
      <c r="C228" t="s">
        <v>42</v>
      </c>
      <c r="D228" t="s">
        <v>43</v>
      </c>
      <c r="E228">
        <v>48</v>
      </c>
      <c r="F228" t="s">
        <v>44</v>
      </c>
      <c r="G228" t="s">
        <v>30</v>
      </c>
      <c r="H228">
        <v>10961</v>
      </c>
      <c r="I228" t="s">
        <v>71</v>
      </c>
      <c r="J228" t="s">
        <v>72</v>
      </c>
      <c r="K228" t="s">
        <v>55</v>
      </c>
      <c r="L228" t="s">
        <v>56</v>
      </c>
      <c r="M228">
        <v>1</v>
      </c>
      <c r="N228" t="s">
        <v>34</v>
      </c>
      <c r="O228" t="s">
        <v>35</v>
      </c>
      <c r="P228" t="s">
        <v>87</v>
      </c>
      <c r="Q228">
        <v>2</v>
      </c>
      <c r="R228" t="s">
        <v>64</v>
      </c>
      <c r="S228">
        <v>27</v>
      </c>
      <c r="T228" t="s">
        <v>98</v>
      </c>
      <c r="U228" t="s">
        <v>82</v>
      </c>
      <c r="V228" t="s">
        <v>38</v>
      </c>
      <c r="W228">
        <v>2</v>
      </c>
      <c r="X228" t="s">
        <v>39</v>
      </c>
      <c r="Y228">
        <v>1</v>
      </c>
      <c r="Z228" t="s">
        <v>40</v>
      </c>
      <c r="AA228" t="s">
        <v>40</v>
      </c>
      <c r="AB228">
        <v>2</v>
      </c>
    </row>
    <row r="229" spans="1:28" x14ac:dyDescent="0.3">
      <c r="A229">
        <v>228</v>
      </c>
      <c r="B229" t="s">
        <v>41</v>
      </c>
      <c r="C229" t="s">
        <v>27</v>
      </c>
      <c r="D229" t="s">
        <v>28</v>
      </c>
      <c r="E229">
        <v>12</v>
      </c>
      <c r="F229" t="s">
        <v>44</v>
      </c>
      <c r="G229" t="s">
        <v>58</v>
      </c>
      <c r="H229">
        <v>7865</v>
      </c>
      <c r="I229" t="s">
        <v>45</v>
      </c>
      <c r="J229" t="s">
        <v>46</v>
      </c>
      <c r="K229" t="s">
        <v>32</v>
      </c>
      <c r="L229" t="s">
        <v>33</v>
      </c>
      <c r="M229">
        <v>4</v>
      </c>
      <c r="N229" t="s">
        <v>34</v>
      </c>
      <c r="O229" t="s">
        <v>35</v>
      </c>
      <c r="P229" t="s">
        <v>36</v>
      </c>
      <c r="Q229">
        <v>4</v>
      </c>
      <c r="R229" t="s">
        <v>64</v>
      </c>
      <c r="S229">
        <v>53</v>
      </c>
      <c r="T229" t="s">
        <v>97</v>
      </c>
      <c r="U229" t="s">
        <v>36</v>
      </c>
      <c r="V229" t="s">
        <v>61</v>
      </c>
      <c r="W229">
        <v>1</v>
      </c>
      <c r="X229" t="s">
        <v>70</v>
      </c>
      <c r="Y229">
        <v>1</v>
      </c>
      <c r="Z229" t="s">
        <v>40</v>
      </c>
      <c r="AA229" t="s">
        <v>40</v>
      </c>
      <c r="AB229">
        <v>2</v>
      </c>
    </row>
    <row r="230" spans="1:28" x14ac:dyDescent="0.3">
      <c r="A230">
        <v>229</v>
      </c>
      <c r="B230" t="s">
        <v>41</v>
      </c>
      <c r="C230" t="s">
        <v>52</v>
      </c>
      <c r="D230" t="s">
        <v>53</v>
      </c>
      <c r="E230">
        <v>9</v>
      </c>
      <c r="F230" t="s">
        <v>44</v>
      </c>
      <c r="G230" t="s">
        <v>30</v>
      </c>
      <c r="H230">
        <v>1478</v>
      </c>
      <c r="I230" t="s">
        <v>45</v>
      </c>
      <c r="J230" t="s">
        <v>46</v>
      </c>
      <c r="K230" t="s">
        <v>55</v>
      </c>
      <c r="L230" t="s">
        <v>56</v>
      </c>
      <c r="M230">
        <v>4</v>
      </c>
      <c r="N230" t="s">
        <v>34</v>
      </c>
      <c r="O230" t="s">
        <v>35</v>
      </c>
      <c r="P230" t="s">
        <v>36</v>
      </c>
      <c r="Q230">
        <v>2</v>
      </c>
      <c r="R230" t="s">
        <v>68</v>
      </c>
      <c r="S230">
        <v>22</v>
      </c>
      <c r="T230" t="s">
        <v>96</v>
      </c>
      <c r="U230" t="s">
        <v>36</v>
      </c>
      <c r="V230" t="s">
        <v>38</v>
      </c>
      <c r="W230">
        <v>1</v>
      </c>
      <c r="X230" t="s">
        <v>39</v>
      </c>
      <c r="Y230">
        <v>1</v>
      </c>
      <c r="Z230" t="s">
        <v>51</v>
      </c>
      <c r="AA230" t="s">
        <v>40</v>
      </c>
      <c r="AB230">
        <v>2</v>
      </c>
    </row>
    <row r="231" spans="1:28" x14ac:dyDescent="0.3">
      <c r="A231">
        <v>230</v>
      </c>
      <c r="B231" t="s">
        <v>26</v>
      </c>
      <c r="C231" t="s">
        <v>27</v>
      </c>
      <c r="D231" t="s">
        <v>28</v>
      </c>
      <c r="E231">
        <v>24</v>
      </c>
      <c r="F231" t="s">
        <v>44</v>
      </c>
      <c r="G231" t="s">
        <v>58</v>
      </c>
      <c r="H231">
        <v>3149</v>
      </c>
      <c r="I231" t="s">
        <v>45</v>
      </c>
      <c r="J231" t="s">
        <v>46</v>
      </c>
      <c r="K231" t="s">
        <v>76</v>
      </c>
      <c r="L231" t="s">
        <v>77</v>
      </c>
      <c r="M231">
        <v>4</v>
      </c>
      <c r="N231" t="s">
        <v>34</v>
      </c>
      <c r="O231" t="s">
        <v>35</v>
      </c>
      <c r="P231" t="s">
        <v>36</v>
      </c>
      <c r="Q231">
        <v>1</v>
      </c>
      <c r="R231" t="s">
        <v>64</v>
      </c>
      <c r="S231">
        <v>22</v>
      </c>
      <c r="T231" t="s">
        <v>96</v>
      </c>
      <c r="U231" t="s">
        <v>82</v>
      </c>
      <c r="V231" t="s">
        <v>61</v>
      </c>
      <c r="W231">
        <v>1</v>
      </c>
      <c r="X231" t="s">
        <v>39</v>
      </c>
      <c r="Y231">
        <v>1</v>
      </c>
      <c r="Z231" t="s">
        <v>51</v>
      </c>
      <c r="AA231" t="s">
        <v>40</v>
      </c>
      <c r="AB231">
        <v>1</v>
      </c>
    </row>
    <row r="232" spans="1:28" x14ac:dyDescent="0.3">
      <c r="A232">
        <v>231</v>
      </c>
      <c r="B232" t="s">
        <v>41</v>
      </c>
      <c r="C232" t="s">
        <v>83</v>
      </c>
      <c r="D232" t="s">
        <v>84</v>
      </c>
      <c r="E232">
        <v>36</v>
      </c>
      <c r="F232" t="s">
        <v>44</v>
      </c>
      <c r="G232" t="s">
        <v>30</v>
      </c>
      <c r="H232">
        <v>4210</v>
      </c>
      <c r="I232" t="s">
        <v>45</v>
      </c>
      <c r="J232" t="s">
        <v>46</v>
      </c>
      <c r="K232" t="s">
        <v>47</v>
      </c>
      <c r="L232" t="s">
        <v>48</v>
      </c>
      <c r="M232">
        <v>4</v>
      </c>
      <c r="N232" t="s">
        <v>34</v>
      </c>
      <c r="O232" t="s">
        <v>35</v>
      </c>
      <c r="P232" t="s">
        <v>36</v>
      </c>
      <c r="Q232">
        <v>2</v>
      </c>
      <c r="R232" t="s">
        <v>68</v>
      </c>
      <c r="S232">
        <v>26</v>
      </c>
      <c r="T232" t="s">
        <v>98</v>
      </c>
      <c r="U232" t="s">
        <v>36</v>
      </c>
      <c r="V232" t="s">
        <v>38</v>
      </c>
      <c r="W232">
        <v>1</v>
      </c>
      <c r="X232" t="s">
        <v>39</v>
      </c>
      <c r="Y232">
        <v>1</v>
      </c>
      <c r="Z232" t="s">
        <v>51</v>
      </c>
      <c r="AA232" t="s">
        <v>40</v>
      </c>
      <c r="AB232">
        <v>2</v>
      </c>
    </row>
    <row r="233" spans="1:28" x14ac:dyDescent="0.3">
      <c r="A233">
        <v>232</v>
      </c>
      <c r="B233" t="s">
        <v>26</v>
      </c>
      <c r="C233" t="s">
        <v>52</v>
      </c>
      <c r="D233" t="s">
        <v>53</v>
      </c>
      <c r="E233">
        <v>9</v>
      </c>
      <c r="F233" t="s">
        <v>44</v>
      </c>
      <c r="G233" t="s">
        <v>63</v>
      </c>
      <c r="H233">
        <v>2507</v>
      </c>
      <c r="I233" t="s">
        <v>65</v>
      </c>
      <c r="J233" t="s">
        <v>66</v>
      </c>
      <c r="K233" t="s">
        <v>32</v>
      </c>
      <c r="L233" t="s">
        <v>33</v>
      </c>
      <c r="M233">
        <v>2</v>
      </c>
      <c r="N233" t="s">
        <v>34</v>
      </c>
      <c r="O233" t="s">
        <v>35</v>
      </c>
      <c r="P233" t="s">
        <v>36</v>
      </c>
      <c r="Q233">
        <v>4</v>
      </c>
      <c r="R233" t="s">
        <v>64</v>
      </c>
      <c r="S233">
        <v>51</v>
      </c>
      <c r="T233" t="s">
        <v>97</v>
      </c>
      <c r="U233" t="s">
        <v>36</v>
      </c>
      <c r="V233" t="s">
        <v>61</v>
      </c>
      <c r="W233">
        <v>1</v>
      </c>
      <c r="X233" t="s">
        <v>57</v>
      </c>
      <c r="Y233">
        <v>1</v>
      </c>
      <c r="Z233" t="s">
        <v>51</v>
      </c>
      <c r="AA233" t="s">
        <v>40</v>
      </c>
      <c r="AB233">
        <v>1</v>
      </c>
    </row>
    <row r="234" spans="1:28" x14ac:dyDescent="0.3">
      <c r="A234">
        <v>233</v>
      </c>
      <c r="B234" t="s">
        <v>26</v>
      </c>
      <c r="C234" t="s">
        <v>52</v>
      </c>
      <c r="D234" t="s">
        <v>53</v>
      </c>
      <c r="E234">
        <v>12</v>
      </c>
      <c r="F234" t="s">
        <v>44</v>
      </c>
      <c r="G234" t="s">
        <v>30</v>
      </c>
      <c r="H234">
        <v>2141</v>
      </c>
      <c r="I234" t="s">
        <v>79</v>
      </c>
      <c r="J234" t="s">
        <v>80</v>
      </c>
      <c r="K234" t="s">
        <v>55</v>
      </c>
      <c r="L234" t="s">
        <v>56</v>
      </c>
      <c r="M234">
        <v>3</v>
      </c>
      <c r="N234" t="s">
        <v>34</v>
      </c>
      <c r="O234" t="s">
        <v>35</v>
      </c>
      <c r="P234" t="s">
        <v>36</v>
      </c>
      <c r="Q234">
        <v>1</v>
      </c>
      <c r="R234" t="s">
        <v>64</v>
      </c>
      <c r="S234">
        <v>35</v>
      </c>
      <c r="T234" t="s">
        <v>98</v>
      </c>
      <c r="U234" t="s">
        <v>36</v>
      </c>
      <c r="V234" t="s">
        <v>38</v>
      </c>
      <c r="W234">
        <v>1</v>
      </c>
      <c r="X234" t="s">
        <v>39</v>
      </c>
      <c r="Y234">
        <v>1</v>
      </c>
      <c r="Z234" t="s">
        <v>51</v>
      </c>
      <c r="AA234" t="s">
        <v>40</v>
      </c>
      <c r="AB234">
        <v>1</v>
      </c>
    </row>
    <row r="235" spans="1:28" x14ac:dyDescent="0.3">
      <c r="A235">
        <v>234</v>
      </c>
      <c r="B235" t="s">
        <v>26</v>
      </c>
      <c r="C235" t="s">
        <v>42</v>
      </c>
      <c r="D235" t="s">
        <v>43</v>
      </c>
      <c r="E235">
        <v>18</v>
      </c>
      <c r="F235" t="s">
        <v>44</v>
      </c>
      <c r="G235" t="s">
        <v>30</v>
      </c>
      <c r="H235">
        <v>866</v>
      </c>
      <c r="I235" t="s">
        <v>45</v>
      </c>
      <c r="J235" t="s">
        <v>46</v>
      </c>
      <c r="K235" t="s">
        <v>47</v>
      </c>
      <c r="L235" t="s">
        <v>48</v>
      </c>
      <c r="M235">
        <v>4</v>
      </c>
      <c r="N235" t="s">
        <v>34</v>
      </c>
      <c r="O235" t="s">
        <v>75</v>
      </c>
      <c r="P235" t="s">
        <v>59</v>
      </c>
      <c r="Q235">
        <v>2</v>
      </c>
      <c r="R235" t="s">
        <v>37</v>
      </c>
      <c r="S235">
        <v>25</v>
      </c>
      <c r="T235" t="s">
        <v>98</v>
      </c>
      <c r="U235" t="s">
        <v>36</v>
      </c>
      <c r="V235" t="s">
        <v>38</v>
      </c>
      <c r="W235">
        <v>1</v>
      </c>
      <c r="X235" t="s">
        <v>57</v>
      </c>
      <c r="Y235">
        <v>1</v>
      </c>
      <c r="Z235" t="s">
        <v>51</v>
      </c>
      <c r="AA235" t="s">
        <v>40</v>
      </c>
      <c r="AB235">
        <v>1</v>
      </c>
    </row>
    <row r="236" spans="1:28" x14ac:dyDescent="0.3">
      <c r="A236">
        <v>235</v>
      </c>
      <c r="B236" t="s">
        <v>26</v>
      </c>
      <c r="C236" t="s">
        <v>52</v>
      </c>
      <c r="D236" t="s">
        <v>53</v>
      </c>
      <c r="E236">
        <v>4</v>
      </c>
      <c r="F236" t="s">
        <v>29</v>
      </c>
      <c r="G236" t="s">
        <v>30</v>
      </c>
      <c r="H236">
        <v>1544</v>
      </c>
      <c r="I236" t="s">
        <v>45</v>
      </c>
      <c r="J236" t="s">
        <v>46</v>
      </c>
      <c r="K236" t="s">
        <v>55</v>
      </c>
      <c r="L236" t="s">
        <v>56</v>
      </c>
      <c r="M236">
        <v>2</v>
      </c>
      <c r="N236" t="s">
        <v>34</v>
      </c>
      <c r="O236" t="s">
        <v>35</v>
      </c>
      <c r="P236" t="s">
        <v>36</v>
      </c>
      <c r="Q236">
        <v>1</v>
      </c>
      <c r="R236" t="s">
        <v>37</v>
      </c>
      <c r="S236">
        <v>42</v>
      </c>
      <c r="T236" t="s">
        <v>97</v>
      </c>
      <c r="U236" t="s">
        <v>36</v>
      </c>
      <c r="V236" t="s">
        <v>38</v>
      </c>
      <c r="W236">
        <v>3</v>
      </c>
      <c r="X236" t="s">
        <v>57</v>
      </c>
      <c r="Y236">
        <v>2</v>
      </c>
      <c r="Z236" t="s">
        <v>51</v>
      </c>
      <c r="AA236" t="s">
        <v>40</v>
      </c>
      <c r="AB236">
        <v>1</v>
      </c>
    </row>
    <row r="237" spans="1:28" x14ac:dyDescent="0.3">
      <c r="A237">
        <v>236</v>
      </c>
      <c r="B237" t="s">
        <v>41</v>
      </c>
      <c r="C237" t="s">
        <v>27</v>
      </c>
      <c r="D237" t="s">
        <v>28</v>
      </c>
      <c r="E237">
        <v>24</v>
      </c>
      <c r="F237" t="s">
        <v>44</v>
      </c>
      <c r="G237" t="s">
        <v>30</v>
      </c>
      <c r="H237">
        <v>1823</v>
      </c>
      <c r="I237" t="s">
        <v>45</v>
      </c>
      <c r="J237" t="s">
        <v>46</v>
      </c>
      <c r="K237" t="s">
        <v>74</v>
      </c>
      <c r="L237" t="s">
        <v>74</v>
      </c>
      <c r="M237">
        <v>4</v>
      </c>
      <c r="N237" t="s">
        <v>34</v>
      </c>
      <c r="O237" t="s">
        <v>35</v>
      </c>
      <c r="P237" t="s">
        <v>36</v>
      </c>
      <c r="Q237">
        <v>2</v>
      </c>
      <c r="R237" t="s">
        <v>68</v>
      </c>
      <c r="S237">
        <v>30</v>
      </c>
      <c r="T237" t="s">
        <v>98</v>
      </c>
      <c r="U237" t="s">
        <v>86</v>
      </c>
      <c r="V237" t="s">
        <v>38</v>
      </c>
      <c r="W237">
        <v>1</v>
      </c>
      <c r="X237" t="s">
        <v>70</v>
      </c>
      <c r="Y237">
        <v>2</v>
      </c>
      <c r="Z237" t="s">
        <v>51</v>
      </c>
      <c r="AA237" t="s">
        <v>40</v>
      </c>
      <c r="AB237">
        <v>2</v>
      </c>
    </row>
    <row r="238" spans="1:28" x14ac:dyDescent="0.3">
      <c r="A238">
        <v>237</v>
      </c>
      <c r="B238" t="s">
        <v>41</v>
      </c>
      <c r="C238" t="s">
        <v>42</v>
      </c>
      <c r="D238" t="s">
        <v>43</v>
      </c>
      <c r="E238">
        <v>6</v>
      </c>
      <c r="F238" t="s">
        <v>44</v>
      </c>
      <c r="G238" t="s">
        <v>63</v>
      </c>
      <c r="H238">
        <v>14555</v>
      </c>
      <c r="I238" t="s">
        <v>31</v>
      </c>
      <c r="J238" t="s">
        <v>31</v>
      </c>
      <c r="K238" t="s">
        <v>74</v>
      </c>
      <c r="L238" t="s">
        <v>74</v>
      </c>
      <c r="M238">
        <v>1</v>
      </c>
      <c r="N238" t="s">
        <v>34</v>
      </c>
      <c r="O238" t="s">
        <v>35</v>
      </c>
      <c r="P238" t="s">
        <v>36</v>
      </c>
      <c r="Q238">
        <v>2</v>
      </c>
      <c r="R238" t="s">
        <v>60</v>
      </c>
      <c r="S238">
        <v>23</v>
      </c>
      <c r="T238" t="s">
        <v>96</v>
      </c>
      <c r="U238" t="s">
        <v>36</v>
      </c>
      <c r="V238" t="s">
        <v>38</v>
      </c>
      <c r="W238">
        <v>1</v>
      </c>
      <c r="X238" t="s">
        <v>90</v>
      </c>
      <c r="Y238">
        <v>1</v>
      </c>
      <c r="Z238" t="s">
        <v>40</v>
      </c>
      <c r="AA238" t="s">
        <v>40</v>
      </c>
      <c r="AB238">
        <v>2</v>
      </c>
    </row>
    <row r="239" spans="1:28" x14ac:dyDescent="0.3">
      <c r="A239">
        <v>238</v>
      </c>
      <c r="B239" t="s">
        <v>41</v>
      </c>
      <c r="C239" t="s">
        <v>42</v>
      </c>
      <c r="D239" t="s">
        <v>43</v>
      </c>
      <c r="E239">
        <v>21</v>
      </c>
      <c r="F239" t="s">
        <v>44</v>
      </c>
      <c r="G239" t="s">
        <v>78</v>
      </c>
      <c r="H239">
        <v>2767</v>
      </c>
      <c r="I239" t="s">
        <v>79</v>
      </c>
      <c r="J239" t="s">
        <v>80</v>
      </c>
      <c r="K239" t="s">
        <v>32</v>
      </c>
      <c r="L239" t="s">
        <v>33</v>
      </c>
      <c r="M239">
        <v>4</v>
      </c>
      <c r="N239" t="s">
        <v>34</v>
      </c>
      <c r="O239" t="s">
        <v>73</v>
      </c>
      <c r="P239" t="s">
        <v>36</v>
      </c>
      <c r="Q239">
        <v>2</v>
      </c>
      <c r="R239" t="s">
        <v>68</v>
      </c>
      <c r="S239">
        <v>61</v>
      </c>
      <c r="T239" t="s">
        <v>95</v>
      </c>
      <c r="U239" t="s">
        <v>82</v>
      </c>
      <c r="V239" t="s">
        <v>69</v>
      </c>
      <c r="W239">
        <v>2</v>
      </c>
      <c r="X239" t="s">
        <v>57</v>
      </c>
      <c r="Y239">
        <v>1</v>
      </c>
      <c r="Z239" t="s">
        <v>51</v>
      </c>
      <c r="AA239" t="s">
        <v>40</v>
      </c>
      <c r="AB239">
        <v>2</v>
      </c>
    </row>
    <row r="240" spans="1:28" x14ac:dyDescent="0.3">
      <c r="A240">
        <v>239</v>
      </c>
      <c r="B240" t="s">
        <v>26</v>
      </c>
      <c r="C240" t="s">
        <v>52</v>
      </c>
      <c r="D240" t="s">
        <v>53</v>
      </c>
      <c r="E240">
        <v>12</v>
      </c>
      <c r="F240" t="s">
        <v>29</v>
      </c>
      <c r="G240" t="s">
        <v>30</v>
      </c>
      <c r="H240">
        <v>1291</v>
      </c>
      <c r="I240" t="s">
        <v>45</v>
      </c>
      <c r="J240" t="s">
        <v>46</v>
      </c>
      <c r="K240" t="s">
        <v>47</v>
      </c>
      <c r="L240" t="s">
        <v>48</v>
      </c>
      <c r="M240">
        <v>4</v>
      </c>
      <c r="N240" t="s">
        <v>49</v>
      </c>
      <c r="O240" t="s">
        <v>50</v>
      </c>
      <c r="P240" t="s">
        <v>36</v>
      </c>
      <c r="Q240">
        <v>2</v>
      </c>
      <c r="R240" t="s">
        <v>60</v>
      </c>
      <c r="S240">
        <v>35</v>
      </c>
      <c r="T240" t="s">
        <v>98</v>
      </c>
      <c r="U240" t="s">
        <v>36</v>
      </c>
      <c r="V240" t="s">
        <v>38</v>
      </c>
      <c r="W240">
        <v>2</v>
      </c>
      <c r="X240" t="s">
        <v>39</v>
      </c>
      <c r="Y240">
        <v>1</v>
      </c>
      <c r="Z240" t="s">
        <v>51</v>
      </c>
      <c r="AA240" t="s">
        <v>40</v>
      </c>
      <c r="AB240">
        <v>1</v>
      </c>
    </row>
    <row r="241" spans="1:28" x14ac:dyDescent="0.3">
      <c r="A241">
        <v>240</v>
      </c>
      <c r="B241" t="s">
        <v>26</v>
      </c>
      <c r="C241" t="s">
        <v>27</v>
      </c>
      <c r="D241" t="s">
        <v>28</v>
      </c>
      <c r="E241">
        <v>30</v>
      </c>
      <c r="F241" t="s">
        <v>44</v>
      </c>
      <c r="G241" t="s">
        <v>30</v>
      </c>
      <c r="H241">
        <v>2522</v>
      </c>
      <c r="I241" t="s">
        <v>45</v>
      </c>
      <c r="J241" t="s">
        <v>46</v>
      </c>
      <c r="K241" t="s">
        <v>32</v>
      </c>
      <c r="L241" t="s">
        <v>33</v>
      </c>
      <c r="M241">
        <v>1</v>
      </c>
      <c r="N241" t="s">
        <v>34</v>
      </c>
      <c r="O241" t="s">
        <v>35</v>
      </c>
      <c r="P241" t="s">
        <v>59</v>
      </c>
      <c r="Q241">
        <v>3</v>
      </c>
      <c r="R241" t="s">
        <v>60</v>
      </c>
      <c r="S241">
        <v>39</v>
      </c>
      <c r="T241" t="s">
        <v>98</v>
      </c>
      <c r="U241" t="s">
        <v>36</v>
      </c>
      <c r="V241" t="s">
        <v>38</v>
      </c>
      <c r="W241">
        <v>1</v>
      </c>
      <c r="X241" t="s">
        <v>39</v>
      </c>
      <c r="Y241">
        <v>2</v>
      </c>
      <c r="Z241" t="s">
        <v>51</v>
      </c>
      <c r="AA241" t="s">
        <v>40</v>
      </c>
      <c r="AB241">
        <v>1</v>
      </c>
    </row>
    <row r="242" spans="1:28" x14ac:dyDescent="0.3">
      <c r="A242">
        <v>241</v>
      </c>
      <c r="B242" t="s">
        <v>41</v>
      </c>
      <c r="C242" t="s">
        <v>27</v>
      </c>
      <c r="D242" t="s">
        <v>28</v>
      </c>
      <c r="E242">
        <v>24</v>
      </c>
      <c r="F242" t="s">
        <v>44</v>
      </c>
      <c r="G242" t="s">
        <v>63</v>
      </c>
      <c r="H242">
        <v>915</v>
      </c>
      <c r="I242" t="s">
        <v>31</v>
      </c>
      <c r="J242" t="s">
        <v>31</v>
      </c>
      <c r="K242" t="s">
        <v>32</v>
      </c>
      <c r="L242" t="s">
        <v>33</v>
      </c>
      <c r="M242">
        <v>4</v>
      </c>
      <c r="N242" t="s">
        <v>49</v>
      </c>
      <c r="O242" t="s">
        <v>50</v>
      </c>
      <c r="P242" t="s">
        <v>36</v>
      </c>
      <c r="Q242">
        <v>2</v>
      </c>
      <c r="R242" t="s">
        <v>68</v>
      </c>
      <c r="S242">
        <v>29</v>
      </c>
      <c r="T242" t="s">
        <v>98</v>
      </c>
      <c r="U242" t="s">
        <v>82</v>
      </c>
      <c r="V242" t="s">
        <v>38</v>
      </c>
      <c r="W242">
        <v>1</v>
      </c>
      <c r="X242" t="s">
        <v>39</v>
      </c>
      <c r="Y242">
        <v>1</v>
      </c>
      <c r="Z242" t="s">
        <v>51</v>
      </c>
      <c r="AA242" t="s">
        <v>40</v>
      </c>
      <c r="AB242">
        <v>2</v>
      </c>
    </row>
    <row r="243" spans="1:28" x14ac:dyDescent="0.3">
      <c r="A243">
        <v>242</v>
      </c>
      <c r="B243" t="s">
        <v>26</v>
      </c>
      <c r="C243" t="s">
        <v>52</v>
      </c>
      <c r="D243" t="s">
        <v>53</v>
      </c>
      <c r="E243">
        <v>6</v>
      </c>
      <c r="F243" t="s">
        <v>44</v>
      </c>
      <c r="G243" t="s">
        <v>30</v>
      </c>
      <c r="H243">
        <v>1595</v>
      </c>
      <c r="I243" t="s">
        <v>45</v>
      </c>
      <c r="J243" t="s">
        <v>46</v>
      </c>
      <c r="K243" t="s">
        <v>55</v>
      </c>
      <c r="L243" t="s">
        <v>56</v>
      </c>
      <c r="M243">
        <v>3</v>
      </c>
      <c r="N243" t="s">
        <v>34</v>
      </c>
      <c r="O243" t="s">
        <v>35</v>
      </c>
      <c r="P243" t="s">
        <v>36</v>
      </c>
      <c r="Q243">
        <v>2</v>
      </c>
      <c r="R243" t="s">
        <v>60</v>
      </c>
      <c r="S243">
        <v>51</v>
      </c>
      <c r="T243" t="s">
        <v>97</v>
      </c>
      <c r="U243" t="s">
        <v>36</v>
      </c>
      <c r="V243" t="s">
        <v>38</v>
      </c>
      <c r="W243">
        <v>1</v>
      </c>
      <c r="X243" t="s">
        <v>39</v>
      </c>
      <c r="Y243">
        <v>2</v>
      </c>
      <c r="Z243" t="s">
        <v>51</v>
      </c>
      <c r="AA243" t="s">
        <v>40</v>
      </c>
      <c r="AB243">
        <v>1</v>
      </c>
    </row>
    <row r="244" spans="1:28" x14ac:dyDescent="0.3">
      <c r="A244">
        <v>243</v>
      </c>
      <c r="B244" t="s">
        <v>41</v>
      </c>
      <c r="C244" t="s">
        <v>27</v>
      </c>
      <c r="D244" t="s">
        <v>28</v>
      </c>
      <c r="E244">
        <v>48</v>
      </c>
      <c r="F244" t="s">
        <v>81</v>
      </c>
      <c r="G244" t="s">
        <v>67</v>
      </c>
      <c r="H244">
        <v>4605</v>
      </c>
      <c r="I244" t="s">
        <v>45</v>
      </c>
      <c r="J244" t="s">
        <v>46</v>
      </c>
      <c r="K244" t="s">
        <v>32</v>
      </c>
      <c r="L244" t="s">
        <v>33</v>
      </c>
      <c r="M244">
        <v>3</v>
      </c>
      <c r="N244" t="s">
        <v>34</v>
      </c>
      <c r="O244" t="s">
        <v>35</v>
      </c>
      <c r="P244" t="s">
        <v>36</v>
      </c>
      <c r="Q244">
        <v>4</v>
      </c>
      <c r="R244" t="s">
        <v>64</v>
      </c>
      <c r="S244">
        <v>24</v>
      </c>
      <c r="T244" t="s">
        <v>96</v>
      </c>
      <c r="U244" t="s">
        <v>36</v>
      </c>
      <c r="V244" t="s">
        <v>61</v>
      </c>
      <c r="W244">
        <v>2</v>
      </c>
      <c r="X244" t="s">
        <v>39</v>
      </c>
      <c r="Y244">
        <v>2</v>
      </c>
      <c r="Z244" t="s">
        <v>51</v>
      </c>
      <c r="AA244" t="s">
        <v>40</v>
      </c>
      <c r="AB244">
        <v>2</v>
      </c>
    </row>
    <row r="245" spans="1:28" x14ac:dyDescent="0.3">
      <c r="A245">
        <v>244</v>
      </c>
      <c r="B245" t="s">
        <v>26</v>
      </c>
      <c r="C245" t="s">
        <v>52</v>
      </c>
      <c r="D245" t="s">
        <v>53</v>
      </c>
      <c r="E245">
        <v>12</v>
      </c>
      <c r="F245" t="s">
        <v>29</v>
      </c>
      <c r="G245" t="s">
        <v>78</v>
      </c>
      <c r="H245">
        <v>1185</v>
      </c>
      <c r="I245" t="s">
        <v>45</v>
      </c>
      <c r="J245" t="s">
        <v>46</v>
      </c>
      <c r="K245" t="s">
        <v>47</v>
      </c>
      <c r="L245" t="s">
        <v>48</v>
      </c>
      <c r="M245">
        <v>3</v>
      </c>
      <c r="N245" t="s">
        <v>49</v>
      </c>
      <c r="O245" t="s">
        <v>50</v>
      </c>
      <c r="P245" t="s">
        <v>36</v>
      </c>
      <c r="Q245">
        <v>2</v>
      </c>
      <c r="R245" t="s">
        <v>37</v>
      </c>
      <c r="S245">
        <v>27</v>
      </c>
      <c r="T245" t="s">
        <v>98</v>
      </c>
      <c r="U245" t="s">
        <v>36</v>
      </c>
      <c r="V245" t="s">
        <v>38</v>
      </c>
      <c r="W245">
        <v>2</v>
      </c>
      <c r="X245" t="s">
        <v>39</v>
      </c>
      <c r="Y245">
        <v>1</v>
      </c>
      <c r="Z245" t="s">
        <v>51</v>
      </c>
      <c r="AA245" t="s">
        <v>40</v>
      </c>
      <c r="AB245">
        <v>1</v>
      </c>
    </row>
    <row r="246" spans="1:28" x14ac:dyDescent="0.3">
      <c r="A246">
        <v>245</v>
      </c>
      <c r="B246" t="s">
        <v>26</v>
      </c>
      <c r="C246" t="s">
        <v>52</v>
      </c>
      <c r="D246" t="s">
        <v>53</v>
      </c>
      <c r="E246">
        <v>12</v>
      </c>
      <c r="F246" t="s">
        <v>85</v>
      </c>
      <c r="G246" t="s">
        <v>92</v>
      </c>
      <c r="H246">
        <v>3447</v>
      </c>
      <c r="I246" t="s">
        <v>65</v>
      </c>
      <c r="J246" t="s">
        <v>66</v>
      </c>
      <c r="K246" t="s">
        <v>47</v>
      </c>
      <c r="L246" t="s">
        <v>48</v>
      </c>
      <c r="M246">
        <v>4</v>
      </c>
      <c r="N246" t="s">
        <v>49</v>
      </c>
      <c r="O246" t="s">
        <v>50</v>
      </c>
      <c r="P246" t="s">
        <v>36</v>
      </c>
      <c r="Q246">
        <v>3</v>
      </c>
      <c r="R246" t="s">
        <v>37</v>
      </c>
      <c r="S246">
        <v>35</v>
      </c>
      <c r="T246" t="s">
        <v>98</v>
      </c>
      <c r="U246" t="s">
        <v>36</v>
      </c>
      <c r="V246" t="s">
        <v>38</v>
      </c>
      <c r="W246">
        <v>1</v>
      </c>
      <c r="X246" t="s">
        <v>57</v>
      </c>
      <c r="Y246">
        <v>2</v>
      </c>
      <c r="Z246" t="s">
        <v>51</v>
      </c>
      <c r="AA246" t="s">
        <v>40</v>
      </c>
      <c r="AB246">
        <v>1</v>
      </c>
    </row>
    <row r="247" spans="1:28" x14ac:dyDescent="0.3">
      <c r="A247">
        <v>246</v>
      </c>
      <c r="B247" t="s">
        <v>26</v>
      </c>
      <c r="C247" t="s">
        <v>52</v>
      </c>
      <c r="D247" t="s">
        <v>53</v>
      </c>
      <c r="E247">
        <v>24</v>
      </c>
      <c r="F247" t="s">
        <v>44</v>
      </c>
      <c r="G247" t="s">
        <v>78</v>
      </c>
      <c r="H247">
        <v>1258</v>
      </c>
      <c r="I247" t="s">
        <v>45</v>
      </c>
      <c r="J247" t="s">
        <v>46</v>
      </c>
      <c r="K247" t="s">
        <v>55</v>
      </c>
      <c r="L247" t="s">
        <v>56</v>
      </c>
      <c r="M247">
        <v>4</v>
      </c>
      <c r="N247" t="s">
        <v>34</v>
      </c>
      <c r="O247" t="s">
        <v>35</v>
      </c>
      <c r="P247" t="s">
        <v>36</v>
      </c>
      <c r="Q247">
        <v>1</v>
      </c>
      <c r="R247" t="s">
        <v>37</v>
      </c>
      <c r="S247">
        <v>25</v>
      </c>
      <c r="T247" t="s">
        <v>98</v>
      </c>
      <c r="U247" t="s">
        <v>36</v>
      </c>
      <c r="V247" t="s">
        <v>38</v>
      </c>
      <c r="W247">
        <v>1</v>
      </c>
      <c r="X247" t="s">
        <v>39</v>
      </c>
      <c r="Y247">
        <v>1</v>
      </c>
      <c r="Z247" t="s">
        <v>40</v>
      </c>
      <c r="AA247" t="s">
        <v>40</v>
      </c>
      <c r="AB247">
        <v>1</v>
      </c>
    </row>
    <row r="248" spans="1:28" x14ac:dyDescent="0.3">
      <c r="A248">
        <v>247</v>
      </c>
      <c r="B248" t="s">
        <v>26</v>
      </c>
      <c r="C248" t="s">
        <v>52</v>
      </c>
      <c r="D248" t="s">
        <v>53</v>
      </c>
      <c r="E248">
        <v>12</v>
      </c>
      <c r="F248" t="s">
        <v>29</v>
      </c>
      <c r="G248" t="s">
        <v>30</v>
      </c>
      <c r="H248">
        <v>717</v>
      </c>
      <c r="I248" t="s">
        <v>45</v>
      </c>
      <c r="J248" t="s">
        <v>46</v>
      </c>
      <c r="K248" t="s">
        <v>32</v>
      </c>
      <c r="L248" t="s">
        <v>33</v>
      </c>
      <c r="M248">
        <v>4</v>
      </c>
      <c r="N248" t="s">
        <v>34</v>
      </c>
      <c r="O248" t="s">
        <v>35</v>
      </c>
      <c r="P248" t="s">
        <v>36</v>
      </c>
      <c r="Q248">
        <v>4</v>
      </c>
      <c r="R248" t="s">
        <v>37</v>
      </c>
      <c r="S248">
        <v>52</v>
      </c>
      <c r="T248" t="s">
        <v>97</v>
      </c>
      <c r="U248" t="s">
        <v>36</v>
      </c>
      <c r="V248" t="s">
        <v>38</v>
      </c>
      <c r="W248">
        <v>3</v>
      </c>
      <c r="X248" t="s">
        <v>39</v>
      </c>
      <c r="Y248">
        <v>1</v>
      </c>
      <c r="Z248" t="s">
        <v>51</v>
      </c>
      <c r="AA248" t="s">
        <v>40</v>
      </c>
      <c r="AB248">
        <v>1</v>
      </c>
    </row>
    <row r="249" spans="1:28" x14ac:dyDescent="0.3">
      <c r="A249">
        <v>248</v>
      </c>
      <c r="B249" t="s">
        <v>26</v>
      </c>
      <c r="C249" t="s">
        <v>52</v>
      </c>
      <c r="D249" t="s">
        <v>53</v>
      </c>
      <c r="E249">
        <v>6</v>
      </c>
      <c r="F249" t="s">
        <v>81</v>
      </c>
      <c r="G249" t="s">
        <v>63</v>
      </c>
      <c r="H249">
        <v>1204</v>
      </c>
      <c r="I249" t="s">
        <v>79</v>
      </c>
      <c r="J249" t="s">
        <v>80</v>
      </c>
      <c r="K249" t="s">
        <v>47</v>
      </c>
      <c r="L249" t="s">
        <v>48</v>
      </c>
      <c r="M249">
        <v>4</v>
      </c>
      <c r="N249" t="s">
        <v>34</v>
      </c>
      <c r="O249" t="s">
        <v>35</v>
      </c>
      <c r="P249" t="s">
        <v>36</v>
      </c>
      <c r="Q249">
        <v>1</v>
      </c>
      <c r="R249" t="s">
        <v>64</v>
      </c>
      <c r="S249">
        <v>35</v>
      </c>
      <c r="T249" t="s">
        <v>98</v>
      </c>
      <c r="U249" t="s">
        <v>82</v>
      </c>
      <c r="V249" t="s">
        <v>69</v>
      </c>
      <c r="W249">
        <v>1</v>
      </c>
      <c r="X249" t="s">
        <v>39</v>
      </c>
      <c r="Y249">
        <v>1</v>
      </c>
      <c r="Z249" t="s">
        <v>51</v>
      </c>
      <c r="AA249" t="s">
        <v>51</v>
      </c>
      <c r="AB249">
        <v>1</v>
      </c>
    </row>
    <row r="250" spans="1:28" x14ac:dyDescent="0.3">
      <c r="A250">
        <v>249</v>
      </c>
      <c r="B250" t="s">
        <v>26</v>
      </c>
      <c r="C250" t="s">
        <v>83</v>
      </c>
      <c r="D250" t="s">
        <v>84</v>
      </c>
      <c r="E250">
        <v>24</v>
      </c>
      <c r="F250" t="s">
        <v>44</v>
      </c>
      <c r="G250" t="s">
        <v>58</v>
      </c>
      <c r="H250">
        <v>1925</v>
      </c>
      <c r="I250" t="s">
        <v>45</v>
      </c>
      <c r="J250" t="s">
        <v>46</v>
      </c>
      <c r="K250" t="s">
        <v>47</v>
      </c>
      <c r="L250" t="s">
        <v>48</v>
      </c>
      <c r="M250">
        <v>2</v>
      </c>
      <c r="N250" t="s">
        <v>34</v>
      </c>
      <c r="O250" t="s">
        <v>35</v>
      </c>
      <c r="P250" t="s">
        <v>36</v>
      </c>
      <c r="Q250">
        <v>2</v>
      </c>
      <c r="R250" t="s">
        <v>37</v>
      </c>
      <c r="S250">
        <v>26</v>
      </c>
      <c r="T250" t="s">
        <v>98</v>
      </c>
      <c r="U250" t="s">
        <v>36</v>
      </c>
      <c r="V250" t="s">
        <v>38</v>
      </c>
      <c r="W250">
        <v>1</v>
      </c>
      <c r="X250" t="s">
        <v>39</v>
      </c>
      <c r="Y250">
        <v>1</v>
      </c>
      <c r="Z250" t="s">
        <v>51</v>
      </c>
      <c r="AA250" t="s">
        <v>40</v>
      </c>
      <c r="AB250">
        <v>1</v>
      </c>
    </row>
    <row r="251" spans="1:28" x14ac:dyDescent="0.3">
      <c r="A251">
        <v>250</v>
      </c>
      <c r="B251" t="s">
        <v>41</v>
      </c>
      <c r="C251" t="s">
        <v>52</v>
      </c>
      <c r="D251" t="s">
        <v>53</v>
      </c>
      <c r="E251">
        <v>18</v>
      </c>
      <c r="F251" t="s">
        <v>44</v>
      </c>
      <c r="G251" t="s">
        <v>30</v>
      </c>
      <c r="H251">
        <v>433</v>
      </c>
      <c r="I251" t="s">
        <v>45</v>
      </c>
      <c r="J251" t="s">
        <v>46</v>
      </c>
      <c r="K251" t="s">
        <v>74</v>
      </c>
      <c r="L251" t="s">
        <v>74</v>
      </c>
      <c r="M251">
        <v>3</v>
      </c>
      <c r="N251" t="s">
        <v>49</v>
      </c>
      <c r="O251" t="s">
        <v>50</v>
      </c>
      <c r="P251" t="s">
        <v>87</v>
      </c>
      <c r="Q251">
        <v>4</v>
      </c>
      <c r="R251" t="s">
        <v>37</v>
      </c>
      <c r="S251">
        <v>22</v>
      </c>
      <c r="T251" t="s">
        <v>96</v>
      </c>
      <c r="U251" t="s">
        <v>36</v>
      </c>
      <c r="V251" t="s">
        <v>69</v>
      </c>
      <c r="W251">
        <v>1</v>
      </c>
      <c r="X251" t="s">
        <v>39</v>
      </c>
      <c r="Y251">
        <v>1</v>
      </c>
      <c r="Z251" t="s">
        <v>51</v>
      </c>
      <c r="AA251" t="s">
        <v>40</v>
      </c>
      <c r="AB251">
        <v>2</v>
      </c>
    </row>
    <row r="252" spans="1:28" x14ac:dyDescent="0.3">
      <c r="A252">
        <v>251</v>
      </c>
      <c r="B252" t="s">
        <v>26</v>
      </c>
      <c r="C252" t="s">
        <v>27</v>
      </c>
      <c r="D252" t="s">
        <v>28</v>
      </c>
      <c r="E252">
        <v>6</v>
      </c>
      <c r="F252" t="s">
        <v>29</v>
      </c>
      <c r="G252" t="s">
        <v>63</v>
      </c>
      <c r="H252">
        <v>666</v>
      </c>
      <c r="I252" t="s">
        <v>71</v>
      </c>
      <c r="J252" t="s">
        <v>72</v>
      </c>
      <c r="K252" t="s">
        <v>55</v>
      </c>
      <c r="L252" t="s">
        <v>56</v>
      </c>
      <c r="M252">
        <v>3</v>
      </c>
      <c r="N252" t="s">
        <v>49</v>
      </c>
      <c r="O252" t="s">
        <v>50</v>
      </c>
      <c r="P252" t="s">
        <v>36</v>
      </c>
      <c r="Q252">
        <v>4</v>
      </c>
      <c r="R252" t="s">
        <v>37</v>
      </c>
      <c r="S252">
        <v>39</v>
      </c>
      <c r="T252" t="s">
        <v>98</v>
      </c>
      <c r="U252" t="s">
        <v>36</v>
      </c>
      <c r="V252" t="s">
        <v>38</v>
      </c>
      <c r="W252">
        <v>2</v>
      </c>
      <c r="X252" t="s">
        <v>57</v>
      </c>
      <c r="Y252">
        <v>1</v>
      </c>
      <c r="Z252" t="s">
        <v>40</v>
      </c>
      <c r="AA252" t="s">
        <v>40</v>
      </c>
      <c r="AB252">
        <v>1</v>
      </c>
    </row>
    <row r="253" spans="1:28" x14ac:dyDescent="0.3">
      <c r="A253">
        <v>252</v>
      </c>
      <c r="B253" t="s">
        <v>26</v>
      </c>
      <c r="C253" t="s">
        <v>83</v>
      </c>
      <c r="D253" t="s">
        <v>84</v>
      </c>
      <c r="E253">
        <v>12</v>
      </c>
      <c r="F253" t="s">
        <v>44</v>
      </c>
      <c r="G253" t="s">
        <v>58</v>
      </c>
      <c r="H253">
        <v>2251</v>
      </c>
      <c r="I253" t="s">
        <v>45</v>
      </c>
      <c r="J253" t="s">
        <v>46</v>
      </c>
      <c r="K253" t="s">
        <v>47</v>
      </c>
      <c r="L253" t="s">
        <v>48</v>
      </c>
      <c r="M253">
        <v>1</v>
      </c>
      <c r="N253" t="s">
        <v>49</v>
      </c>
      <c r="O253" t="s">
        <v>50</v>
      </c>
      <c r="P253" t="s">
        <v>36</v>
      </c>
      <c r="Q253">
        <v>2</v>
      </c>
      <c r="R253" t="s">
        <v>68</v>
      </c>
      <c r="S253">
        <v>46</v>
      </c>
      <c r="T253" t="s">
        <v>97</v>
      </c>
      <c r="U253" t="s">
        <v>36</v>
      </c>
      <c r="V253" t="s">
        <v>38</v>
      </c>
      <c r="W253">
        <v>1</v>
      </c>
      <c r="X253" t="s">
        <v>57</v>
      </c>
      <c r="Y253">
        <v>1</v>
      </c>
      <c r="Z253" t="s">
        <v>51</v>
      </c>
      <c r="AA253" t="s">
        <v>40</v>
      </c>
      <c r="AB253">
        <v>1</v>
      </c>
    </row>
    <row r="254" spans="1:28" x14ac:dyDescent="0.3">
      <c r="A254">
        <v>253</v>
      </c>
      <c r="B254" t="s">
        <v>41</v>
      </c>
      <c r="C254" t="s">
        <v>42</v>
      </c>
      <c r="D254" t="s">
        <v>43</v>
      </c>
      <c r="E254">
        <v>30</v>
      </c>
      <c r="F254" t="s">
        <v>44</v>
      </c>
      <c r="G254" t="s">
        <v>63</v>
      </c>
      <c r="H254">
        <v>2150</v>
      </c>
      <c r="I254" t="s">
        <v>45</v>
      </c>
      <c r="J254" t="s">
        <v>46</v>
      </c>
      <c r="K254" t="s">
        <v>47</v>
      </c>
      <c r="L254" t="s">
        <v>48</v>
      </c>
      <c r="M254">
        <v>4</v>
      </c>
      <c r="N254" t="s">
        <v>49</v>
      </c>
      <c r="O254" t="s">
        <v>50</v>
      </c>
      <c r="P254" t="s">
        <v>59</v>
      </c>
      <c r="Q254">
        <v>2</v>
      </c>
      <c r="R254" t="s">
        <v>64</v>
      </c>
      <c r="S254">
        <v>24</v>
      </c>
      <c r="T254" t="s">
        <v>96</v>
      </c>
      <c r="U254" t="s">
        <v>82</v>
      </c>
      <c r="V254" t="s">
        <v>38</v>
      </c>
      <c r="W254">
        <v>1</v>
      </c>
      <c r="X254" t="s">
        <v>39</v>
      </c>
      <c r="Y254">
        <v>1</v>
      </c>
      <c r="Z254" t="s">
        <v>51</v>
      </c>
      <c r="AA254" t="s">
        <v>40</v>
      </c>
      <c r="AB254">
        <v>2</v>
      </c>
    </row>
    <row r="255" spans="1:28" x14ac:dyDescent="0.3">
      <c r="A255">
        <v>254</v>
      </c>
      <c r="B255" t="s">
        <v>26</v>
      </c>
      <c r="C255" t="s">
        <v>52</v>
      </c>
      <c r="D255" t="s">
        <v>53</v>
      </c>
      <c r="E255">
        <v>24</v>
      </c>
      <c r="F255" t="s">
        <v>62</v>
      </c>
      <c r="G255" t="s">
        <v>58</v>
      </c>
      <c r="H255">
        <v>4151</v>
      </c>
      <c r="I255" t="s">
        <v>79</v>
      </c>
      <c r="J255" t="s">
        <v>80</v>
      </c>
      <c r="K255" t="s">
        <v>47</v>
      </c>
      <c r="L255" t="s">
        <v>48</v>
      </c>
      <c r="M255">
        <v>2</v>
      </c>
      <c r="N255" t="s">
        <v>34</v>
      </c>
      <c r="O255" t="s">
        <v>35</v>
      </c>
      <c r="P255" t="s">
        <v>36</v>
      </c>
      <c r="Q255">
        <v>3</v>
      </c>
      <c r="R255" t="s">
        <v>60</v>
      </c>
      <c r="S255">
        <v>35</v>
      </c>
      <c r="T255" t="s">
        <v>98</v>
      </c>
      <c r="U255" t="s">
        <v>36</v>
      </c>
      <c r="V255" t="s">
        <v>38</v>
      </c>
      <c r="W255">
        <v>2</v>
      </c>
      <c r="X255" t="s">
        <v>39</v>
      </c>
      <c r="Y255">
        <v>1</v>
      </c>
      <c r="Z255" t="s">
        <v>51</v>
      </c>
      <c r="AA255" t="s">
        <v>40</v>
      </c>
      <c r="AB255">
        <v>1</v>
      </c>
    </row>
    <row r="256" spans="1:28" x14ac:dyDescent="0.3">
      <c r="A256">
        <v>255</v>
      </c>
      <c r="B256" t="s">
        <v>26</v>
      </c>
      <c r="C256" t="s">
        <v>42</v>
      </c>
      <c r="D256" t="s">
        <v>43</v>
      </c>
      <c r="E256">
        <v>9</v>
      </c>
      <c r="F256" t="s">
        <v>44</v>
      </c>
      <c r="G256" t="s">
        <v>58</v>
      </c>
      <c r="H256">
        <v>2030</v>
      </c>
      <c r="I256" t="s">
        <v>31</v>
      </c>
      <c r="J256" t="s">
        <v>31</v>
      </c>
      <c r="K256" t="s">
        <v>55</v>
      </c>
      <c r="L256" t="s">
        <v>56</v>
      </c>
      <c r="M256">
        <v>2</v>
      </c>
      <c r="N256" t="s">
        <v>34</v>
      </c>
      <c r="O256" t="s">
        <v>35</v>
      </c>
      <c r="P256" t="s">
        <v>36</v>
      </c>
      <c r="Q256">
        <v>1</v>
      </c>
      <c r="R256" t="s">
        <v>68</v>
      </c>
      <c r="S256">
        <v>24</v>
      </c>
      <c r="T256" t="s">
        <v>96</v>
      </c>
      <c r="U256" t="s">
        <v>36</v>
      </c>
      <c r="V256" t="s">
        <v>38</v>
      </c>
      <c r="W256">
        <v>1</v>
      </c>
      <c r="X256" t="s">
        <v>39</v>
      </c>
      <c r="Y256">
        <v>1</v>
      </c>
      <c r="Z256" t="s">
        <v>40</v>
      </c>
      <c r="AA256" t="s">
        <v>40</v>
      </c>
      <c r="AB256">
        <v>1</v>
      </c>
    </row>
    <row r="257" spans="1:28" x14ac:dyDescent="0.3">
      <c r="A257">
        <v>256</v>
      </c>
      <c r="B257" t="s">
        <v>26</v>
      </c>
      <c r="C257" t="s">
        <v>42</v>
      </c>
      <c r="D257" t="s">
        <v>43</v>
      </c>
      <c r="E257">
        <v>60</v>
      </c>
      <c r="F257" t="s">
        <v>62</v>
      </c>
      <c r="G257" t="s">
        <v>30</v>
      </c>
      <c r="H257">
        <v>7418</v>
      </c>
      <c r="I257" t="s">
        <v>31</v>
      </c>
      <c r="J257" t="s">
        <v>31</v>
      </c>
      <c r="K257" t="s">
        <v>47</v>
      </c>
      <c r="L257" t="s">
        <v>48</v>
      </c>
      <c r="M257">
        <v>1</v>
      </c>
      <c r="N257" t="s">
        <v>34</v>
      </c>
      <c r="O257" t="s">
        <v>35</v>
      </c>
      <c r="P257" t="s">
        <v>36</v>
      </c>
      <c r="Q257">
        <v>1</v>
      </c>
      <c r="R257" t="s">
        <v>37</v>
      </c>
      <c r="S257">
        <v>27</v>
      </c>
      <c r="T257" t="s">
        <v>98</v>
      </c>
      <c r="U257" t="s">
        <v>36</v>
      </c>
      <c r="V257" t="s">
        <v>38</v>
      </c>
      <c r="W257">
        <v>1</v>
      </c>
      <c r="X257" t="s">
        <v>57</v>
      </c>
      <c r="Y257">
        <v>1</v>
      </c>
      <c r="Z257" t="s">
        <v>51</v>
      </c>
      <c r="AA257" t="s">
        <v>40</v>
      </c>
      <c r="AB257">
        <v>1</v>
      </c>
    </row>
    <row r="258" spans="1:28" x14ac:dyDescent="0.3">
      <c r="A258">
        <v>257</v>
      </c>
      <c r="B258" t="s">
        <v>26</v>
      </c>
      <c r="C258" t="s">
        <v>52</v>
      </c>
      <c r="D258" t="s">
        <v>53</v>
      </c>
      <c r="E258">
        <v>24</v>
      </c>
      <c r="F258" t="s">
        <v>29</v>
      </c>
      <c r="G258" t="s">
        <v>30</v>
      </c>
      <c r="H258">
        <v>2684</v>
      </c>
      <c r="I258" t="s">
        <v>45</v>
      </c>
      <c r="J258" t="s">
        <v>46</v>
      </c>
      <c r="K258" t="s">
        <v>47</v>
      </c>
      <c r="L258" t="s">
        <v>48</v>
      </c>
      <c r="M258">
        <v>4</v>
      </c>
      <c r="N258" t="s">
        <v>34</v>
      </c>
      <c r="O258" t="s">
        <v>35</v>
      </c>
      <c r="P258" t="s">
        <v>36</v>
      </c>
      <c r="Q258">
        <v>2</v>
      </c>
      <c r="R258" t="s">
        <v>37</v>
      </c>
      <c r="S258">
        <v>35</v>
      </c>
      <c r="T258" t="s">
        <v>98</v>
      </c>
      <c r="U258" t="s">
        <v>36</v>
      </c>
      <c r="V258" t="s">
        <v>38</v>
      </c>
      <c r="W258">
        <v>2</v>
      </c>
      <c r="X258" t="s">
        <v>57</v>
      </c>
      <c r="Y258">
        <v>1</v>
      </c>
      <c r="Z258" t="s">
        <v>51</v>
      </c>
      <c r="AA258" t="s">
        <v>40</v>
      </c>
      <c r="AB258">
        <v>1</v>
      </c>
    </row>
    <row r="259" spans="1:28" x14ac:dyDescent="0.3">
      <c r="A259">
        <v>258</v>
      </c>
      <c r="B259" t="s">
        <v>41</v>
      </c>
      <c r="C259" t="s">
        <v>27</v>
      </c>
      <c r="D259" t="s">
        <v>28</v>
      </c>
      <c r="E259">
        <v>12</v>
      </c>
      <c r="F259" t="s">
        <v>85</v>
      </c>
      <c r="G259" t="s">
        <v>30</v>
      </c>
      <c r="H259">
        <v>2149</v>
      </c>
      <c r="I259" t="s">
        <v>45</v>
      </c>
      <c r="J259" t="s">
        <v>46</v>
      </c>
      <c r="K259" t="s">
        <v>47</v>
      </c>
      <c r="L259" t="s">
        <v>48</v>
      </c>
      <c r="M259">
        <v>4</v>
      </c>
      <c r="N259" t="s">
        <v>34</v>
      </c>
      <c r="O259" t="s">
        <v>73</v>
      </c>
      <c r="P259" t="s">
        <v>36</v>
      </c>
      <c r="Q259">
        <v>1</v>
      </c>
      <c r="R259" t="s">
        <v>64</v>
      </c>
      <c r="S259">
        <v>29</v>
      </c>
      <c r="T259" t="s">
        <v>98</v>
      </c>
      <c r="U259" t="s">
        <v>36</v>
      </c>
      <c r="V259" t="s">
        <v>61</v>
      </c>
      <c r="W259">
        <v>1</v>
      </c>
      <c r="X259" t="s">
        <v>39</v>
      </c>
      <c r="Y259">
        <v>1</v>
      </c>
      <c r="Z259" t="s">
        <v>51</v>
      </c>
      <c r="AA259" t="s">
        <v>40</v>
      </c>
      <c r="AB259">
        <v>2</v>
      </c>
    </row>
    <row r="260" spans="1:28" x14ac:dyDescent="0.3">
      <c r="A260">
        <v>259</v>
      </c>
      <c r="B260" t="s">
        <v>26</v>
      </c>
      <c r="C260" t="s">
        <v>52</v>
      </c>
      <c r="D260" t="s">
        <v>53</v>
      </c>
      <c r="E260">
        <v>15</v>
      </c>
      <c r="F260" t="s">
        <v>44</v>
      </c>
      <c r="G260" t="s">
        <v>67</v>
      </c>
      <c r="H260">
        <v>3812</v>
      </c>
      <c r="I260" t="s">
        <v>79</v>
      </c>
      <c r="J260" t="s">
        <v>80</v>
      </c>
      <c r="K260" t="s">
        <v>76</v>
      </c>
      <c r="L260" t="s">
        <v>77</v>
      </c>
      <c r="M260">
        <v>1</v>
      </c>
      <c r="N260" t="s">
        <v>49</v>
      </c>
      <c r="O260" t="s">
        <v>50</v>
      </c>
      <c r="P260" t="s">
        <v>36</v>
      </c>
      <c r="Q260">
        <v>4</v>
      </c>
      <c r="R260" t="s">
        <v>68</v>
      </c>
      <c r="S260">
        <v>23</v>
      </c>
      <c r="T260" t="s">
        <v>96</v>
      </c>
      <c r="U260" t="s">
        <v>36</v>
      </c>
      <c r="V260" t="s">
        <v>38</v>
      </c>
      <c r="W260">
        <v>1</v>
      </c>
      <c r="X260" t="s">
        <v>39</v>
      </c>
      <c r="Y260">
        <v>1</v>
      </c>
      <c r="Z260" t="s">
        <v>40</v>
      </c>
      <c r="AA260" t="s">
        <v>40</v>
      </c>
      <c r="AB260">
        <v>1</v>
      </c>
    </row>
    <row r="261" spans="1:28" x14ac:dyDescent="0.3">
      <c r="A261">
        <v>260</v>
      </c>
      <c r="B261" t="s">
        <v>26</v>
      </c>
      <c r="C261" t="s">
        <v>52</v>
      </c>
      <c r="D261" t="s">
        <v>53</v>
      </c>
      <c r="E261">
        <v>11</v>
      </c>
      <c r="F261" t="s">
        <v>29</v>
      </c>
      <c r="G261" t="s">
        <v>30</v>
      </c>
      <c r="H261">
        <v>1154</v>
      </c>
      <c r="I261" t="s">
        <v>79</v>
      </c>
      <c r="J261" t="s">
        <v>80</v>
      </c>
      <c r="K261" t="s">
        <v>74</v>
      </c>
      <c r="L261" t="s">
        <v>74</v>
      </c>
      <c r="M261">
        <v>4</v>
      </c>
      <c r="N261" t="s">
        <v>49</v>
      </c>
      <c r="O261" t="s">
        <v>50</v>
      </c>
      <c r="P261" t="s">
        <v>36</v>
      </c>
      <c r="Q261">
        <v>4</v>
      </c>
      <c r="R261" t="s">
        <v>37</v>
      </c>
      <c r="S261">
        <v>57</v>
      </c>
      <c r="T261" t="s">
        <v>97</v>
      </c>
      <c r="U261" t="s">
        <v>36</v>
      </c>
      <c r="V261" t="s">
        <v>38</v>
      </c>
      <c r="W261">
        <v>3</v>
      </c>
      <c r="X261" t="s">
        <v>57</v>
      </c>
      <c r="Y261">
        <v>1</v>
      </c>
      <c r="Z261" t="s">
        <v>51</v>
      </c>
      <c r="AA261" t="s">
        <v>40</v>
      </c>
      <c r="AB261">
        <v>1</v>
      </c>
    </row>
    <row r="262" spans="1:28" x14ac:dyDescent="0.3">
      <c r="A262">
        <v>261</v>
      </c>
      <c r="B262" t="s">
        <v>26</v>
      </c>
      <c r="C262" t="s">
        <v>27</v>
      </c>
      <c r="D262" t="s">
        <v>28</v>
      </c>
      <c r="E262">
        <v>12</v>
      </c>
      <c r="F262" t="s">
        <v>44</v>
      </c>
      <c r="G262" t="s">
        <v>58</v>
      </c>
      <c r="H262">
        <v>1657</v>
      </c>
      <c r="I262" t="s">
        <v>45</v>
      </c>
      <c r="J262" t="s">
        <v>46</v>
      </c>
      <c r="K262" t="s">
        <v>47</v>
      </c>
      <c r="L262" t="s">
        <v>48</v>
      </c>
      <c r="M262">
        <v>2</v>
      </c>
      <c r="N262" t="s">
        <v>34</v>
      </c>
      <c r="O262" t="s">
        <v>35</v>
      </c>
      <c r="P262" t="s">
        <v>36</v>
      </c>
      <c r="Q262">
        <v>2</v>
      </c>
      <c r="R262" t="s">
        <v>37</v>
      </c>
      <c r="S262">
        <v>27</v>
      </c>
      <c r="T262" t="s">
        <v>98</v>
      </c>
      <c r="U262" t="s">
        <v>36</v>
      </c>
      <c r="V262" t="s">
        <v>38</v>
      </c>
      <c r="W262">
        <v>1</v>
      </c>
      <c r="X262" t="s">
        <v>39</v>
      </c>
      <c r="Y262">
        <v>1</v>
      </c>
      <c r="Z262" t="s">
        <v>51</v>
      </c>
      <c r="AA262" t="s">
        <v>40</v>
      </c>
      <c r="AB262">
        <v>1</v>
      </c>
    </row>
    <row r="263" spans="1:28" x14ac:dyDescent="0.3">
      <c r="A263">
        <v>262</v>
      </c>
      <c r="B263" t="s">
        <v>26</v>
      </c>
      <c r="C263" t="s">
        <v>27</v>
      </c>
      <c r="D263" t="s">
        <v>28</v>
      </c>
      <c r="E263">
        <v>24</v>
      </c>
      <c r="F263" t="s">
        <v>44</v>
      </c>
      <c r="G263" t="s">
        <v>30</v>
      </c>
      <c r="H263">
        <v>1603</v>
      </c>
      <c r="I263" t="s">
        <v>45</v>
      </c>
      <c r="J263" t="s">
        <v>46</v>
      </c>
      <c r="K263" t="s">
        <v>32</v>
      </c>
      <c r="L263" t="s">
        <v>33</v>
      </c>
      <c r="M263">
        <v>4</v>
      </c>
      <c r="N263" t="s">
        <v>49</v>
      </c>
      <c r="O263" t="s">
        <v>50</v>
      </c>
      <c r="P263" t="s">
        <v>36</v>
      </c>
      <c r="Q263">
        <v>4</v>
      </c>
      <c r="R263" t="s">
        <v>68</v>
      </c>
      <c r="S263">
        <v>55</v>
      </c>
      <c r="T263" t="s">
        <v>97</v>
      </c>
      <c r="U263" t="s">
        <v>36</v>
      </c>
      <c r="V263" t="s">
        <v>38</v>
      </c>
      <c r="W263">
        <v>1</v>
      </c>
      <c r="X263" t="s">
        <v>39</v>
      </c>
      <c r="Y263">
        <v>1</v>
      </c>
      <c r="Z263" t="s">
        <v>51</v>
      </c>
      <c r="AA263" t="s">
        <v>40</v>
      </c>
      <c r="AB263">
        <v>1</v>
      </c>
    </row>
    <row r="264" spans="1:28" x14ac:dyDescent="0.3">
      <c r="A264">
        <v>263</v>
      </c>
      <c r="B264" t="s">
        <v>26</v>
      </c>
      <c r="C264" t="s">
        <v>27</v>
      </c>
      <c r="D264" t="s">
        <v>28</v>
      </c>
      <c r="E264">
        <v>18</v>
      </c>
      <c r="F264" t="s">
        <v>29</v>
      </c>
      <c r="G264" t="s">
        <v>63</v>
      </c>
      <c r="H264">
        <v>5302</v>
      </c>
      <c r="I264" t="s">
        <v>45</v>
      </c>
      <c r="J264" t="s">
        <v>46</v>
      </c>
      <c r="K264" t="s">
        <v>32</v>
      </c>
      <c r="L264" t="s">
        <v>33</v>
      </c>
      <c r="M264">
        <v>2</v>
      </c>
      <c r="N264" t="s">
        <v>34</v>
      </c>
      <c r="O264" t="s">
        <v>35</v>
      </c>
      <c r="P264" t="s">
        <v>36</v>
      </c>
      <c r="Q264">
        <v>4</v>
      </c>
      <c r="R264" t="s">
        <v>64</v>
      </c>
      <c r="S264">
        <v>36</v>
      </c>
      <c r="T264" t="s">
        <v>98</v>
      </c>
      <c r="U264" t="s">
        <v>36</v>
      </c>
      <c r="V264" t="s">
        <v>61</v>
      </c>
      <c r="W264">
        <v>3</v>
      </c>
      <c r="X264" t="s">
        <v>70</v>
      </c>
      <c r="Y264">
        <v>1</v>
      </c>
      <c r="Z264" t="s">
        <v>40</v>
      </c>
      <c r="AA264" t="s">
        <v>40</v>
      </c>
      <c r="AB264">
        <v>1</v>
      </c>
    </row>
    <row r="265" spans="1:28" x14ac:dyDescent="0.3">
      <c r="A265">
        <v>264</v>
      </c>
      <c r="B265" t="s">
        <v>26</v>
      </c>
      <c r="C265" t="s">
        <v>52</v>
      </c>
      <c r="D265" t="s">
        <v>53</v>
      </c>
      <c r="E265">
        <v>12</v>
      </c>
      <c r="F265" t="s">
        <v>29</v>
      </c>
      <c r="G265" t="s">
        <v>54</v>
      </c>
      <c r="H265">
        <v>2748</v>
      </c>
      <c r="I265" t="s">
        <v>45</v>
      </c>
      <c r="J265" t="s">
        <v>46</v>
      </c>
      <c r="K265" t="s">
        <v>32</v>
      </c>
      <c r="L265" t="s">
        <v>33</v>
      </c>
      <c r="M265">
        <v>2</v>
      </c>
      <c r="N265" t="s">
        <v>49</v>
      </c>
      <c r="O265" t="s">
        <v>50</v>
      </c>
      <c r="P265" t="s">
        <v>36</v>
      </c>
      <c r="Q265">
        <v>4</v>
      </c>
      <c r="R265" t="s">
        <v>64</v>
      </c>
      <c r="S265">
        <v>57</v>
      </c>
      <c r="T265" t="s">
        <v>97</v>
      </c>
      <c r="U265" t="s">
        <v>82</v>
      </c>
      <c r="V265" t="s">
        <v>61</v>
      </c>
      <c r="W265">
        <v>3</v>
      </c>
      <c r="X265" t="s">
        <v>57</v>
      </c>
      <c r="Y265">
        <v>1</v>
      </c>
      <c r="Z265" t="s">
        <v>51</v>
      </c>
      <c r="AA265" t="s">
        <v>40</v>
      </c>
      <c r="AB265">
        <v>1</v>
      </c>
    </row>
    <row r="266" spans="1:28" x14ac:dyDescent="0.3">
      <c r="A266">
        <v>265</v>
      </c>
      <c r="B266" t="s">
        <v>26</v>
      </c>
      <c r="C266" t="s">
        <v>52</v>
      </c>
      <c r="D266" t="s">
        <v>53</v>
      </c>
      <c r="E266">
        <v>10</v>
      </c>
      <c r="F266" t="s">
        <v>29</v>
      </c>
      <c r="G266" t="s">
        <v>63</v>
      </c>
      <c r="H266">
        <v>1231</v>
      </c>
      <c r="I266" t="s">
        <v>45</v>
      </c>
      <c r="J266" t="s">
        <v>46</v>
      </c>
      <c r="K266" t="s">
        <v>32</v>
      </c>
      <c r="L266" t="s">
        <v>33</v>
      </c>
      <c r="M266">
        <v>3</v>
      </c>
      <c r="N266" t="s">
        <v>34</v>
      </c>
      <c r="O266" t="s">
        <v>35</v>
      </c>
      <c r="P266" t="s">
        <v>36</v>
      </c>
      <c r="Q266">
        <v>4</v>
      </c>
      <c r="R266" t="s">
        <v>37</v>
      </c>
      <c r="S266">
        <v>32</v>
      </c>
      <c r="T266" t="s">
        <v>98</v>
      </c>
      <c r="U266" t="s">
        <v>36</v>
      </c>
      <c r="V266" t="s">
        <v>38</v>
      </c>
      <c r="W266">
        <v>2</v>
      </c>
      <c r="X266" t="s">
        <v>57</v>
      </c>
      <c r="Y266">
        <v>2</v>
      </c>
      <c r="Z266" t="s">
        <v>51</v>
      </c>
      <c r="AA266" t="s">
        <v>51</v>
      </c>
      <c r="AB266">
        <v>1</v>
      </c>
    </row>
    <row r="267" spans="1:28" x14ac:dyDescent="0.3">
      <c r="A267">
        <v>266</v>
      </c>
      <c r="B267" t="s">
        <v>41</v>
      </c>
      <c r="C267" t="s">
        <v>42</v>
      </c>
      <c r="D267" t="s">
        <v>43</v>
      </c>
      <c r="E267">
        <v>15</v>
      </c>
      <c r="F267" t="s">
        <v>44</v>
      </c>
      <c r="G267" t="s">
        <v>30</v>
      </c>
      <c r="H267">
        <v>802</v>
      </c>
      <c r="I267" t="s">
        <v>45</v>
      </c>
      <c r="J267" t="s">
        <v>46</v>
      </c>
      <c r="K267" t="s">
        <v>32</v>
      </c>
      <c r="L267" t="s">
        <v>33</v>
      </c>
      <c r="M267">
        <v>4</v>
      </c>
      <c r="N267" t="s">
        <v>34</v>
      </c>
      <c r="O267" t="s">
        <v>35</v>
      </c>
      <c r="P267" t="s">
        <v>36</v>
      </c>
      <c r="Q267">
        <v>3</v>
      </c>
      <c r="R267" t="s">
        <v>68</v>
      </c>
      <c r="S267">
        <v>37</v>
      </c>
      <c r="T267" t="s">
        <v>98</v>
      </c>
      <c r="U267" t="s">
        <v>36</v>
      </c>
      <c r="V267" t="s">
        <v>38</v>
      </c>
      <c r="W267">
        <v>1</v>
      </c>
      <c r="X267" t="s">
        <v>39</v>
      </c>
      <c r="Y267">
        <v>2</v>
      </c>
      <c r="Z267" t="s">
        <v>51</v>
      </c>
      <c r="AA267" t="s">
        <v>40</v>
      </c>
      <c r="AB267">
        <v>2</v>
      </c>
    </row>
    <row r="268" spans="1:28" x14ac:dyDescent="0.3">
      <c r="A268">
        <v>267</v>
      </c>
      <c r="B268" t="s">
        <v>26</v>
      </c>
      <c r="C268" t="s">
        <v>52</v>
      </c>
      <c r="D268" t="s">
        <v>53</v>
      </c>
      <c r="E268">
        <v>36</v>
      </c>
      <c r="F268" t="s">
        <v>29</v>
      </c>
      <c r="G268" t="s">
        <v>78</v>
      </c>
      <c r="H268">
        <v>6304</v>
      </c>
      <c r="I268" t="s">
        <v>31</v>
      </c>
      <c r="J268" t="s">
        <v>31</v>
      </c>
      <c r="K268" t="s">
        <v>32</v>
      </c>
      <c r="L268" t="s">
        <v>33</v>
      </c>
      <c r="M268">
        <v>4</v>
      </c>
      <c r="N268" t="s">
        <v>34</v>
      </c>
      <c r="O268" t="s">
        <v>35</v>
      </c>
      <c r="P268" t="s">
        <v>36</v>
      </c>
      <c r="Q268">
        <v>4</v>
      </c>
      <c r="R268" t="s">
        <v>37</v>
      </c>
      <c r="S268">
        <v>36</v>
      </c>
      <c r="T268" t="s">
        <v>98</v>
      </c>
      <c r="U268" t="s">
        <v>36</v>
      </c>
      <c r="V268" t="s">
        <v>38</v>
      </c>
      <c r="W268">
        <v>2</v>
      </c>
      <c r="X268" t="s">
        <v>39</v>
      </c>
      <c r="Y268">
        <v>1</v>
      </c>
      <c r="Z268" t="s">
        <v>51</v>
      </c>
      <c r="AA268" t="s">
        <v>40</v>
      </c>
      <c r="AB268">
        <v>1</v>
      </c>
    </row>
    <row r="269" spans="1:28" x14ac:dyDescent="0.3">
      <c r="A269">
        <v>268</v>
      </c>
      <c r="B269" t="s">
        <v>26</v>
      </c>
      <c r="C269" t="s">
        <v>52</v>
      </c>
      <c r="D269" t="s">
        <v>53</v>
      </c>
      <c r="E269">
        <v>24</v>
      </c>
      <c r="F269" t="s">
        <v>44</v>
      </c>
      <c r="G269" t="s">
        <v>30</v>
      </c>
      <c r="H269">
        <v>1533</v>
      </c>
      <c r="I269" t="s">
        <v>45</v>
      </c>
      <c r="J269" t="s">
        <v>46</v>
      </c>
      <c r="K269" t="s">
        <v>76</v>
      </c>
      <c r="L269" t="s">
        <v>77</v>
      </c>
      <c r="M269">
        <v>4</v>
      </c>
      <c r="N269" t="s">
        <v>49</v>
      </c>
      <c r="O269" t="s">
        <v>50</v>
      </c>
      <c r="P269" t="s">
        <v>36</v>
      </c>
      <c r="Q269">
        <v>3</v>
      </c>
      <c r="R269" t="s">
        <v>68</v>
      </c>
      <c r="S269">
        <v>38</v>
      </c>
      <c r="T269" t="s">
        <v>98</v>
      </c>
      <c r="U269" t="s">
        <v>86</v>
      </c>
      <c r="V269" t="s">
        <v>38</v>
      </c>
      <c r="W269">
        <v>1</v>
      </c>
      <c r="X269" t="s">
        <v>39</v>
      </c>
      <c r="Y269">
        <v>1</v>
      </c>
      <c r="Z269" t="s">
        <v>40</v>
      </c>
      <c r="AA269" t="s">
        <v>40</v>
      </c>
      <c r="AB269">
        <v>1</v>
      </c>
    </row>
    <row r="270" spans="1:28" x14ac:dyDescent="0.3">
      <c r="A270">
        <v>269</v>
      </c>
      <c r="B270" t="s">
        <v>41</v>
      </c>
      <c r="C270" t="s">
        <v>27</v>
      </c>
      <c r="D270" t="s">
        <v>28</v>
      </c>
      <c r="E270">
        <v>14</v>
      </c>
      <c r="F270" t="s">
        <v>44</v>
      </c>
      <c r="G270" t="s">
        <v>63</v>
      </c>
      <c r="H270">
        <v>8978</v>
      </c>
      <c r="I270" t="s">
        <v>45</v>
      </c>
      <c r="J270" t="s">
        <v>46</v>
      </c>
      <c r="K270" t="s">
        <v>32</v>
      </c>
      <c r="L270" t="s">
        <v>33</v>
      </c>
      <c r="M270">
        <v>1</v>
      </c>
      <c r="N270" t="s">
        <v>34</v>
      </c>
      <c r="O270" t="s">
        <v>73</v>
      </c>
      <c r="P270" t="s">
        <v>36</v>
      </c>
      <c r="Q270">
        <v>4</v>
      </c>
      <c r="R270" t="s">
        <v>60</v>
      </c>
      <c r="S270">
        <v>45</v>
      </c>
      <c r="T270" t="s">
        <v>97</v>
      </c>
      <c r="U270" t="s">
        <v>36</v>
      </c>
      <c r="V270" t="s">
        <v>38</v>
      </c>
      <c r="W270">
        <v>1</v>
      </c>
      <c r="X270" t="s">
        <v>70</v>
      </c>
      <c r="Y270">
        <v>1</v>
      </c>
      <c r="Z270" t="s">
        <v>40</v>
      </c>
      <c r="AA270" t="s">
        <v>51</v>
      </c>
      <c r="AB270">
        <v>2</v>
      </c>
    </row>
    <row r="271" spans="1:28" x14ac:dyDescent="0.3">
      <c r="A271">
        <v>270</v>
      </c>
      <c r="B271" t="s">
        <v>26</v>
      </c>
      <c r="C271" t="s">
        <v>52</v>
      </c>
      <c r="D271" t="s">
        <v>53</v>
      </c>
      <c r="E271">
        <v>24</v>
      </c>
      <c r="F271" t="s">
        <v>44</v>
      </c>
      <c r="G271" t="s">
        <v>30</v>
      </c>
      <c r="H271">
        <v>999</v>
      </c>
      <c r="I271" t="s">
        <v>31</v>
      </c>
      <c r="J271" t="s">
        <v>31</v>
      </c>
      <c r="K271" t="s">
        <v>32</v>
      </c>
      <c r="L271" t="s">
        <v>33</v>
      </c>
      <c r="M271">
        <v>4</v>
      </c>
      <c r="N271" t="s">
        <v>34</v>
      </c>
      <c r="O271" t="s">
        <v>35</v>
      </c>
      <c r="P271" t="s">
        <v>36</v>
      </c>
      <c r="Q271">
        <v>2</v>
      </c>
      <c r="R271" t="s">
        <v>68</v>
      </c>
      <c r="S271">
        <v>25</v>
      </c>
      <c r="T271" t="s">
        <v>98</v>
      </c>
      <c r="U271" t="s">
        <v>36</v>
      </c>
      <c r="V271" t="s">
        <v>38</v>
      </c>
      <c r="W271">
        <v>2</v>
      </c>
      <c r="X271" t="s">
        <v>39</v>
      </c>
      <c r="Y271">
        <v>1</v>
      </c>
      <c r="Z271" t="s">
        <v>51</v>
      </c>
      <c r="AA271" t="s">
        <v>40</v>
      </c>
      <c r="AB271">
        <v>1</v>
      </c>
    </row>
    <row r="272" spans="1:28" x14ac:dyDescent="0.3">
      <c r="A272">
        <v>271</v>
      </c>
      <c r="B272" t="s">
        <v>26</v>
      </c>
      <c r="C272" t="s">
        <v>52</v>
      </c>
      <c r="D272" t="s">
        <v>53</v>
      </c>
      <c r="E272">
        <v>18</v>
      </c>
      <c r="F272" t="s">
        <v>44</v>
      </c>
      <c r="G272" t="s">
        <v>63</v>
      </c>
      <c r="H272">
        <v>2662</v>
      </c>
      <c r="I272" t="s">
        <v>31</v>
      </c>
      <c r="J272" t="s">
        <v>31</v>
      </c>
      <c r="K272" t="s">
        <v>55</v>
      </c>
      <c r="L272" t="s">
        <v>56</v>
      </c>
      <c r="M272">
        <v>4</v>
      </c>
      <c r="N272" t="s">
        <v>34</v>
      </c>
      <c r="O272" t="s">
        <v>35</v>
      </c>
      <c r="P272" t="s">
        <v>36</v>
      </c>
      <c r="Q272">
        <v>3</v>
      </c>
      <c r="R272" t="s">
        <v>60</v>
      </c>
      <c r="S272">
        <v>32</v>
      </c>
      <c r="T272" t="s">
        <v>98</v>
      </c>
      <c r="U272" t="s">
        <v>36</v>
      </c>
      <c r="V272" t="s">
        <v>38</v>
      </c>
      <c r="W272">
        <v>1</v>
      </c>
      <c r="X272" t="s">
        <v>39</v>
      </c>
      <c r="Y272">
        <v>1</v>
      </c>
      <c r="Z272" t="s">
        <v>51</v>
      </c>
      <c r="AA272" t="s">
        <v>51</v>
      </c>
      <c r="AB272">
        <v>1</v>
      </c>
    </row>
    <row r="273" spans="1:28" x14ac:dyDescent="0.3">
      <c r="A273">
        <v>272</v>
      </c>
      <c r="B273" t="s">
        <v>26</v>
      </c>
      <c r="C273" t="s">
        <v>52</v>
      </c>
      <c r="D273" t="s">
        <v>53</v>
      </c>
      <c r="E273">
        <v>12</v>
      </c>
      <c r="F273" t="s">
        <v>29</v>
      </c>
      <c r="G273" t="s">
        <v>58</v>
      </c>
      <c r="H273">
        <v>1402</v>
      </c>
      <c r="I273" t="s">
        <v>65</v>
      </c>
      <c r="J273" t="s">
        <v>66</v>
      </c>
      <c r="K273" t="s">
        <v>55</v>
      </c>
      <c r="L273" t="s">
        <v>56</v>
      </c>
      <c r="M273">
        <v>3</v>
      </c>
      <c r="N273" t="s">
        <v>49</v>
      </c>
      <c r="O273" t="s">
        <v>50</v>
      </c>
      <c r="P273" t="s">
        <v>36</v>
      </c>
      <c r="Q273">
        <v>4</v>
      </c>
      <c r="R273" t="s">
        <v>68</v>
      </c>
      <c r="S273">
        <v>37</v>
      </c>
      <c r="T273" t="s">
        <v>98</v>
      </c>
      <c r="U273" t="s">
        <v>36</v>
      </c>
      <c r="V273" t="s">
        <v>69</v>
      </c>
      <c r="W273">
        <v>1</v>
      </c>
      <c r="X273" t="s">
        <v>39</v>
      </c>
      <c r="Y273">
        <v>1</v>
      </c>
      <c r="Z273" t="s">
        <v>40</v>
      </c>
      <c r="AA273" t="s">
        <v>40</v>
      </c>
      <c r="AB273">
        <v>1</v>
      </c>
    </row>
    <row r="274" spans="1:28" x14ac:dyDescent="0.3">
      <c r="A274">
        <v>273</v>
      </c>
      <c r="B274" t="s">
        <v>26</v>
      </c>
      <c r="C274" t="s">
        <v>42</v>
      </c>
      <c r="D274" t="s">
        <v>43</v>
      </c>
      <c r="E274">
        <v>48</v>
      </c>
      <c r="F274" t="s">
        <v>85</v>
      </c>
      <c r="G274" t="s">
        <v>63</v>
      </c>
      <c r="H274">
        <v>12169</v>
      </c>
      <c r="I274" t="s">
        <v>31</v>
      </c>
      <c r="J274" t="s">
        <v>31</v>
      </c>
      <c r="K274" t="s">
        <v>74</v>
      </c>
      <c r="L274" t="s">
        <v>74</v>
      </c>
      <c r="M274">
        <v>4</v>
      </c>
      <c r="N274" t="s">
        <v>34</v>
      </c>
      <c r="O274" t="s">
        <v>35</v>
      </c>
      <c r="P274" t="s">
        <v>87</v>
      </c>
      <c r="Q274">
        <v>4</v>
      </c>
      <c r="R274" t="s">
        <v>64</v>
      </c>
      <c r="S274">
        <v>36</v>
      </c>
      <c r="T274" t="s">
        <v>98</v>
      </c>
      <c r="U274" t="s">
        <v>36</v>
      </c>
      <c r="V274" t="s">
        <v>61</v>
      </c>
      <c r="W274">
        <v>1</v>
      </c>
      <c r="X274" t="s">
        <v>70</v>
      </c>
      <c r="Y274">
        <v>1</v>
      </c>
      <c r="Z274" t="s">
        <v>40</v>
      </c>
      <c r="AA274" t="s">
        <v>40</v>
      </c>
      <c r="AB274">
        <v>1</v>
      </c>
    </row>
    <row r="275" spans="1:28" x14ac:dyDescent="0.3">
      <c r="A275">
        <v>274</v>
      </c>
      <c r="B275" t="s">
        <v>41</v>
      </c>
      <c r="C275" t="s">
        <v>42</v>
      </c>
      <c r="D275" t="s">
        <v>43</v>
      </c>
      <c r="E275">
        <v>48</v>
      </c>
      <c r="F275" t="s">
        <v>44</v>
      </c>
      <c r="G275" t="s">
        <v>30</v>
      </c>
      <c r="H275">
        <v>3060</v>
      </c>
      <c r="I275" t="s">
        <v>45</v>
      </c>
      <c r="J275" t="s">
        <v>46</v>
      </c>
      <c r="K275" t="s">
        <v>55</v>
      </c>
      <c r="L275" t="s">
        <v>56</v>
      </c>
      <c r="M275">
        <v>4</v>
      </c>
      <c r="N275" t="s">
        <v>34</v>
      </c>
      <c r="O275" t="s">
        <v>35</v>
      </c>
      <c r="P275" t="s">
        <v>36</v>
      </c>
      <c r="Q275">
        <v>4</v>
      </c>
      <c r="R275" t="s">
        <v>37</v>
      </c>
      <c r="S275">
        <v>28</v>
      </c>
      <c r="T275" t="s">
        <v>98</v>
      </c>
      <c r="U275" t="s">
        <v>36</v>
      </c>
      <c r="V275" t="s">
        <v>38</v>
      </c>
      <c r="W275">
        <v>2</v>
      </c>
      <c r="X275" t="s">
        <v>39</v>
      </c>
      <c r="Y275">
        <v>1</v>
      </c>
      <c r="Z275" t="s">
        <v>51</v>
      </c>
      <c r="AA275" t="s">
        <v>40</v>
      </c>
      <c r="AB275">
        <v>2</v>
      </c>
    </row>
    <row r="276" spans="1:28" x14ac:dyDescent="0.3">
      <c r="A276">
        <v>275</v>
      </c>
      <c r="B276" t="s">
        <v>41</v>
      </c>
      <c r="C276" t="s">
        <v>27</v>
      </c>
      <c r="D276" t="s">
        <v>28</v>
      </c>
      <c r="E276">
        <v>30</v>
      </c>
      <c r="F276" t="s">
        <v>44</v>
      </c>
      <c r="G276" t="s">
        <v>89</v>
      </c>
      <c r="H276">
        <v>11998</v>
      </c>
      <c r="I276" t="s">
        <v>45</v>
      </c>
      <c r="J276" t="s">
        <v>46</v>
      </c>
      <c r="K276" t="s">
        <v>76</v>
      </c>
      <c r="L276" t="s">
        <v>77</v>
      </c>
      <c r="M276">
        <v>1</v>
      </c>
      <c r="N276" t="s">
        <v>34</v>
      </c>
      <c r="O276" t="s">
        <v>73</v>
      </c>
      <c r="P276" t="s">
        <v>36</v>
      </c>
      <c r="Q276">
        <v>1</v>
      </c>
      <c r="R276" t="s">
        <v>64</v>
      </c>
      <c r="S276">
        <v>34</v>
      </c>
      <c r="T276" t="s">
        <v>98</v>
      </c>
      <c r="U276" t="s">
        <v>36</v>
      </c>
      <c r="V276" t="s">
        <v>38</v>
      </c>
      <c r="W276">
        <v>1</v>
      </c>
      <c r="X276" t="s">
        <v>57</v>
      </c>
      <c r="Y276">
        <v>1</v>
      </c>
      <c r="Z276" t="s">
        <v>40</v>
      </c>
      <c r="AA276" t="s">
        <v>40</v>
      </c>
      <c r="AB276">
        <v>2</v>
      </c>
    </row>
    <row r="277" spans="1:28" x14ac:dyDescent="0.3">
      <c r="A277">
        <v>276</v>
      </c>
      <c r="B277" t="s">
        <v>26</v>
      </c>
      <c r="C277" t="s">
        <v>52</v>
      </c>
      <c r="D277" t="s">
        <v>53</v>
      </c>
      <c r="E277">
        <v>9</v>
      </c>
      <c r="F277" t="s">
        <v>44</v>
      </c>
      <c r="G277" t="s">
        <v>30</v>
      </c>
      <c r="H277">
        <v>2697</v>
      </c>
      <c r="I277" t="s">
        <v>45</v>
      </c>
      <c r="J277" t="s">
        <v>46</v>
      </c>
      <c r="K277" t="s">
        <v>47</v>
      </c>
      <c r="L277" t="s">
        <v>48</v>
      </c>
      <c r="M277">
        <v>1</v>
      </c>
      <c r="N277" t="s">
        <v>34</v>
      </c>
      <c r="O277" t="s">
        <v>35</v>
      </c>
      <c r="P277" t="s">
        <v>36</v>
      </c>
      <c r="Q277">
        <v>2</v>
      </c>
      <c r="R277" t="s">
        <v>37</v>
      </c>
      <c r="S277">
        <v>32</v>
      </c>
      <c r="T277" t="s">
        <v>98</v>
      </c>
      <c r="U277" t="s">
        <v>36</v>
      </c>
      <c r="V277" t="s">
        <v>38</v>
      </c>
      <c r="W277">
        <v>1</v>
      </c>
      <c r="X277" t="s">
        <v>39</v>
      </c>
      <c r="Y277">
        <v>2</v>
      </c>
      <c r="Z277" t="s">
        <v>51</v>
      </c>
      <c r="AA277" t="s">
        <v>40</v>
      </c>
      <c r="AB277">
        <v>1</v>
      </c>
    </row>
    <row r="278" spans="1:28" x14ac:dyDescent="0.3">
      <c r="A278">
        <v>277</v>
      </c>
      <c r="B278" t="s">
        <v>26</v>
      </c>
      <c r="C278" t="s">
        <v>52</v>
      </c>
      <c r="D278" t="s">
        <v>53</v>
      </c>
      <c r="E278">
        <v>18</v>
      </c>
      <c r="F278" t="s">
        <v>29</v>
      </c>
      <c r="G278" t="s">
        <v>30</v>
      </c>
      <c r="H278">
        <v>2404</v>
      </c>
      <c r="I278" t="s">
        <v>45</v>
      </c>
      <c r="J278" t="s">
        <v>46</v>
      </c>
      <c r="K278" t="s">
        <v>47</v>
      </c>
      <c r="L278" t="s">
        <v>48</v>
      </c>
      <c r="M278">
        <v>2</v>
      </c>
      <c r="N278" t="s">
        <v>49</v>
      </c>
      <c r="O278" t="s">
        <v>50</v>
      </c>
      <c r="P278" t="s">
        <v>36</v>
      </c>
      <c r="Q278">
        <v>2</v>
      </c>
      <c r="R278" t="s">
        <v>68</v>
      </c>
      <c r="S278">
        <v>26</v>
      </c>
      <c r="T278" t="s">
        <v>98</v>
      </c>
      <c r="U278" t="s">
        <v>36</v>
      </c>
      <c r="V278" t="s">
        <v>38</v>
      </c>
      <c r="W278">
        <v>2</v>
      </c>
      <c r="X278" t="s">
        <v>39</v>
      </c>
      <c r="Y278">
        <v>1</v>
      </c>
      <c r="Z278" t="s">
        <v>51</v>
      </c>
      <c r="AA278" t="s">
        <v>40</v>
      </c>
      <c r="AB278">
        <v>1</v>
      </c>
    </row>
    <row r="279" spans="1:28" x14ac:dyDescent="0.3">
      <c r="A279">
        <v>278</v>
      </c>
      <c r="B279" t="s">
        <v>26</v>
      </c>
      <c r="C279" t="s">
        <v>27</v>
      </c>
      <c r="D279" t="s">
        <v>28</v>
      </c>
      <c r="E279">
        <v>12</v>
      </c>
      <c r="F279" t="s">
        <v>44</v>
      </c>
      <c r="G279" t="s">
        <v>58</v>
      </c>
      <c r="H279">
        <v>1262</v>
      </c>
      <c r="I279" t="s">
        <v>31</v>
      </c>
      <c r="J279" t="s">
        <v>31</v>
      </c>
      <c r="K279" t="s">
        <v>32</v>
      </c>
      <c r="L279" t="s">
        <v>33</v>
      </c>
      <c r="M279">
        <v>2</v>
      </c>
      <c r="N279" t="s">
        <v>34</v>
      </c>
      <c r="O279" t="s">
        <v>73</v>
      </c>
      <c r="P279" t="s">
        <v>36</v>
      </c>
      <c r="Q279">
        <v>4</v>
      </c>
      <c r="R279" t="s">
        <v>60</v>
      </c>
      <c r="S279">
        <v>49</v>
      </c>
      <c r="T279" t="s">
        <v>97</v>
      </c>
      <c r="U279" t="s">
        <v>36</v>
      </c>
      <c r="V279" t="s">
        <v>38</v>
      </c>
      <c r="W279">
        <v>1</v>
      </c>
      <c r="X279" t="s">
        <v>57</v>
      </c>
      <c r="Y279">
        <v>1</v>
      </c>
      <c r="Z279" t="s">
        <v>40</v>
      </c>
      <c r="AA279" t="s">
        <v>40</v>
      </c>
      <c r="AB279">
        <v>1</v>
      </c>
    </row>
    <row r="280" spans="1:28" x14ac:dyDescent="0.3">
      <c r="A280">
        <v>279</v>
      </c>
      <c r="B280" t="s">
        <v>41</v>
      </c>
      <c r="C280" t="s">
        <v>52</v>
      </c>
      <c r="D280" t="s">
        <v>53</v>
      </c>
      <c r="E280">
        <v>6</v>
      </c>
      <c r="F280" t="s">
        <v>44</v>
      </c>
      <c r="G280" t="s">
        <v>58</v>
      </c>
      <c r="H280">
        <v>4611</v>
      </c>
      <c r="I280" t="s">
        <v>45</v>
      </c>
      <c r="J280" t="s">
        <v>46</v>
      </c>
      <c r="K280" t="s">
        <v>76</v>
      </c>
      <c r="L280" t="s">
        <v>77</v>
      </c>
      <c r="M280">
        <v>1</v>
      </c>
      <c r="N280" t="s">
        <v>49</v>
      </c>
      <c r="O280" t="s">
        <v>50</v>
      </c>
      <c r="P280" t="s">
        <v>36</v>
      </c>
      <c r="Q280">
        <v>4</v>
      </c>
      <c r="R280" t="s">
        <v>60</v>
      </c>
      <c r="S280">
        <v>32</v>
      </c>
      <c r="T280" t="s">
        <v>98</v>
      </c>
      <c r="U280" t="s">
        <v>36</v>
      </c>
      <c r="V280" t="s">
        <v>38</v>
      </c>
      <c r="W280">
        <v>1</v>
      </c>
      <c r="X280" t="s">
        <v>39</v>
      </c>
      <c r="Y280">
        <v>1</v>
      </c>
      <c r="Z280" t="s">
        <v>51</v>
      </c>
      <c r="AA280" t="s">
        <v>40</v>
      </c>
      <c r="AB280">
        <v>2</v>
      </c>
    </row>
    <row r="281" spans="1:28" x14ac:dyDescent="0.3">
      <c r="A281">
        <v>280</v>
      </c>
      <c r="B281" t="s">
        <v>26</v>
      </c>
      <c r="C281" t="s">
        <v>52</v>
      </c>
      <c r="D281" t="s">
        <v>53</v>
      </c>
      <c r="E281">
        <v>24</v>
      </c>
      <c r="F281" t="s">
        <v>44</v>
      </c>
      <c r="G281" t="s">
        <v>30</v>
      </c>
      <c r="H281">
        <v>1901</v>
      </c>
      <c r="I281" t="s">
        <v>79</v>
      </c>
      <c r="J281" t="s">
        <v>80</v>
      </c>
      <c r="K281" t="s">
        <v>47</v>
      </c>
      <c r="L281" t="s">
        <v>48</v>
      </c>
      <c r="M281">
        <v>4</v>
      </c>
      <c r="N281" t="s">
        <v>34</v>
      </c>
      <c r="O281" t="s">
        <v>35</v>
      </c>
      <c r="P281" t="s">
        <v>36</v>
      </c>
      <c r="Q281">
        <v>4</v>
      </c>
      <c r="R281" t="s">
        <v>68</v>
      </c>
      <c r="S281">
        <v>29</v>
      </c>
      <c r="T281" t="s">
        <v>98</v>
      </c>
      <c r="U281" t="s">
        <v>36</v>
      </c>
      <c r="V281" t="s">
        <v>69</v>
      </c>
      <c r="W281">
        <v>1</v>
      </c>
      <c r="X281" t="s">
        <v>70</v>
      </c>
      <c r="Y281">
        <v>1</v>
      </c>
      <c r="Z281" t="s">
        <v>40</v>
      </c>
      <c r="AA281" t="s">
        <v>40</v>
      </c>
      <c r="AB281">
        <v>1</v>
      </c>
    </row>
    <row r="282" spans="1:28" x14ac:dyDescent="0.3">
      <c r="A282">
        <v>281</v>
      </c>
      <c r="B282" t="s">
        <v>26</v>
      </c>
      <c r="C282" t="s">
        <v>52</v>
      </c>
      <c r="D282" t="s">
        <v>53</v>
      </c>
      <c r="E282">
        <v>15</v>
      </c>
      <c r="F282" t="s">
        <v>29</v>
      </c>
      <c r="G282" t="s">
        <v>67</v>
      </c>
      <c r="H282">
        <v>3368</v>
      </c>
      <c r="I282" t="s">
        <v>71</v>
      </c>
      <c r="J282" t="s">
        <v>72</v>
      </c>
      <c r="K282" t="s">
        <v>32</v>
      </c>
      <c r="L282" t="s">
        <v>33</v>
      </c>
      <c r="M282">
        <v>3</v>
      </c>
      <c r="N282" t="s">
        <v>34</v>
      </c>
      <c r="O282" t="s">
        <v>35</v>
      </c>
      <c r="P282" t="s">
        <v>36</v>
      </c>
      <c r="Q282">
        <v>4</v>
      </c>
      <c r="R282" t="s">
        <v>64</v>
      </c>
      <c r="S282">
        <v>23</v>
      </c>
      <c r="T282" t="s">
        <v>96</v>
      </c>
      <c r="U282" t="s">
        <v>36</v>
      </c>
      <c r="V282" t="s">
        <v>69</v>
      </c>
      <c r="W282">
        <v>2</v>
      </c>
      <c r="X282" t="s">
        <v>39</v>
      </c>
      <c r="Y282">
        <v>1</v>
      </c>
      <c r="Z282" t="s">
        <v>40</v>
      </c>
      <c r="AA282" t="s">
        <v>40</v>
      </c>
      <c r="AB282">
        <v>1</v>
      </c>
    </row>
    <row r="283" spans="1:28" x14ac:dyDescent="0.3">
      <c r="A283">
        <v>282</v>
      </c>
      <c r="B283" t="s">
        <v>26</v>
      </c>
      <c r="C283" t="s">
        <v>52</v>
      </c>
      <c r="D283" t="s">
        <v>53</v>
      </c>
      <c r="E283">
        <v>12</v>
      </c>
      <c r="F283" t="s">
        <v>44</v>
      </c>
      <c r="G283" t="s">
        <v>58</v>
      </c>
      <c r="H283">
        <v>1574</v>
      </c>
      <c r="I283" t="s">
        <v>45</v>
      </c>
      <c r="J283" t="s">
        <v>46</v>
      </c>
      <c r="K283" t="s">
        <v>47</v>
      </c>
      <c r="L283" t="s">
        <v>48</v>
      </c>
      <c r="M283">
        <v>4</v>
      </c>
      <c r="N283" t="s">
        <v>34</v>
      </c>
      <c r="O283" t="s">
        <v>35</v>
      </c>
      <c r="P283" t="s">
        <v>36</v>
      </c>
      <c r="Q283">
        <v>2</v>
      </c>
      <c r="R283" t="s">
        <v>37</v>
      </c>
      <c r="S283">
        <v>50</v>
      </c>
      <c r="T283" t="s">
        <v>97</v>
      </c>
      <c r="U283" t="s">
        <v>36</v>
      </c>
      <c r="V283" t="s">
        <v>38</v>
      </c>
      <c r="W283">
        <v>1</v>
      </c>
      <c r="X283" t="s">
        <v>39</v>
      </c>
      <c r="Y283">
        <v>1</v>
      </c>
      <c r="Z283" t="s">
        <v>51</v>
      </c>
      <c r="AA283" t="s">
        <v>40</v>
      </c>
      <c r="AB283">
        <v>1</v>
      </c>
    </row>
    <row r="284" spans="1:28" x14ac:dyDescent="0.3">
      <c r="A284">
        <v>283</v>
      </c>
      <c r="B284" t="s">
        <v>26</v>
      </c>
      <c r="C284" t="s">
        <v>83</v>
      </c>
      <c r="D284" t="s">
        <v>84</v>
      </c>
      <c r="E284">
        <v>18</v>
      </c>
      <c r="F284" t="s">
        <v>85</v>
      </c>
      <c r="G284" t="s">
        <v>30</v>
      </c>
      <c r="H284">
        <v>1445</v>
      </c>
      <c r="I284" t="s">
        <v>31</v>
      </c>
      <c r="J284" t="s">
        <v>31</v>
      </c>
      <c r="K284" t="s">
        <v>55</v>
      </c>
      <c r="L284" t="s">
        <v>56</v>
      </c>
      <c r="M284">
        <v>4</v>
      </c>
      <c r="N284" t="s">
        <v>34</v>
      </c>
      <c r="O284" t="s">
        <v>35</v>
      </c>
      <c r="P284" t="s">
        <v>36</v>
      </c>
      <c r="Q284">
        <v>4</v>
      </c>
      <c r="R284" t="s">
        <v>68</v>
      </c>
      <c r="S284">
        <v>49</v>
      </c>
      <c r="T284" t="s">
        <v>97</v>
      </c>
      <c r="U284" t="s">
        <v>82</v>
      </c>
      <c r="V284" t="s">
        <v>38</v>
      </c>
      <c r="W284">
        <v>1</v>
      </c>
      <c r="X284" t="s">
        <v>57</v>
      </c>
      <c r="Y284">
        <v>1</v>
      </c>
      <c r="Z284" t="s">
        <v>51</v>
      </c>
      <c r="AA284" t="s">
        <v>40</v>
      </c>
      <c r="AB284">
        <v>1</v>
      </c>
    </row>
    <row r="285" spans="1:28" x14ac:dyDescent="0.3">
      <c r="A285">
        <v>284</v>
      </c>
      <c r="B285" t="s">
        <v>26</v>
      </c>
      <c r="C285" t="s">
        <v>52</v>
      </c>
      <c r="D285" t="s">
        <v>53</v>
      </c>
      <c r="E285">
        <v>15</v>
      </c>
      <c r="F285" t="s">
        <v>29</v>
      </c>
      <c r="G285" t="s">
        <v>58</v>
      </c>
      <c r="H285">
        <v>1520</v>
      </c>
      <c r="I285" t="s">
        <v>31</v>
      </c>
      <c r="J285" t="s">
        <v>31</v>
      </c>
      <c r="K285" t="s">
        <v>32</v>
      </c>
      <c r="L285" t="s">
        <v>33</v>
      </c>
      <c r="M285">
        <v>4</v>
      </c>
      <c r="N285" t="s">
        <v>34</v>
      </c>
      <c r="O285" t="s">
        <v>35</v>
      </c>
      <c r="P285" t="s">
        <v>36</v>
      </c>
      <c r="Q285">
        <v>4</v>
      </c>
      <c r="R285" t="s">
        <v>60</v>
      </c>
      <c r="S285">
        <v>63</v>
      </c>
      <c r="T285" t="s">
        <v>95</v>
      </c>
      <c r="U285" t="s">
        <v>36</v>
      </c>
      <c r="V285" t="s">
        <v>38</v>
      </c>
      <c r="W285">
        <v>1</v>
      </c>
      <c r="X285" t="s">
        <v>39</v>
      </c>
      <c r="Y285">
        <v>1</v>
      </c>
      <c r="Z285" t="s">
        <v>51</v>
      </c>
      <c r="AA285" t="s">
        <v>40</v>
      </c>
      <c r="AB285">
        <v>1</v>
      </c>
    </row>
    <row r="286" spans="1:28" x14ac:dyDescent="0.3">
      <c r="A286">
        <v>285</v>
      </c>
      <c r="B286" t="s">
        <v>26</v>
      </c>
      <c r="C286" t="s">
        <v>42</v>
      </c>
      <c r="D286" t="s">
        <v>43</v>
      </c>
      <c r="E286">
        <v>24</v>
      </c>
      <c r="F286" t="s">
        <v>29</v>
      </c>
      <c r="G286" t="s">
        <v>63</v>
      </c>
      <c r="H286">
        <v>3878</v>
      </c>
      <c r="I286" t="s">
        <v>79</v>
      </c>
      <c r="J286" t="s">
        <v>80</v>
      </c>
      <c r="K286" t="s">
        <v>76</v>
      </c>
      <c r="L286" t="s">
        <v>77</v>
      </c>
      <c r="M286">
        <v>4</v>
      </c>
      <c r="N286" t="s">
        <v>34</v>
      </c>
      <c r="O286" t="s">
        <v>73</v>
      </c>
      <c r="P286" t="s">
        <v>36</v>
      </c>
      <c r="Q286">
        <v>2</v>
      </c>
      <c r="R286" t="s">
        <v>68</v>
      </c>
      <c r="S286">
        <v>37</v>
      </c>
      <c r="T286" t="s">
        <v>98</v>
      </c>
      <c r="U286" t="s">
        <v>36</v>
      </c>
      <c r="V286" t="s">
        <v>38</v>
      </c>
      <c r="W286">
        <v>1</v>
      </c>
      <c r="X286" t="s">
        <v>39</v>
      </c>
      <c r="Y286">
        <v>1</v>
      </c>
      <c r="Z286" t="s">
        <v>40</v>
      </c>
      <c r="AA286" t="s">
        <v>40</v>
      </c>
      <c r="AB286">
        <v>1</v>
      </c>
    </row>
    <row r="287" spans="1:28" x14ac:dyDescent="0.3">
      <c r="A287">
        <v>286</v>
      </c>
      <c r="B287" t="s">
        <v>26</v>
      </c>
      <c r="C287" t="s">
        <v>27</v>
      </c>
      <c r="D287" t="s">
        <v>28</v>
      </c>
      <c r="E287">
        <v>47</v>
      </c>
      <c r="F287" t="s">
        <v>44</v>
      </c>
      <c r="G287" t="s">
        <v>63</v>
      </c>
      <c r="H287">
        <v>10722</v>
      </c>
      <c r="I287" t="s">
        <v>45</v>
      </c>
      <c r="J287" t="s">
        <v>46</v>
      </c>
      <c r="K287" t="s">
        <v>76</v>
      </c>
      <c r="L287" t="s">
        <v>77</v>
      </c>
      <c r="M287">
        <v>1</v>
      </c>
      <c r="N287" t="s">
        <v>49</v>
      </c>
      <c r="O287" t="s">
        <v>50</v>
      </c>
      <c r="P287" t="s">
        <v>36</v>
      </c>
      <c r="Q287">
        <v>1</v>
      </c>
      <c r="R287" t="s">
        <v>37</v>
      </c>
      <c r="S287">
        <v>35</v>
      </c>
      <c r="T287" t="s">
        <v>98</v>
      </c>
      <c r="U287" t="s">
        <v>36</v>
      </c>
      <c r="V287" t="s">
        <v>38</v>
      </c>
      <c r="W287">
        <v>1</v>
      </c>
      <c r="X287" t="s">
        <v>57</v>
      </c>
      <c r="Y287">
        <v>1</v>
      </c>
      <c r="Z287" t="s">
        <v>40</v>
      </c>
      <c r="AA287" t="s">
        <v>40</v>
      </c>
      <c r="AB287">
        <v>1</v>
      </c>
    </row>
    <row r="288" spans="1:28" x14ac:dyDescent="0.3">
      <c r="A288">
        <v>287</v>
      </c>
      <c r="B288" t="s">
        <v>26</v>
      </c>
      <c r="C288" t="s">
        <v>27</v>
      </c>
      <c r="D288" t="s">
        <v>28</v>
      </c>
      <c r="E288">
        <v>48</v>
      </c>
      <c r="F288" t="s">
        <v>44</v>
      </c>
      <c r="G288" t="s">
        <v>67</v>
      </c>
      <c r="H288">
        <v>4788</v>
      </c>
      <c r="I288" t="s">
        <v>45</v>
      </c>
      <c r="J288" t="s">
        <v>46</v>
      </c>
      <c r="K288" t="s">
        <v>55</v>
      </c>
      <c r="L288" t="s">
        <v>56</v>
      </c>
      <c r="M288">
        <v>4</v>
      </c>
      <c r="N288" t="s">
        <v>34</v>
      </c>
      <c r="O288" t="s">
        <v>35</v>
      </c>
      <c r="P288" t="s">
        <v>36</v>
      </c>
      <c r="Q288">
        <v>3</v>
      </c>
      <c r="R288" t="s">
        <v>60</v>
      </c>
      <c r="S288">
        <v>26</v>
      </c>
      <c r="T288" t="s">
        <v>98</v>
      </c>
      <c r="U288" t="s">
        <v>36</v>
      </c>
      <c r="V288" t="s">
        <v>38</v>
      </c>
      <c r="W288">
        <v>1</v>
      </c>
      <c r="X288" t="s">
        <v>39</v>
      </c>
      <c r="Y288">
        <v>2</v>
      </c>
      <c r="Z288" t="s">
        <v>51</v>
      </c>
      <c r="AA288" t="s">
        <v>40</v>
      </c>
      <c r="AB288">
        <v>1</v>
      </c>
    </row>
    <row r="289" spans="1:28" x14ac:dyDescent="0.3">
      <c r="A289">
        <v>288</v>
      </c>
      <c r="B289" t="s">
        <v>26</v>
      </c>
      <c r="C289" t="s">
        <v>42</v>
      </c>
      <c r="D289" t="s">
        <v>43</v>
      </c>
      <c r="E289">
        <v>48</v>
      </c>
      <c r="F289" t="s">
        <v>62</v>
      </c>
      <c r="G289" t="s">
        <v>91</v>
      </c>
      <c r="H289">
        <v>7582</v>
      </c>
      <c r="I289" t="s">
        <v>79</v>
      </c>
      <c r="J289" t="s">
        <v>80</v>
      </c>
      <c r="K289" t="s">
        <v>74</v>
      </c>
      <c r="L289" t="s">
        <v>74</v>
      </c>
      <c r="M289">
        <v>2</v>
      </c>
      <c r="N289" t="s">
        <v>34</v>
      </c>
      <c r="O289" t="s">
        <v>35</v>
      </c>
      <c r="P289" t="s">
        <v>36</v>
      </c>
      <c r="Q289">
        <v>4</v>
      </c>
      <c r="R289" t="s">
        <v>64</v>
      </c>
      <c r="S289">
        <v>31</v>
      </c>
      <c r="T289" t="s">
        <v>98</v>
      </c>
      <c r="U289" t="s">
        <v>36</v>
      </c>
      <c r="V289" t="s">
        <v>61</v>
      </c>
      <c r="W289">
        <v>1</v>
      </c>
      <c r="X289" t="s">
        <v>70</v>
      </c>
      <c r="Y289">
        <v>1</v>
      </c>
      <c r="Z289" t="s">
        <v>40</v>
      </c>
      <c r="AA289" t="s">
        <v>40</v>
      </c>
      <c r="AB289">
        <v>1</v>
      </c>
    </row>
    <row r="290" spans="1:28" x14ac:dyDescent="0.3">
      <c r="A290">
        <v>289</v>
      </c>
      <c r="B290" t="s">
        <v>26</v>
      </c>
      <c r="C290" t="s">
        <v>42</v>
      </c>
      <c r="D290" t="s">
        <v>43</v>
      </c>
      <c r="E290">
        <v>12</v>
      </c>
      <c r="F290" t="s">
        <v>44</v>
      </c>
      <c r="G290" t="s">
        <v>30</v>
      </c>
      <c r="H290">
        <v>1092</v>
      </c>
      <c r="I290" t="s">
        <v>45</v>
      </c>
      <c r="J290" t="s">
        <v>46</v>
      </c>
      <c r="K290" t="s">
        <v>47</v>
      </c>
      <c r="L290" t="s">
        <v>48</v>
      </c>
      <c r="M290">
        <v>4</v>
      </c>
      <c r="N290" t="s">
        <v>49</v>
      </c>
      <c r="O290" t="s">
        <v>50</v>
      </c>
      <c r="P290" t="s">
        <v>59</v>
      </c>
      <c r="Q290">
        <v>4</v>
      </c>
      <c r="R290" t="s">
        <v>37</v>
      </c>
      <c r="S290">
        <v>49</v>
      </c>
      <c r="T290" t="s">
        <v>97</v>
      </c>
      <c r="U290" t="s">
        <v>36</v>
      </c>
      <c r="V290" t="s">
        <v>38</v>
      </c>
      <c r="W290">
        <v>2</v>
      </c>
      <c r="X290" t="s">
        <v>39</v>
      </c>
      <c r="Y290">
        <v>1</v>
      </c>
      <c r="Z290" t="s">
        <v>40</v>
      </c>
      <c r="AA290" t="s">
        <v>40</v>
      </c>
      <c r="AB290">
        <v>1</v>
      </c>
    </row>
    <row r="291" spans="1:28" x14ac:dyDescent="0.3">
      <c r="A291">
        <v>290</v>
      </c>
      <c r="B291" t="s">
        <v>41</v>
      </c>
      <c r="C291" t="s">
        <v>27</v>
      </c>
      <c r="D291" t="s">
        <v>28</v>
      </c>
      <c r="E291">
        <v>24</v>
      </c>
      <c r="F291" t="s">
        <v>62</v>
      </c>
      <c r="G291" t="s">
        <v>30</v>
      </c>
      <c r="H291">
        <v>1024</v>
      </c>
      <c r="I291" t="s">
        <v>45</v>
      </c>
      <c r="J291" t="s">
        <v>46</v>
      </c>
      <c r="K291" t="s">
        <v>76</v>
      </c>
      <c r="L291" t="s">
        <v>77</v>
      </c>
      <c r="M291">
        <v>4</v>
      </c>
      <c r="N291" t="s">
        <v>34</v>
      </c>
      <c r="O291" t="s">
        <v>75</v>
      </c>
      <c r="P291" t="s">
        <v>36</v>
      </c>
      <c r="Q291">
        <v>4</v>
      </c>
      <c r="R291" t="s">
        <v>37</v>
      </c>
      <c r="S291">
        <v>48</v>
      </c>
      <c r="T291" t="s">
        <v>97</v>
      </c>
      <c r="U291" t="s">
        <v>86</v>
      </c>
      <c r="V291" t="s">
        <v>38</v>
      </c>
      <c r="W291">
        <v>1</v>
      </c>
      <c r="X291" t="s">
        <v>39</v>
      </c>
      <c r="Y291">
        <v>1</v>
      </c>
      <c r="Z291" t="s">
        <v>51</v>
      </c>
      <c r="AA291" t="s">
        <v>40</v>
      </c>
      <c r="AB291">
        <v>2</v>
      </c>
    </row>
    <row r="292" spans="1:28" x14ac:dyDescent="0.3">
      <c r="A292">
        <v>291</v>
      </c>
      <c r="B292" t="s">
        <v>26</v>
      </c>
      <c r="C292" t="s">
        <v>52</v>
      </c>
      <c r="D292" t="s">
        <v>53</v>
      </c>
      <c r="E292">
        <v>12</v>
      </c>
      <c r="F292" t="s">
        <v>44</v>
      </c>
      <c r="G292" t="s">
        <v>78</v>
      </c>
      <c r="H292">
        <v>1076</v>
      </c>
      <c r="I292" t="s">
        <v>45</v>
      </c>
      <c r="J292" t="s">
        <v>46</v>
      </c>
      <c r="K292" t="s">
        <v>47</v>
      </c>
      <c r="L292" t="s">
        <v>48</v>
      </c>
      <c r="M292">
        <v>2</v>
      </c>
      <c r="N292" t="s">
        <v>34</v>
      </c>
      <c r="O292" t="s">
        <v>75</v>
      </c>
      <c r="P292" t="s">
        <v>36</v>
      </c>
      <c r="Q292">
        <v>2</v>
      </c>
      <c r="R292" t="s">
        <v>37</v>
      </c>
      <c r="S292">
        <v>26</v>
      </c>
      <c r="T292" t="s">
        <v>98</v>
      </c>
      <c r="U292" t="s">
        <v>36</v>
      </c>
      <c r="V292" t="s">
        <v>38</v>
      </c>
      <c r="W292">
        <v>1</v>
      </c>
      <c r="X292" t="s">
        <v>39</v>
      </c>
      <c r="Y292">
        <v>1</v>
      </c>
      <c r="Z292" t="s">
        <v>40</v>
      </c>
      <c r="AA292" t="s">
        <v>51</v>
      </c>
      <c r="AB292">
        <v>1</v>
      </c>
    </row>
    <row r="293" spans="1:28" x14ac:dyDescent="0.3">
      <c r="A293">
        <v>292</v>
      </c>
      <c r="B293" t="s">
        <v>41</v>
      </c>
      <c r="C293" t="s">
        <v>42</v>
      </c>
      <c r="D293" t="s">
        <v>43</v>
      </c>
      <c r="E293">
        <v>36</v>
      </c>
      <c r="F293" t="s">
        <v>44</v>
      </c>
      <c r="G293" t="s">
        <v>67</v>
      </c>
      <c r="H293">
        <v>9398</v>
      </c>
      <c r="I293" t="s">
        <v>45</v>
      </c>
      <c r="J293" t="s">
        <v>46</v>
      </c>
      <c r="K293" t="s">
        <v>76</v>
      </c>
      <c r="L293" t="s">
        <v>77</v>
      </c>
      <c r="M293">
        <v>1</v>
      </c>
      <c r="N293" t="s">
        <v>34</v>
      </c>
      <c r="O293" t="s">
        <v>75</v>
      </c>
      <c r="P293" t="s">
        <v>36</v>
      </c>
      <c r="Q293">
        <v>4</v>
      </c>
      <c r="R293" t="s">
        <v>68</v>
      </c>
      <c r="S293">
        <v>28</v>
      </c>
      <c r="T293" t="s">
        <v>98</v>
      </c>
      <c r="U293" t="s">
        <v>36</v>
      </c>
      <c r="V293" t="s">
        <v>69</v>
      </c>
      <c r="W293">
        <v>1</v>
      </c>
      <c r="X293" t="s">
        <v>70</v>
      </c>
      <c r="Y293">
        <v>1</v>
      </c>
      <c r="Z293" t="s">
        <v>40</v>
      </c>
      <c r="AA293" t="s">
        <v>40</v>
      </c>
      <c r="AB293">
        <v>2</v>
      </c>
    </row>
    <row r="294" spans="1:28" x14ac:dyDescent="0.3">
      <c r="A294">
        <v>293</v>
      </c>
      <c r="B294" t="s">
        <v>26</v>
      </c>
      <c r="C294" t="s">
        <v>27</v>
      </c>
      <c r="D294" t="s">
        <v>28</v>
      </c>
      <c r="E294">
        <v>24</v>
      </c>
      <c r="F294" t="s">
        <v>29</v>
      </c>
      <c r="G294" t="s">
        <v>67</v>
      </c>
      <c r="H294">
        <v>6419</v>
      </c>
      <c r="I294" t="s">
        <v>45</v>
      </c>
      <c r="J294" t="s">
        <v>46</v>
      </c>
      <c r="K294" t="s">
        <v>32</v>
      </c>
      <c r="L294" t="s">
        <v>33</v>
      </c>
      <c r="M294">
        <v>2</v>
      </c>
      <c r="N294" t="s">
        <v>49</v>
      </c>
      <c r="O294" t="s">
        <v>50</v>
      </c>
      <c r="P294" t="s">
        <v>36</v>
      </c>
      <c r="Q294">
        <v>4</v>
      </c>
      <c r="R294" t="s">
        <v>64</v>
      </c>
      <c r="S294">
        <v>44</v>
      </c>
      <c r="T294" t="s">
        <v>97</v>
      </c>
      <c r="U294" t="s">
        <v>36</v>
      </c>
      <c r="V294" t="s">
        <v>61</v>
      </c>
      <c r="W294">
        <v>2</v>
      </c>
      <c r="X294" t="s">
        <v>70</v>
      </c>
      <c r="Y294">
        <v>2</v>
      </c>
      <c r="Z294" t="s">
        <v>40</v>
      </c>
      <c r="AA294" t="s">
        <v>40</v>
      </c>
      <c r="AB294">
        <v>1</v>
      </c>
    </row>
    <row r="295" spans="1:28" x14ac:dyDescent="0.3">
      <c r="A295">
        <v>294</v>
      </c>
      <c r="B295" t="s">
        <v>26</v>
      </c>
      <c r="C295" t="s">
        <v>83</v>
      </c>
      <c r="D295" t="s">
        <v>84</v>
      </c>
      <c r="E295">
        <v>42</v>
      </c>
      <c r="F295" t="s">
        <v>29</v>
      </c>
      <c r="G295" t="s">
        <v>67</v>
      </c>
      <c r="H295">
        <v>4796</v>
      </c>
      <c r="I295" t="s">
        <v>45</v>
      </c>
      <c r="J295" t="s">
        <v>46</v>
      </c>
      <c r="K295" t="s">
        <v>32</v>
      </c>
      <c r="L295" t="s">
        <v>33</v>
      </c>
      <c r="M295">
        <v>4</v>
      </c>
      <c r="N295" t="s">
        <v>34</v>
      </c>
      <c r="O295" t="s">
        <v>35</v>
      </c>
      <c r="P295" t="s">
        <v>36</v>
      </c>
      <c r="Q295">
        <v>4</v>
      </c>
      <c r="R295" t="s">
        <v>64</v>
      </c>
      <c r="S295">
        <v>56</v>
      </c>
      <c r="T295" t="s">
        <v>97</v>
      </c>
      <c r="U295" t="s">
        <v>36</v>
      </c>
      <c r="V295" t="s">
        <v>61</v>
      </c>
      <c r="W295">
        <v>1</v>
      </c>
      <c r="X295" t="s">
        <v>39</v>
      </c>
      <c r="Y295">
        <v>1</v>
      </c>
      <c r="Z295" t="s">
        <v>51</v>
      </c>
      <c r="AA295" t="s">
        <v>40</v>
      </c>
      <c r="AB295">
        <v>1</v>
      </c>
    </row>
    <row r="296" spans="1:28" x14ac:dyDescent="0.3">
      <c r="A296">
        <v>295</v>
      </c>
      <c r="B296" t="s">
        <v>26</v>
      </c>
      <c r="C296" t="s">
        <v>52</v>
      </c>
      <c r="D296" t="s">
        <v>53</v>
      </c>
      <c r="E296">
        <v>48</v>
      </c>
      <c r="F296" t="s">
        <v>29</v>
      </c>
      <c r="G296" t="s">
        <v>78</v>
      </c>
      <c r="H296">
        <v>7629</v>
      </c>
      <c r="I296" t="s">
        <v>31</v>
      </c>
      <c r="J296" t="s">
        <v>31</v>
      </c>
      <c r="K296" t="s">
        <v>32</v>
      </c>
      <c r="L296" t="s">
        <v>33</v>
      </c>
      <c r="M296">
        <v>4</v>
      </c>
      <c r="N296" t="s">
        <v>34</v>
      </c>
      <c r="O296" t="s">
        <v>73</v>
      </c>
      <c r="P296" t="s">
        <v>36</v>
      </c>
      <c r="Q296">
        <v>2</v>
      </c>
      <c r="R296" t="s">
        <v>68</v>
      </c>
      <c r="S296">
        <v>46</v>
      </c>
      <c r="T296" t="s">
        <v>97</v>
      </c>
      <c r="U296" t="s">
        <v>82</v>
      </c>
      <c r="V296" t="s">
        <v>38</v>
      </c>
      <c r="W296">
        <v>2</v>
      </c>
      <c r="X296" t="s">
        <v>70</v>
      </c>
      <c r="Y296">
        <v>2</v>
      </c>
      <c r="Z296" t="s">
        <v>51</v>
      </c>
      <c r="AA296" t="s">
        <v>40</v>
      </c>
      <c r="AB296">
        <v>1</v>
      </c>
    </row>
    <row r="297" spans="1:28" x14ac:dyDescent="0.3">
      <c r="A297">
        <v>296</v>
      </c>
      <c r="B297" t="s">
        <v>41</v>
      </c>
      <c r="C297" t="s">
        <v>42</v>
      </c>
      <c r="D297" t="s">
        <v>43</v>
      </c>
      <c r="E297">
        <v>48</v>
      </c>
      <c r="F297" t="s">
        <v>44</v>
      </c>
      <c r="G297" t="s">
        <v>58</v>
      </c>
      <c r="H297">
        <v>9960</v>
      </c>
      <c r="I297" t="s">
        <v>45</v>
      </c>
      <c r="J297" t="s">
        <v>46</v>
      </c>
      <c r="K297" t="s">
        <v>76</v>
      </c>
      <c r="L297" t="s">
        <v>77</v>
      </c>
      <c r="M297">
        <v>1</v>
      </c>
      <c r="N297" t="s">
        <v>49</v>
      </c>
      <c r="O297" t="s">
        <v>50</v>
      </c>
      <c r="P297" t="s">
        <v>36</v>
      </c>
      <c r="Q297">
        <v>2</v>
      </c>
      <c r="R297" t="s">
        <v>68</v>
      </c>
      <c r="S297">
        <v>26</v>
      </c>
      <c r="T297" t="s">
        <v>98</v>
      </c>
      <c r="U297" t="s">
        <v>36</v>
      </c>
      <c r="V297" t="s">
        <v>38</v>
      </c>
      <c r="W297">
        <v>1</v>
      </c>
      <c r="X297" t="s">
        <v>39</v>
      </c>
      <c r="Y297">
        <v>1</v>
      </c>
      <c r="Z297" t="s">
        <v>40</v>
      </c>
      <c r="AA297" t="s">
        <v>40</v>
      </c>
      <c r="AB297">
        <v>2</v>
      </c>
    </row>
    <row r="298" spans="1:28" x14ac:dyDescent="0.3">
      <c r="A298">
        <v>297</v>
      </c>
      <c r="B298" t="s">
        <v>26</v>
      </c>
      <c r="C298" t="s">
        <v>52</v>
      </c>
      <c r="D298" t="s">
        <v>53</v>
      </c>
      <c r="E298">
        <v>12</v>
      </c>
      <c r="F298" t="s">
        <v>44</v>
      </c>
      <c r="G298" t="s">
        <v>67</v>
      </c>
      <c r="H298">
        <v>4675</v>
      </c>
      <c r="I298" t="s">
        <v>31</v>
      </c>
      <c r="J298" t="s">
        <v>31</v>
      </c>
      <c r="K298" t="s">
        <v>76</v>
      </c>
      <c r="L298" t="s">
        <v>77</v>
      </c>
      <c r="M298">
        <v>1</v>
      </c>
      <c r="N298" t="s">
        <v>49</v>
      </c>
      <c r="O298" t="s">
        <v>50</v>
      </c>
      <c r="P298" t="s">
        <v>36</v>
      </c>
      <c r="Q298">
        <v>4</v>
      </c>
      <c r="R298" t="s">
        <v>68</v>
      </c>
      <c r="S298">
        <v>20</v>
      </c>
      <c r="T298" t="s">
        <v>96</v>
      </c>
      <c r="U298" t="s">
        <v>36</v>
      </c>
      <c r="V298" t="s">
        <v>69</v>
      </c>
      <c r="W298">
        <v>1</v>
      </c>
      <c r="X298" t="s">
        <v>39</v>
      </c>
      <c r="Y298">
        <v>1</v>
      </c>
      <c r="Z298" t="s">
        <v>51</v>
      </c>
      <c r="AA298" t="s">
        <v>40</v>
      </c>
      <c r="AB298">
        <v>1</v>
      </c>
    </row>
    <row r="299" spans="1:28" x14ac:dyDescent="0.3">
      <c r="A299">
        <v>298</v>
      </c>
      <c r="B299" t="s">
        <v>26</v>
      </c>
      <c r="C299" t="s">
        <v>52</v>
      </c>
      <c r="D299" t="s">
        <v>53</v>
      </c>
      <c r="E299">
        <v>10</v>
      </c>
      <c r="F299" t="s">
        <v>44</v>
      </c>
      <c r="G299" t="s">
        <v>63</v>
      </c>
      <c r="H299">
        <v>1287</v>
      </c>
      <c r="I299" t="s">
        <v>31</v>
      </c>
      <c r="J299" t="s">
        <v>31</v>
      </c>
      <c r="K299" t="s">
        <v>32</v>
      </c>
      <c r="L299" t="s">
        <v>33</v>
      </c>
      <c r="M299">
        <v>4</v>
      </c>
      <c r="N299" t="s">
        <v>34</v>
      </c>
      <c r="O299" t="s">
        <v>35</v>
      </c>
      <c r="P299" t="s">
        <v>87</v>
      </c>
      <c r="Q299">
        <v>2</v>
      </c>
      <c r="R299" t="s">
        <v>60</v>
      </c>
      <c r="S299">
        <v>45</v>
      </c>
      <c r="T299" t="s">
        <v>97</v>
      </c>
      <c r="U299" t="s">
        <v>36</v>
      </c>
      <c r="V299" t="s">
        <v>38</v>
      </c>
      <c r="W299">
        <v>1</v>
      </c>
      <c r="X299" t="s">
        <v>57</v>
      </c>
      <c r="Y299">
        <v>1</v>
      </c>
      <c r="Z299" t="s">
        <v>51</v>
      </c>
      <c r="AA299" t="s">
        <v>51</v>
      </c>
      <c r="AB299">
        <v>1</v>
      </c>
    </row>
    <row r="300" spans="1:28" x14ac:dyDescent="0.3">
      <c r="A300">
        <v>299</v>
      </c>
      <c r="B300" t="s">
        <v>26</v>
      </c>
      <c r="C300" t="s">
        <v>52</v>
      </c>
      <c r="D300" t="s">
        <v>53</v>
      </c>
      <c r="E300">
        <v>18</v>
      </c>
      <c r="F300" t="s">
        <v>44</v>
      </c>
      <c r="G300" t="s">
        <v>58</v>
      </c>
      <c r="H300">
        <v>2515</v>
      </c>
      <c r="I300" t="s">
        <v>45</v>
      </c>
      <c r="J300" t="s">
        <v>46</v>
      </c>
      <c r="K300" t="s">
        <v>47</v>
      </c>
      <c r="L300" t="s">
        <v>48</v>
      </c>
      <c r="M300">
        <v>3</v>
      </c>
      <c r="N300" t="s">
        <v>34</v>
      </c>
      <c r="O300" t="s">
        <v>35</v>
      </c>
      <c r="P300" t="s">
        <v>36</v>
      </c>
      <c r="Q300">
        <v>4</v>
      </c>
      <c r="R300" t="s">
        <v>37</v>
      </c>
      <c r="S300">
        <v>43</v>
      </c>
      <c r="T300" t="s">
        <v>97</v>
      </c>
      <c r="U300" t="s">
        <v>36</v>
      </c>
      <c r="V300" t="s">
        <v>38</v>
      </c>
      <c r="W300">
        <v>1</v>
      </c>
      <c r="X300" t="s">
        <v>39</v>
      </c>
      <c r="Y300">
        <v>1</v>
      </c>
      <c r="Z300" t="s">
        <v>40</v>
      </c>
      <c r="AA300" t="s">
        <v>40</v>
      </c>
      <c r="AB300">
        <v>1</v>
      </c>
    </row>
    <row r="301" spans="1:28" x14ac:dyDescent="0.3">
      <c r="A301">
        <v>300</v>
      </c>
      <c r="B301" t="s">
        <v>26</v>
      </c>
      <c r="C301" t="s">
        <v>42</v>
      </c>
      <c r="D301" t="s">
        <v>43</v>
      </c>
      <c r="E301">
        <v>21</v>
      </c>
      <c r="F301" t="s">
        <v>29</v>
      </c>
      <c r="G301" t="s">
        <v>58</v>
      </c>
      <c r="H301">
        <v>2745</v>
      </c>
      <c r="I301" t="s">
        <v>71</v>
      </c>
      <c r="J301" t="s">
        <v>72</v>
      </c>
      <c r="K301" t="s">
        <v>55</v>
      </c>
      <c r="L301" t="s">
        <v>56</v>
      </c>
      <c r="M301">
        <v>3</v>
      </c>
      <c r="N301" t="s">
        <v>34</v>
      </c>
      <c r="O301" t="s">
        <v>35</v>
      </c>
      <c r="P301" t="s">
        <v>36</v>
      </c>
      <c r="Q301">
        <v>2</v>
      </c>
      <c r="R301" t="s">
        <v>68</v>
      </c>
      <c r="S301">
        <v>32</v>
      </c>
      <c r="T301" t="s">
        <v>98</v>
      </c>
      <c r="U301" t="s">
        <v>36</v>
      </c>
      <c r="V301" t="s">
        <v>38</v>
      </c>
      <c r="W301">
        <v>2</v>
      </c>
      <c r="X301" t="s">
        <v>39</v>
      </c>
      <c r="Y301">
        <v>1</v>
      </c>
      <c r="Z301" t="s">
        <v>40</v>
      </c>
      <c r="AA301" t="s">
        <v>40</v>
      </c>
      <c r="AB301">
        <v>1</v>
      </c>
    </row>
    <row r="302" spans="1:28" x14ac:dyDescent="0.3">
      <c r="A302">
        <v>301</v>
      </c>
      <c r="B302" t="s">
        <v>26</v>
      </c>
      <c r="C302" t="s">
        <v>52</v>
      </c>
      <c r="D302" t="s">
        <v>53</v>
      </c>
      <c r="E302">
        <v>6</v>
      </c>
      <c r="F302" t="s">
        <v>44</v>
      </c>
      <c r="G302" t="s">
        <v>63</v>
      </c>
      <c r="H302">
        <v>672</v>
      </c>
      <c r="I302" t="s">
        <v>45</v>
      </c>
      <c r="J302" t="s">
        <v>46</v>
      </c>
      <c r="K302" t="s">
        <v>74</v>
      </c>
      <c r="L302" t="s">
        <v>74</v>
      </c>
      <c r="M302">
        <v>1</v>
      </c>
      <c r="N302" t="s">
        <v>49</v>
      </c>
      <c r="O302" t="s">
        <v>50</v>
      </c>
      <c r="P302" t="s">
        <v>36</v>
      </c>
      <c r="Q302">
        <v>4</v>
      </c>
      <c r="R302" t="s">
        <v>37</v>
      </c>
      <c r="S302">
        <v>54</v>
      </c>
      <c r="T302" t="s">
        <v>97</v>
      </c>
      <c r="U302" t="s">
        <v>36</v>
      </c>
      <c r="V302" t="s">
        <v>38</v>
      </c>
      <c r="W302">
        <v>1</v>
      </c>
      <c r="X302" t="s">
        <v>90</v>
      </c>
      <c r="Y302">
        <v>1</v>
      </c>
      <c r="Z302" t="s">
        <v>40</v>
      </c>
      <c r="AA302" t="s">
        <v>40</v>
      </c>
      <c r="AB302">
        <v>1</v>
      </c>
    </row>
    <row r="303" spans="1:28" x14ac:dyDescent="0.3">
      <c r="A303">
        <v>302</v>
      </c>
      <c r="B303" t="s">
        <v>41</v>
      </c>
      <c r="C303" t="s">
        <v>42</v>
      </c>
      <c r="D303" t="s">
        <v>43</v>
      </c>
      <c r="E303">
        <v>36</v>
      </c>
      <c r="F303" t="s">
        <v>81</v>
      </c>
      <c r="G303" t="s">
        <v>30</v>
      </c>
      <c r="H303">
        <v>3804</v>
      </c>
      <c r="I303" t="s">
        <v>45</v>
      </c>
      <c r="J303" t="s">
        <v>46</v>
      </c>
      <c r="K303" t="s">
        <v>47</v>
      </c>
      <c r="L303" t="s">
        <v>48</v>
      </c>
      <c r="M303">
        <v>4</v>
      </c>
      <c r="N303" t="s">
        <v>49</v>
      </c>
      <c r="O303" t="s">
        <v>50</v>
      </c>
      <c r="P303" t="s">
        <v>36</v>
      </c>
      <c r="Q303">
        <v>1</v>
      </c>
      <c r="R303" t="s">
        <v>68</v>
      </c>
      <c r="S303">
        <v>42</v>
      </c>
      <c r="T303" t="s">
        <v>97</v>
      </c>
      <c r="U303" t="s">
        <v>36</v>
      </c>
      <c r="V303" t="s">
        <v>38</v>
      </c>
      <c r="W303">
        <v>1</v>
      </c>
      <c r="X303" t="s">
        <v>39</v>
      </c>
      <c r="Y303">
        <v>1</v>
      </c>
      <c r="Z303" t="s">
        <v>40</v>
      </c>
      <c r="AA303" t="s">
        <v>40</v>
      </c>
      <c r="AB303">
        <v>2</v>
      </c>
    </row>
    <row r="304" spans="1:28" x14ac:dyDescent="0.3">
      <c r="A304">
        <v>303</v>
      </c>
      <c r="B304" t="s">
        <v>41</v>
      </c>
      <c r="C304" t="s">
        <v>83</v>
      </c>
      <c r="D304" t="s">
        <v>84</v>
      </c>
      <c r="E304">
        <v>24</v>
      </c>
      <c r="F304" t="s">
        <v>29</v>
      </c>
      <c r="G304" t="s">
        <v>63</v>
      </c>
      <c r="H304">
        <v>1344</v>
      </c>
      <c r="I304" t="s">
        <v>31</v>
      </c>
      <c r="J304" t="s">
        <v>31</v>
      </c>
      <c r="K304" t="s">
        <v>55</v>
      </c>
      <c r="L304" t="s">
        <v>56</v>
      </c>
      <c r="M304">
        <v>4</v>
      </c>
      <c r="N304" t="s">
        <v>34</v>
      </c>
      <c r="O304" t="s">
        <v>35</v>
      </c>
      <c r="P304" t="s">
        <v>36</v>
      </c>
      <c r="Q304">
        <v>2</v>
      </c>
      <c r="R304" t="s">
        <v>37</v>
      </c>
      <c r="S304">
        <v>37</v>
      </c>
      <c r="T304" t="s">
        <v>98</v>
      </c>
      <c r="U304" t="s">
        <v>82</v>
      </c>
      <c r="V304" t="s">
        <v>38</v>
      </c>
      <c r="W304">
        <v>2</v>
      </c>
      <c r="X304" t="s">
        <v>57</v>
      </c>
      <c r="Y304">
        <v>2</v>
      </c>
      <c r="Z304" t="s">
        <v>51</v>
      </c>
      <c r="AA304" t="s">
        <v>40</v>
      </c>
      <c r="AB304">
        <v>2</v>
      </c>
    </row>
    <row r="305" spans="1:28" x14ac:dyDescent="0.3">
      <c r="A305">
        <v>304</v>
      </c>
      <c r="B305" t="s">
        <v>26</v>
      </c>
      <c r="C305" t="s">
        <v>27</v>
      </c>
      <c r="D305" t="s">
        <v>28</v>
      </c>
      <c r="E305">
        <v>10</v>
      </c>
      <c r="F305" t="s">
        <v>29</v>
      </c>
      <c r="G305" t="s">
        <v>63</v>
      </c>
      <c r="H305">
        <v>1038</v>
      </c>
      <c r="I305" t="s">
        <v>45</v>
      </c>
      <c r="J305" t="s">
        <v>46</v>
      </c>
      <c r="K305" t="s">
        <v>55</v>
      </c>
      <c r="L305" t="s">
        <v>56</v>
      </c>
      <c r="M305">
        <v>4</v>
      </c>
      <c r="N305" t="s">
        <v>34</v>
      </c>
      <c r="O305" t="s">
        <v>35</v>
      </c>
      <c r="P305" t="s">
        <v>87</v>
      </c>
      <c r="Q305">
        <v>3</v>
      </c>
      <c r="R305" t="s">
        <v>60</v>
      </c>
      <c r="S305">
        <v>49</v>
      </c>
      <c r="T305" t="s">
        <v>97</v>
      </c>
      <c r="U305" t="s">
        <v>36</v>
      </c>
      <c r="V305" t="s">
        <v>38</v>
      </c>
      <c r="W305">
        <v>2</v>
      </c>
      <c r="X305" t="s">
        <v>39</v>
      </c>
      <c r="Y305">
        <v>1</v>
      </c>
      <c r="Z305" t="s">
        <v>40</v>
      </c>
      <c r="AA305" t="s">
        <v>40</v>
      </c>
      <c r="AB305">
        <v>1</v>
      </c>
    </row>
    <row r="306" spans="1:28" x14ac:dyDescent="0.3">
      <c r="A306">
        <v>305</v>
      </c>
      <c r="B306" t="s">
        <v>41</v>
      </c>
      <c r="C306" t="s">
        <v>52</v>
      </c>
      <c r="D306" t="s">
        <v>53</v>
      </c>
      <c r="E306">
        <v>48</v>
      </c>
      <c r="F306" t="s">
        <v>29</v>
      </c>
      <c r="G306" t="s">
        <v>63</v>
      </c>
      <c r="H306">
        <v>10127</v>
      </c>
      <c r="I306" t="s">
        <v>65</v>
      </c>
      <c r="J306" t="s">
        <v>66</v>
      </c>
      <c r="K306" t="s">
        <v>47</v>
      </c>
      <c r="L306" t="s">
        <v>48</v>
      </c>
      <c r="M306">
        <v>2</v>
      </c>
      <c r="N306" t="s">
        <v>34</v>
      </c>
      <c r="O306" t="s">
        <v>35</v>
      </c>
      <c r="P306" t="s">
        <v>36</v>
      </c>
      <c r="Q306">
        <v>2</v>
      </c>
      <c r="R306" t="s">
        <v>64</v>
      </c>
      <c r="S306">
        <v>44</v>
      </c>
      <c r="T306" t="s">
        <v>97</v>
      </c>
      <c r="U306" t="s">
        <v>82</v>
      </c>
      <c r="V306" t="s">
        <v>61</v>
      </c>
      <c r="W306">
        <v>1</v>
      </c>
      <c r="X306" t="s">
        <v>39</v>
      </c>
      <c r="Y306">
        <v>1</v>
      </c>
      <c r="Z306" t="s">
        <v>51</v>
      </c>
      <c r="AA306" t="s">
        <v>40</v>
      </c>
      <c r="AB306">
        <v>2</v>
      </c>
    </row>
    <row r="307" spans="1:28" x14ac:dyDescent="0.3">
      <c r="A307">
        <v>306</v>
      </c>
      <c r="B307" t="s">
        <v>26</v>
      </c>
      <c r="C307" t="s">
        <v>52</v>
      </c>
      <c r="D307" t="s">
        <v>53</v>
      </c>
      <c r="E307">
        <v>6</v>
      </c>
      <c r="F307" t="s">
        <v>44</v>
      </c>
      <c r="G307" t="s">
        <v>58</v>
      </c>
      <c r="H307">
        <v>1543</v>
      </c>
      <c r="I307" t="s">
        <v>71</v>
      </c>
      <c r="J307" t="s">
        <v>72</v>
      </c>
      <c r="K307" t="s">
        <v>47</v>
      </c>
      <c r="L307" t="s">
        <v>48</v>
      </c>
      <c r="M307">
        <v>4</v>
      </c>
      <c r="N307" t="s">
        <v>34</v>
      </c>
      <c r="O307" t="s">
        <v>73</v>
      </c>
      <c r="P307" t="s">
        <v>36</v>
      </c>
      <c r="Q307">
        <v>2</v>
      </c>
      <c r="R307" t="s">
        <v>37</v>
      </c>
      <c r="S307">
        <v>33</v>
      </c>
      <c r="T307" t="s">
        <v>98</v>
      </c>
      <c r="U307" t="s">
        <v>36</v>
      </c>
      <c r="V307" t="s">
        <v>38</v>
      </c>
      <c r="W307">
        <v>1</v>
      </c>
      <c r="X307" t="s">
        <v>39</v>
      </c>
      <c r="Y307">
        <v>1</v>
      </c>
      <c r="Z307" t="s">
        <v>51</v>
      </c>
      <c r="AA307" t="s">
        <v>40</v>
      </c>
      <c r="AB307">
        <v>1</v>
      </c>
    </row>
    <row r="308" spans="1:28" x14ac:dyDescent="0.3">
      <c r="A308">
        <v>307</v>
      </c>
      <c r="B308" t="s">
        <v>26</v>
      </c>
      <c r="C308" t="s">
        <v>52</v>
      </c>
      <c r="D308" t="s">
        <v>53</v>
      </c>
      <c r="E308">
        <v>30</v>
      </c>
      <c r="F308" t="s">
        <v>44</v>
      </c>
      <c r="G308" t="s">
        <v>67</v>
      </c>
      <c r="H308">
        <v>4811</v>
      </c>
      <c r="I308" t="s">
        <v>31</v>
      </c>
      <c r="J308" t="s">
        <v>31</v>
      </c>
      <c r="K308" t="s">
        <v>55</v>
      </c>
      <c r="L308" t="s">
        <v>56</v>
      </c>
      <c r="M308">
        <v>2</v>
      </c>
      <c r="N308" t="s">
        <v>49</v>
      </c>
      <c r="O308" t="s">
        <v>50</v>
      </c>
      <c r="P308" t="s">
        <v>36</v>
      </c>
      <c r="Q308">
        <v>4</v>
      </c>
      <c r="R308" t="s">
        <v>60</v>
      </c>
      <c r="S308">
        <v>24</v>
      </c>
      <c r="T308" t="s">
        <v>96</v>
      </c>
      <c r="U308" t="s">
        <v>86</v>
      </c>
      <c r="V308" t="s">
        <v>69</v>
      </c>
      <c r="W308">
        <v>1</v>
      </c>
      <c r="X308" t="s">
        <v>57</v>
      </c>
      <c r="Y308">
        <v>1</v>
      </c>
      <c r="Z308" t="s">
        <v>51</v>
      </c>
      <c r="AA308" t="s">
        <v>40</v>
      </c>
      <c r="AB308">
        <v>1</v>
      </c>
    </row>
    <row r="309" spans="1:28" x14ac:dyDescent="0.3">
      <c r="A309">
        <v>308</v>
      </c>
      <c r="B309" t="s">
        <v>41</v>
      </c>
      <c r="C309" t="s">
        <v>27</v>
      </c>
      <c r="D309" t="s">
        <v>28</v>
      </c>
      <c r="E309">
        <v>12</v>
      </c>
      <c r="F309" t="s">
        <v>44</v>
      </c>
      <c r="G309" t="s">
        <v>30</v>
      </c>
      <c r="H309">
        <v>727</v>
      </c>
      <c r="I309" t="s">
        <v>79</v>
      </c>
      <c r="J309" t="s">
        <v>80</v>
      </c>
      <c r="K309" t="s">
        <v>76</v>
      </c>
      <c r="L309" t="s">
        <v>77</v>
      </c>
      <c r="M309">
        <v>4</v>
      </c>
      <c r="N309" t="s">
        <v>34</v>
      </c>
      <c r="O309" t="s">
        <v>75</v>
      </c>
      <c r="P309" t="s">
        <v>36</v>
      </c>
      <c r="Q309">
        <v>3</v>
      </c>
      <c r="R309" t="s">
        <v>64</v>
      </c>
      <c r="S309">
        <v>33</v>
      </c>
      <c r="T309" t="s">
        <v>98</v>
      </c>
      <c r="U309" t="s">
        <v>36</v>
      </c>
      <c r="V309" t="s">
        <v>38</v>
      </c>
      <c r="W309">
        <v>1</v>
      </c>
      <c r="X309" t="s">
        <v>57</v>
      </c>
      <c r="Y309">
        <v>1</v>
      </c>
      <c r="Z309" t="s">
        <v>40</v>
      </c>
      <c r="AA309" t="s">
        <v>40</v>
      </c>
      <c r="AB309">
        <v>2</v>
      </c>
    </row>
    <row r="310" spans="1:28" x14ac:dyDescent="0.3">
      <c r="A310">
        <v>309</v>
      </c>
      <c r="B310" t="s">
        <v>41</v>
      </c>
      <c r="C310" t="s">
        <v>42</v>
      </c>
      <c r="D310" t="s">
        <v>43</v>
      </c>
      <c r="E310">
        <v>8</v>
      </c>
      <c r="F310" t="s">
        <v>44</v>
      </c>
      <c r="G310" t="s">
        <v>58</v>
      </c>
      <c r="H310">
        <v>1237</v>
      </c>
      <c r="I310" t="s">
        <v>45</v>
      </c>
      <c r="J310" t="s">
        <v>46</v>
      </c>
      <c r="K310" t="s">
        <v>47</v>
      </c>
      <c r="L310" t="s">
        <v>48</v>
      </c>
      <c r="M310">
        <v>3</v>
      </c>
      <c r="N310" t="s">
        <v>49</v>
      </c>
      <c r="O310" t="s">
        <v>50</v>
      </c>
      <c r="P310" t="s">
        <v>36</v>
      </c>
      <c r="Q310">
        <v>4</v>
      </c>
      <c r="R310" t="s">
        <v>37</v>
      </c>
      <c r="S310">
        <v>24</v>
      </c>
      <c r="T310" t="s">
        <v>96</v>
      </c>
      <c r="U310" t="s">
        <v>36</v>
      </c>
      <c r="V310" t="s">
        <v>38</v>
      </c>
      <c r="W310">
        <v>1</v>
      </c>
      <c r="X310" t="s">
        <v>39</v>
      </c>
      <c r="Y310">
        <v>1</v>
      </c>
      <c r="Z310" t="s">
        <v>51</v>
      </c>
      <c r="AA310" t="s">
        <v>40</v>
      </c>
      <c r="AB310">
        <v>2</v>
      </c>
    </row>
    <row r="311" spans="1:28" x14ac:dyDescent="0.3">
      <c r="A311">
        <v>310</v>
      </c>
      <c r="B311" t="s">
        <v>26</v>
      </c>
      <c r="C311" t="s">
        <v>42</v>
      </c>
      <c r="D311" t="s">
        <v>43</v>
      </c>
      <c r="E311">
        <v>9</v>
      </c>
      <c r="F311" t="s">
        <v>44</v>
      </c>
      <c r="G311" t="s">
        <v>63</v>
      </c>
      <c r="H311">
        <v>276</v>
      </c>
      <c r="I311" t="s">
        <v>45</v>
      </c>
      <c r="J311" t="s">
        <v>46</v>
      </c>
      <c r="K311" t="s">
        <v>47</v>
      </c>
      <c r="L311" t="s">
        <v>48</v>
      </c>
      <c r="M311">
        <v>4</v>
      </c>
      <c r="N311" t="s">
        <v>34</v>
      </c>
      <c r="O311" t="s">
        <v>75</v>
      </c>
      <c r="P311" t="s">
        <v>36</v>
      </c>
      <c r="Q311">
        <v>4</v>
      </c>
      <c r="R311" t="s">
        <v>37</v>
      </c>
      <c r="S311">
        <v>22</v>
      </c>
      <c r="T311" t="s">
        <v>96</v>
      </c>
      <c r="U311" t="s">
        <v>36</v>
      </c>
      <c r="V311" t="s">
        <v>69</v>
      </c>
      <c r="W311">
        <v>1</v>
      </c>
      <c r="X311" t="s">
        <v>57</v>
      </c>
      <c r="Y311">
        <v>1</v>
      </c>
      <c r="Z311" t="s">
        <v>51</v>
      </c>
      <c r="AA311" t="s">
        <v>40</v>
      </c>
      <c r="AB311">
        <v>1</v>
      </c>
    </row>
    <row r="312" spans="1:28" x14ac:dyDescent="0.3">
      <c r="A312">
        <v>311</v>
      </c>
      <c r="B312" t="s">
        <v>26</v>
      </c>
      <c r="C312" t="s">
        <v>42</v>
      </c>
      <c r="D312" t="s">
        <v>43</v>
      </c>
      <c r="E312">
        <v>48</v>
      </c>
      <c r="F312" t="s">
        <v>44</v>
      </c>
      <c r="G312" t="s">
        <v>91</v>
      </c>
      <c r="H312">
        <v>5381</v>
      </c>
      <c r="I312" t="s">
        <v>31</v>
      </c>
      <c r="J312" t="s">
        <v>31</v>
      </c>
      <c r="K312" t="s">
        <v>74</v>
      </c>
      <c r="L312" t="s">
        <v>74</v>
      </c>
      <c r="M312">
        <v>3</v>
      </c>
      <c r="N312" t="s">
        <v>34</v>
      </c>
      <c r="O312" t="s">
        <v>35</v>
      </c>
      <c r="P312" t="s">
        <v>36</v>
      </c>
      <c r="Q312">
        <v>4</v>
      </c>
      <c r="R312" t="s">
        <v>64</v>
      </c>
      <c r="S312">
        <v>40</v>
      </c>
      <c r="T312" t="s">
        <v>97</v>
      </c>
      <c r="U312" t="s">
        <v>82</v>
      </c>
      <c r="V312" t="s">
        <v>61</v>
      </c>
      <c r="W312">
        <v>1</v>
      </c>
      <c r="X312" t="s">
        <v>90</v>
      </c>
      <c r="Y312">
        <v>1</v>
      </c>
      <c r="Z312" t="s">
        <v>40</v>
      </c>
      <c r="AA312" t="s">
        <v>40</v>
      </c>
      <c r="AB312">
        <v>1</v>
      </c>
    </row>
    <row r="313" spans="1:28" x14ac:dyDescent="0.3">
      <c r="A313">
        <v>312</v>
      </c>
      <c r="B313" t="s">
        <v>26</v>
      </c>
      <c r="C313" t="s">
        <v>52</v>
      </c>
      <c r="D313" t="s">
        <v>53</v>
      </c>
      <c r="E313">
        <v>24</v>
      </c>
      <c r="F313" t="s">
        <v>44</v>
      </c>
      <c r="G313" t="s">
        <v>58</v>
      </c>
      <c r="H313">
        <v>5511</v>
      </c>
      <c r="I313" t="s">
        <v>79</v>
      </c>
      <c r="J313" t="s">
        <v>80</v>
      </c>
      <c r="K313" t="s">
        <v>47</v>
      </c>
      <c r="L313" t="s">
        <v>48</v>
      </c>
      <c r="M313">
        <v>4</v>
      </c>
      <c r="N313" t="s">
        <v>34</v>
      </c>
      <c r="O313" t="s">
        <v>35</v>
      </c>
      <c r="P313" t="s">
        <v>36</v>
      </c>
      <c r="Q313">
        <v>1</v>
      </c>
      <c r="R313" t="s">
        <v>68</v>
      </c>
      <c r="S313">
        <v>25</v>
      </c>
      <c r="T313" t="s">
        <v>98</v>
      </c>
      <c r="U313" t="s">
        <v>86</v>
      </c>
      <c r="V313" t="s">
        <v>38</v>
      </c>
      <c r="W313">
        <v>1</v>
      </c>
      <c r="X313" t="s">
        <v>39</v>
      </c>
      <c r="Y313">
        <v>1</v>
      </c>
      <c r="Z313" t="s">
        <v>51</v>
      </c>
      <c r="AA313" t="s">
        <v>40</v>
      </c>
      <c r="AB313">
        <v>1</v>
      </c>
    </row>
    <row r="314" spans="1:28" x14ac:dyDescent="0.3">
      <c r="A314">
        <v>313</v>
      </c>
      <c r="B314" t="s">
        <v>26</v>
      </c>
      <c r="C314" t="s">
        <v>83</v>
      </c>
      <c r="D314" t="s">
        <v>84</v>
      </c>
      <c r="E314">
        <v>24</v>
      </c>
      <c r="F314" t="s">
        <v>44</v>
      </c>
      <c r="G314" t="s">
        <v>58</v>
      </c>
      <c r="H314">
        <v>3749</v>
      </c>
      <c r="I314" t="s">
        <v>45</v>
      </c>
      <c r="J314" t="s">
        <v>46</v>
      </c>
      <c r="K314" t="s">
        <v>76</v>
      </c>
      <c r="L314" t="s">
        <v>77</v>
      </c>
      <c r="M314">
        <v>2</v>
      </c>
      <c r="N314" t="s">
        <v>49</v>
      </c>
      <c r="O314" t="s">
        <v>50</v>
      </c>
      <c r="P314" t="s">
        <v>36</v>
      </c>
      <c r="Q314">
        <v>4</v>
      </c>
      <c r="R314" t="s">
        <v>68</v>
      </c>
      <c r="S314">
        <v>26</v>
      </c>
      <c r="T314" t="s">
        <v>98</v>
      </c>
      <c r="U314" t="s">
        <v>36</v>
      </c>
      <c r="V314" t="s">
        <v>38</v>
      </c>
      <c r="W314">
        <v>1</v>
      </c>
      <c r="X314" t="s">
        <v>39</v>
      </c>
      <c r="Y314">
        <v>1</v>
      </c>
      <c r="Z314" t="s">
        <v>51</v>
      </c>
      <c r="AA314" t="s">
        <v>40</v>
      </c>
      <c r="AB314">
        <v>1</v>
      </c>
    </row>
    <row r="315" spans="1:28" x14ac:dyDescent="0.3">
      <c r="A315">
        <v>314</v>
      </c>
      <c r="B315" t="s">
        <v>41</v>
      </c>
      <c r="C315" t="s">
        <v>42</v>
      </c>
      <c r="D315" t="s">
        <v>43</v>
      </c>
      <c r="E315">
        <v>12</v>
      </c>
      <c r="F315" t="s">
        <v>44</v>
      </c>
      <c r="G315" t="s">
        <v>63</v>
      </c>
      <c r="H315">
        <v>685</v>
      </c>
      <c r="I315" t="s">
        <v>45</v>
      </c>
      <c r="J315" t="s">
        <v>46</v>
      </c>
      <c r="K315" t="s">
        <v>55</v>
      </c>
      <c r="L315" t="s">
        <v>56</v>
      </c>
      <c r="M315">
        <v>2</v>
      </c>
      <c r="N315" t="s">
        <v>34</v>
      </c>
      <c r="O315" t="s">
        <v>75</v>
      </c>
      <c r="P315" t="s">
        <v>36</v>
      </c>
      <c r="Q315">
        <v>3</v>
      </c>
      <c r="R315" t="s">
        <v>68</v>
      </c>
      <c r="S315">
        <v>25</v>
      </c>
      <c r="T315" t="s">
        <v>98</v>
      </c>
      <c r="U315" t="s">
        <v>82</v>
      </c>
      <c r="V315" t="s">
        <v>38</v>
      </c>
      <c r="W315">
        <v>1</v>
      </c>
      <c r="X315" t="s">
        <v>57</v>
      </c>
      <c r="Y315">
        <v>1</v>
      </c>
      <c r="Z315" t="s">
        <v>51</v>
      </c>
      <c r="AA315" t="s">
        <v>40</v>
      </c>
      <c r="AB315">
        <v>2</v>
      </c>
    </row>
    <row r="316" spans="1:28" x14ac:dyDescent="0.3">
      <c r="A316">
        <v>315</v>
      </c>
      <c r="B316" t="s">
        <v>26</v>
      </c>
      <c r="C316" t="s">
        <v>83</v>
      </c>
      <c r="D316" t="s">
        <v>84</v>
      </c>
      <c r="E316">
        <v>4</v>
      </c>
      <c r="F316" t="s">
        <v>44</v>
      </c>
      <c r="G316" t="s">
        <v>63</v>
      </c>
      <c r="H316">
        <v>1494</v>
      </c>
      <c r="I316" t="s">
        <v>31</v>
      </c>
      <c r="J316" t="s">
        <v>31</v>
      </c>
      <c r="K316" t="s">
        <v>76</v>
      </c>
      <c r="L316" t="s">
        <v>77</v>
      </c>
      <c r="M316">
        <v>1</v>
      </c>
      <c r="N316" t="s">
        <v>34</v>
      </c>
      <c r="O316" t="s">
        <v>35</v>
      </c>
      <c r="P316" t="s">
        <v>36</v>
      </c>
      <c r="Q316">
        <v>2</v>
      </c>
      <c r="R316" t="s">
        <v>37</v>
      </c>
      <c r="S316">
        <v>29</v>
      </c>
      <c r="T316" t="s">
        <v>98</v>
      </c>
      <c r="U316" t="s">
        <v>36</v>
      </c>
      <c r="V316" t="s">
        <v>38</v>
      </c>
      <c r="W316">
        <v>1</v>
      </c>
      <c r="X316" t="s">
        <v>57</v>
      </c>
      <c r="Y316">
        <v>2</v>
      </c>
      <c r="Z316" t="s">
        <v>51</v>
      </c>
      <c r="AA316" t="s">
        <v>51</v>
      </c>
      <c r="AB316">
        <v>1</v>
      </c>
    </row>
    <row r="317" spans="1:28" x14ac:dyDescent="0.3">
      <c r="A317">
        <v>316</v>
      </c>
      <c r="B317" t="s">
        <v>41</v>
      </c>
      <c r="C317" t="s">
        <v>27</v>
      </c>
      <c r="D317" t="s">
        <v>28</v>
      </c>
      <c r="E317">
        <v>36</v>
      </c>
      <c r="F317" t="s">
        <v>85</v>
      </c>
      <c r="G317" t="s">
        <v>58</v>
      </c>
      <c r="H317">
        <v>2746</v>
      </c>
      <c r="I317" t="s">
        <v>45</v>
      </c>
      <c r="J317" t="s">
        <v>46</v>
      </c>
      <c r="K317" t="s">
        <v>32</v>
      </c>
      <c r="L317" t="s">
        <v>33</v>
      </c>
      <c r="M317">
        <v>4</v>
      </c>
      <c r="N317" t="s">
        <v>34</v>
      </c>
      <c r="O317" t="s">
        <v>35</v>
      </c>
      <c r="P317" t="s">
        <v>36</v>
      </c>
      <c r="Q317">
        <v>4</v>
      </c>
      <c r="R317" t="s">
        <v>68</v>
      </c>
      <c r="S317">
        <v>31</v>
      </c>
      <c r="T317" t="s">
        <v>98</v>
      </c>
      <c r="U317" t="s">
        <v>82</v>
      </c>
      <c r="V317" t="s">
        <v>38</v>
      </c>
      <c r="W317">
        <v>1</v>
      </c>
      <c r="X317" t="s">
        <v>39</v>
      </c>
      <c r="Y317">
        <v>1</v>
      </c>
      <c r="Z317" t="s">
        <v>51</v>
      </c>
      <c r="AA317" t="s">
        <v>40</v>
      </c>
      <c r="AB317">
        <v>2</v>
      </c>
    </row>
    <row r="318" spans="1:28" x14ac:dyDescent="0.3">
      <c r="A318">
        <v>317</v>
      </c>
      <c r="B318" t="s">
        <v>26</v>
      </c>
      <c r="C318" t="s">
        <v>27</v>
      </c>
      <c r="D318" t="s">
        <v>28</v>
      </c>
      <c r="E318">
        <v>12</v>
      </c>
      <c r="F318" t="s">
        <v>44</v>
      </c>
      <c r="G318" t="s">
        <v>58</v>
      </c>
      <c r="H318">
        <v>708</v>
      </c>
      <c r="I318" t="s">
        <v>45</v>
      </c>
      <c r="J318" t="s">
        <v>46</v>
      </c>
      <c r="K318" t="s">
        <v>47</v>
      </c>
      <c r="L318" t="s">
        <v>48</v>
      </c>
      <c r="M318">
        <v>2</v>
      </c>
      <c r="N318" t="s">
        <v>34</v>
      </c>
      <c r="O318" t="s">
        <v>35</v>
      </c>
      <c r="P318" t="s">
        <v>59</v>
      </c>
      <c r="Q318">
        <v>3</v>
      </c>
      <c r="R318" t="s">
        <v>60</v>
      </c>
      <c r="S318">
        <v>38</v>
      </c>
      <c r="T318" t="s">
        <v>98</v>
      </c>
      <c r="U318" t="s">
        <v>36</v>
      </c>
      <c r="V318" t="s">
        <v>38</v>
      </c>
      <c r="W318">
        <v>1</v>
      </c>
      <c r="X318" t="s">
        <v>57</v>
      </c>
      <c r="Y318">
        <v>2</v>
      </c>
      <c r="Z318" t="s">
        <v>51</v>
      </c>
      <c r="AA318" t="s">
        <v>40</v>
      </c>
      <c r="AB318">
        <v>1</v>
      </c>
    </row>
    <row r="319" spans="1:28" x14ac:dyDescent="0.3">
      <c r="A319">
        <v>318</v>
      </c>
      <c r="B319" t="s">
        <v>26</v>
      </c>
      <c r="C319" t="s">
        <v>42</v>
      </c>
      <c r="D319" t="s">
        <v>43</v>
      </c>
      <c r="E319">
        <v>24</v>
      </c>
      <c r="F319" t="s">
        <v>44</v>
      </c>
      <c r="G319" t="s">
        <v>58</v>
      </c>
      <c r="H319">
        <v>4351</v>
      </c>
      <c r="I319" t="s">
        <v>31</v>
      </c>
      <c r="J319" t="s">
        <v>31</v>
      </c>
      <c r="K319" t="s">
        <v>47</v>
      </c>
      <c r="L319" t="s">
        <v>48</v>
      </c>
      <c r="M319">
        <v>1</v>
      </c>
      <c r="N319" t="s">
        <v>49</v>
      </c>
      <c r="O319" t="s">
        <v>50</v>
      </c>
      <c r="P319" t="s">
        <v>36</v>
      </c>
      <c r="Q319">
        <v>4</v>
      </c>
      <c r="R319" t="s">
        <v>60</v>
      </c>
      <c r="S319">
        <v>48</v>
      </c>
      <c r="T319" t="s">
        <v>97</v>
      </c>
      <c r="U319" t="s">
        <v>36</v>
      </c>
      <c r="V319" t="s">
        <v>38</v>
      </c>
      <c r="W319">
        <v>1</v>
      </c>
      <c r="X319" t="s">
        <v>57</v>
      </c>
      <c r="Y319">
        <v>1</v>
      </c>
      <c r="Z319" t="s">
        <v>40</v>
      </c>
      <c r="AA319" t="s">
        <v>40</v>
      </c>
      <c r="AB319">
        <v>1</v>
      </c>
    </row>
    <row r="320" spans="1:28" x14ac:dyDescent="0.3">
      <c r="A320">
        <v>319</v>
      </c>
      <c r="B320" t="s">
        <v>26</v>
      </c>
      <c r="C320" t="s">
        <v>52</v>
      </c>
      <c r="D320" t="s">
        <v>53</v>
      </c>
      <c r="E320">
        <v>12</v>
      </c>
      <c r="F320" t="s">
        <v>29</v>
      </c>
      <c r="G320" t="s">
        <v>54</v>
      </c>
      <c r="H320">
        <v>701</v>
      </c>
      <c r="I320" t="s">
        <v>45</v>
      </c>
      <c r="J320" t="s">
        <v>46</v>
      </c>
      <c r="K320" t="s">
        <v>47</v>
      </c>
      <c r="L320" t="s">
        <v>48</v>
      </c>
      <c r="M320">
        <v>4</v>
      </c>
      <c r="N320" t="s">
        <v>34</v>
      </c>
      <c r="O320" t="s">
        <v>35</v>
      </c>
      <c r="P320" t="s">
        <v>36</v>
      </c>
      <c r="Q320">
        <v>2</v>
      </c>
      <c r="R320" t="s">
        <v>68</v>
      </c>
      <c r="S320">
        <v>32</v>
      </c>
      <c r="T320" t="s">
        <v>98</v>
      </c>
      <c r="U320" t="s">
        <v>36</v>
      </c>
      <c r="V320" t="s">
        <v>38</v>
      </c>
      <c r="W320">
        <v>2</v>
      </c>
      <c r="X320" t="s">
        <v>39</v>
      </c>
      <c r="Y320">
        <v>1</v>
      </c>
      <c r="Z320" t="s">
        <v>51</v>
      </c>
      <c r="AA320" t="s">
        <v>40</v>
      </c>
      <c r="AB320">
        <v>1</v>
      </c>
    </row>
    <row r="321" spans="1:28" x14ac:dyDescent="0.3">
      <c r="A321">
        <v>320</v>
      </c>
      <c r="B321" t="s">
        <v>26</v>
      </c>
      <c r="C321" t="s">
        <v>27</v>
      </c>
      <c r="D321" t="s">
        <v>28</v>
      </c>
      <c r="E321">
        <v>15</v>
      </c>
      <c r="F321" t="s">
        <v>62</v>
      </c>
      <c r="G321" t="s">
        <v>58</v>
      </c>
      <c r="H321">
        <v>3643</v>
      </c>
      <c r="I321" t="s">
        <v>45</v>
      </c>
      <c r="J321" t="s">
        <v>46</v>
      </c>
      <c r="K321" t="s">
        <v>32</v>
      </c>
      <c r="L321" t="s">
        <v>33</v>
      </c>
      <c r="M321">
        <v>1</v>
      </c>
      <c r="N321" t="s">
        <v>49</v>
      </c>
      <c r="O321" t="s">
        <v>50</v>
      </c>
      <c r="P321" t="s">
        <v>36</v>
      </c>
      <c r="Q321">
        <v>4</v>
      </c>
      <c r="R321" t="s">
        <v>60</v>
      </c>
      <c r="S321">
        <v>27</v>
      </c>
      <c r="T321" t="s">
        <v>98</v>
      </c>
      <c r="U321" t="s">
        <v>36</v>
      </c>
      <c r="V321" t="s">
        <v>38</v>
      </c>
      <c r="W321">
        <v>2</v>
      </c>
      <c r="X321" t="s">
        <v>57</v>
      </c>
      <c r="Y321">
        <v>1</v>
      </c>
      <c r="Z321" t="s">
        <v>51</v>
      </c>
      <c r="AA321" t="s">
        <v>40</v>
      </c>
      <c r="AB321">
        <v>1</v>
      </c>
    </row>
    <row r="322" spans="1:28" x14ac:dyDescent="0.3">
      <c r="A322">
        <v>321</v>
      </c>
      <c r="B322" t="s">
        <v>41</v>
      </c>
      <c r="C322" t="s">
        <v>42</v>
      </c>
      <c r="D322" t="s">
        <v>43</v>
      </c>
      <c r="E322">
        <v>30</v>
      </c>
      <c r="F322" t="s">
        <v>29</v>
      </c>
      <c r="G322" t="s">
        <v>63</v>
      </c>
      <c r="H322">
        <v>4249</v>
      </c>
      <c r="I322" t="s">
        <v>45</v>
      </c>
      <c r="J322" t="s">
        <v>46</v>
      </c>
      <c r="K322" t="s">
        <v>74</v>
      </c>
      <c r="L322" t="s">
        <v>74</v>
      </c>
      <c r="M322">
        <v>4</v>
      </c>
      <c r="N322" t="s">
        <v>34</v>
      </c>
      <c r="O322" t="s">
        <v>75</v>
      </c>
      <c r="P322" t="s">
        <v>36</v>
      </c>
      <c r="Q322">
        <v>2</v>
      </c>
      <c r="R322" t="s">
        <v>68</v>
      </c>
      <c r="S322">
        <v>28</v>
      </c>
      <c r="T322" t="s">
        <v>98</v>
      </c>
      <c r="U322" t="s">
        <v>36</v>
      </c>
      <c r="V322" t="s">
        <v>38</v>
      </c>
      <c r="W322">
        <v>2</v>
      </c>
      <c r="X322" t="s">
        <v>70</v>
      </c>
      <c r="Y322">
        <v>1</v>
      </c>
      <c r="Z322" t="s">
        <v>51</v>
      </c>
      <c r="AA322" t="s">
        <v>40</v>
      </c>
      <c r="AB322">
        <v>2</v>
      </c>
    </row>
    <row r="323" spans="1:28" x14ac:dyDescent="0.3">
      <c r="A323">
        <v>322</v>
      </c>
      <c r="B323" t="s">
        <v>41</v>
      </c>
      <c r="C323" t="s">
        <v>27</v>
      </c>
      <c r="D323" t="s">
        <v>28</v>
      </c>
      <c r="E323">
        <v>24</v>
      </c>
      <c r="F323" t="s">
        <v>44</v>
      </c>
      <c r="G323" t="s">
        <v>30</v>
      </c>
      <c r="H323">
        <v>1938</v>
      </c>
      <c r="I323" t="s">
        <v>45</v>
      </c>
      <c r="J323" t="s">
        <v>46</v>
      </c>
      <c r="K323" t="s">
        <v>76</v>
      </c>
      <c r="L323" t="s">
        <v>77</v>
      </c>
      <c r="M323">
        <v>4</v>
      </c>
      <c r="N323" t="s">
        <v>34</v>
      </c>
      <c r="O323" t="s">
        <v>73</v>
      </c>
      <c r="P323" t="s">
        <v>36</v>
      </c>
      <c r="Q323">
        <v>3</v>
      </c>
      <c r="R323" t="s">
        <v>60</v>
      </c>
      <c r="S323">
        <v>32</v>
      </c>
      <c r="T323" t="s">
        <v>98</v>
      </c>
      <c r="U323" t="s">
        <v>36</v>
      </c>
      <c r="V323" t="s">
        <v>38</v>
      </c>
      <c r="W323">
        <v>1</v>
      </c>
      <c r="X323" t="s">
        <v>39</v>
      </c>
      <c r="Y323">
        <v>1</v>
      </c>
      <c r="Z323" t="s">
        <v>51</v>
      </c>
      <c r="AA323" t="s">
        <v>40</v>
      </c>
      <c r="AB323">
        <v>2</v>
      </c>
    </row>
    <row r="324" spans="1:28" x14ac:dyDescent="0.3">
      <c r="A324">
        <v>323</v>
      </c>
      <c r="B324" t="s">
        <v>26</v>
      </c>
      <c r="C324" t="s">
        <v>27</v>
      </c>
      <c r="D324" t="s">
        <v>28</v>
      </c>
      <c r="E324">
        <v>24</v>
      </c>
      <c r="F324" t="s">
        <v>44</v>
      </c>
      <c r="G324" t="s">
        <v>67</v>
      </c>
      <c r="H324">
        <v>2910</v>
      </c>
      <c r="I324" t="s">
        <v>45</v>
      </c>
      <c r="J324" t="s">
        <v>46</v>
      </c>
      <c r="K324" t="s">
        <v>55</v>
      </c>
      <c r="L324" t="s">
        <v>56</v>
      </c>
      <c r="M324">
        <v>2</v>
      </c>
      <c r="N324" t="s">
        <v>34</v>
      </c>
      <c r="O324" t="s">
        <v>35</v>
      </c>
      <c r="P324" t="s">
        <v>36</v>
      </c>
      <c r="Q324">
        <v>1</v>
      </c>
      <c r="R324" t="s">
        <v>64</v>
      </c>
      <c r="S324">
        <v>34</v>
      </c>
      <c r="T324" t="s">
        <v>98</v>
      </c>
      <c r="U324" t="s">
        <v>36</v>
      </c>
      <c r="V324" t="s">
        <v>61</v>
      </c>
      <c r="W324">
        <v>1</v>
      </c>
      <c r="X324" t="s">
        <v>70</v>
      </c>
      <c r="Y324">
        <v>1</v>
      </c>
      <c r="Z324" t="s">
        <v>40</v>
      </c>
      <c r="AA324" t="s">
        <v>40</v>
      </c>
      <c r="AB324">
        <v>1</v>
      </c>
    </row>
    <row r="325" spans="1:28" x14ac:dyDescent="0.3">
      <c r="A325">
        <v>324</v>
      </c>
      <c r="B325" t="s">
        <v>26</v>
      </c>
      <c r="C325" t="s">
        <v>27</v>
      </c>
      <c r="D325" t="s">
        <v>28</v>
      </c>
      <c r="E325">
        <v>18</v>
      </c>
      <c r="F325" t="s">
        <v>44</v>
      </c>
      <c r="G325" t="s">
        <v>58</v>
      </c>
      <c r="H325">
        <v>2659</v>
      </c>
      <c r="I325" t="s">
        <v>71</v>
      </c>
      <c r="J325" t="s">
        <v>72</v>
      </c>
      <c r="K325" t="s">
        <v>47</v>
      </c>
      <c r="L325" t="s">
        <v>48</v>
      </c>
      <c r="M325">
        <v>4</v>
      </c>
      <c r="N325" t="s">
        <v>34</v>
      </c>
      <c r="O325" t="s">
        <v>35</v>
      </c>
      <c r="P325" t="s">
        <v>36</v>
      </c>
      <c r="Q325">
        <v>2</v>
      </c>
      <c r="R325" t="s">
        <v>68</v>
      </c>
      <c r="S325">
        <v>28</v>
      </c>
      <c r="T325" t="s">
        <v>98</v>
      </c>
      <c r="U325" t="s">
        <v>36</v>
      </c>
      <c r="V325" t="s">
        <v>38</v>
      </c>
      <c r="W325">
        <v>1</v>
      </c>
      <c r="X325" t="s">
        <v>39</v>
      </c>
      <c r="Y325">
        <v>1</v>
      </c>
      <c r="Z325" t="s">
        <v>51</v>
      </c>
      <c r="AA325" t="s">
        <v>40</v>
      </c>
      <c r="AB325">
        <v>1</v>
      </c>
    </row>
    <row r="326" spans="1:28" x14ac:dyDescent="0.3">
      <c r="A326">
        <v>325</v>
      </c>
      <c r="B326" t="s">
        <v>26</v>
      </c>
      <c r="C326" t="s">
        <v>52</v>
      </c>
      <c r="D326" t="s">
        <v>53</v>
      </c>
      <c r="E326">
        <v>18</v>
      </c>
      <c r="F326" t="s">
        <v>29</v>
      </c>
      <c r="G326" t="s">
        <v>63</v>
      </c>
      <c r="H326">
        <v>1028</v>
      </c>
      <c r="I326" t="s">
        <v>45</v>
      </c>
      <c r="J326" t="s">
        <v>46</v>
      </c>
      <c r="K326" t="s">
        <v>47</v>
      </c>
      <c r="L326" t="s">
        <v>48</v>
      </c>
      <c r="M326">
        <v>4</v>
      </c>
      <c r="N326" t="s">
        <v>49</v>
      </c>
      <c r="O326" t="s">
        <v>50</v>
      </c>
      <c r="P326" t="s">
        <v>36</v>
      </c>
      <c r="Q326">
        <v>3</v>
      </c>
      <c r="R326" t="s">
        <v>37</v>
      </c>
      <c r="S326">
        <v>36</v>
      </c>
      <c r="T326" t="s">
        <v>98</v>
      </c>
      <c r="U326" t="s">
        <v>36</v>
      </c>
      <c r="V326" t="s">
        <v>38</v>
      </c>
      <c r="W326">
        <v>2</v>
      </c>
      <c r="X326" t="s">
        <v>39</v>
      </c>
      <c r="Y326">
        <v>1</v>
      </c>
      <c r="Z326" t="s">
        <v>51</v>
      </c>
      <c r="AA326" t="s">
        <v>40</v>
      </c>
      <c r="AB326">
        <v>1</v>
      </c>
    </row>
    <row r="327" spans="1:28" x14ac:dyDescent="0.3">
      <c r="A327">
        <v>326</v>
      </c>
      <c r="B327" t="s">
        <v>26</v>
      </c>
      <c r="C327" t="s">
        <v>27</v>
      </c>
      <c r="D327" t="s">
        <v>28</v>
      </c>
      <c r="E327">
        <v>8</v>
      </c>
      <c r="F327" t="s">
        <v>29</v>
      </c>
      <c r="G327" t="s">
        <v>63</v>
      </c>
      <c r="H327">
        <v>3398</v>
      </c>
      <c r="I327" t="s">
        <v>45</v>
      </c>
      <c r="J327" t="s">
        <v>46</v>
      </c>
      <c r="K327" t="s">
        <v>55</v>
      </c>
      <c r="L327" t="s">
        <v>56</v>
      </c>
      <c r="M327">
        <v>1</v>
      </c>
      <c r="N327" t="s">
        <v>34</v>
      </c>
      <c r="O327" t="s">
        <v>35</v>
      </c>
      <c r="P327" t="s">
        <v>36</v>
      </c>
      <c r="Q327">
        <v>4</v>
      </c>
      <c r="R327" t="s">
        <v>37</v>
      </c>
      <c r="S327">
        <v>39</v>
      </c>
      <c r="T327" t="s">
        <v>98</v>
      </c>
      <c r="U327" t="s">
        <v>36</v>
      </c>
      <c r="V327" t="s">
        <v>38</v>
      </c>
      <c r="W327">
        <v>2</v>
      </c>
      <c r="X327" t="s">
        <v>57</v>
      </c>
      <c r="Y327">
        <v>1</v>
      </c>
      <c r="Z327" t="s">
        <v>51</v>
      </c>
      <c r="AA327" t="s">
        <v>51</v>
      </c>
      <c r="AB327">
        <v>1</v>
      </c>
    </row>
    <row r="328" spans="1:28" x14ac:dyDescent="0.3">
      <c r="A328">
        <v>327</v>
      </c>
      <c r="B328" t="s">
        <v>26</v>
      </c>
      <c r="C328" t="s">
        <v>52</v>
      </c>
      <c r="D328" t="s">
        <v>53</v>
      </c>
      <c r="E328">
        <v>12</v>
      </c>
      <c r="F328" t="s">
        <v>29</v>
      </c>
      <c r="G328" t="s">
        <v>58</v>
      </c>
      <c r="H328">
        <v>5801</v>
      </c>
      <c r="I328" t="s">
        <v>31</v>
      </c>
      <c r="J328" t="s">
        <v>31</v>
      </c>
      <c r="K328" t="s">
        <v>32</v>
      </c>
      <c r="L328" t="s">
        <v>33</v>
      </c>
      <c r="M328">
        <v>2</v>
      </c>
      <c r="N328" t="s">
        <v>34</v>
      </c>
      <c r="O328" t="s">
        <v>35</v>
      </c>
      <c r="P328" t="s">
        <v>36</v>
      </c>
      <c r="Q328">
        <v>4</v>
      </c>
      <c r="R328" t="s">
        <v>60</v>
      </c>
      <c r="S328">
        <v>49</v>
      </c>
      <c r="T328" t="s">
        <v>97</v>
      </c>
      <c r="U328" t="s">
        <v>36</v>
      </c>
      <c r="V328" t="s">
        <v>69</v>
      </c>
      <c r="W328">
        <v>1</v>
      </c>
      <c r="X328" t="s">
        <v>39</v>
      </c>
      <c r="Y328">
        <v>1</v>
      </c>
      <c r="Z328" t="s">
        <v>40</v>
      </c>
      <c r="AA328" t="s">
        <v>40</v>
      </c>
      <c r="AB328">
        <v>1</v>
      </c>
    </row>
    <row r="329" spans="1:28" x14ac:dyDescent="0.3">
      <c r="A329">
        <v>328</v>
      </c>
      <c r="B329" t="s">
        <v>26</v>
      </c>
      <c r="C329" t="s">
        <v>52</v>
      </c>
      <c r="D329" t="s">
        <v>53</v>
      </c>
      <c r="E329">
        <v>24</v>
      </c>
      <c r="F329" t="s">
        <v>44</v>
      </c>
      <c r="G329" t="s">
        <v>63</v>
      </c>
      <c r="H329">
        <v>1525</v>
      </c>
      <c r="I329" t="s">
        <v>71</v>
      </c>
      <c r="J329" t="s">
        <v>72</v>
      </c>
      <c r="K329" t="s">
        <v>55</v>
      </c>
      <c r="L329" t="s">
        <v>56</v>
      </c>
      <c r="M329">
        <v>4</v>
      </c>
      <c r="N329" t="s">
        <v>49</v>
      </c>
      <c r="O329" t="s">
        <v>50</v>
      </c>
      <c r="P329" t="s">
        <v>36</v>
      </c>
      <c r="Q329">
        <v>3</v>
      </c>
      <c r="R329" t="s">
        <v>68</v>
      </c>
      <c r="S329">
        <v>34</v>
      </c>
      <c r="T329" t="s">
        <v>98</v>
      </c>
      <c r="U329" t="s">
        <v>36</v>
      </c>
      <c r="V329" t="s">
        <v>38</v>
      </c>
      <c r="W329">
        <v>1</v>
      </c>
      <c r="X329" t="s">
        <v>39</v>
      </c>
      <c r="Y329">
        <v>2</v>
      </c>
      <c r="Z329" t="s">
        <v>40</v>
      </c>
      <c r="AA329" t="s">
        <v>40</v>
      </c>
      <c r="AB329">
        <v>1</v>
      </c>
    </row>
    <row r="330" spans="1:28" x14ac:dyDescent="0.3">
      <c r="A330">
        <v>329</v>
      </c>
      <c r="B330" t="s">
        <v>26</v>
      </c>
      <c r="C330" t="s">
        <v>83</v>
      </c>
      <c r="D330" t="s">
        <v>84</v>
      </c>
      <c r="E330">
        <v>36</v>
      </c>
      <c r="F330" t="s">
        <v>44</v>
      </c>
      <c r="G330" t="s">
        <v>30</v>
      </c>
      <c r="H330">
        <v>4473</v>
      </c>
      <c r="I330" t="s">
        <v>45</v>
      </c>
      <c r="J330" t="s">
        <v>46</v>
      </c>
      <c r="K330" t="s">
        <v>32</v>
      </c>
      <c r="L330" t="s">
        <v>33</v>
      </c>
      <c r="M330">
        <v>4</v>
      </c>
      <c r="N330" t="s">
        <v>34</v>
      </c>
      <c r="O330" t="s">
        <v>35</v>
      </c>
      <c r="P330" t="s">
        <v>36</v>
      </c>
      <c r="Q330">
        <v>2</v>
      </c>
      <c r="R330" t="s">
        <v>68</v>
      </c>
      <c r="S330">
        <v>31</v>
      </c>
      <c r="T330" t="s">
        <v>98</v>
      </c>
      <c r="U330" t="s">
        <v>36</v>
      </c>
      <c r="V330" t="s">
        <v>38</v>
      </c>
      <c r="W330">
        <v>1</v>
      </c>
      <c r="X330" t="s">
        <v>39</v>
      </c>
      <c r="Y330">
        <v>1</v>
      </c>
      <c r="Z330" t="s">
        <v>51</v>
      </c>
      <c r="AA330" t="s">
        <v>40</v>
      </c>
      <c r="AB330">
        <v>1</v>
      </c>
    </row>
    <row r="331" spans="1:28" x14ac:dyDescent="0.3">
      <c r="A331">
        <v>330</v>
      </c>
      <c r="B331" t="s">
        <v>26</v>
      </c>
      <c r="C331" t="s">
        <v>42</v>
      </c>
      <c r="D331" t="s">
        <v>43</v>
      </c>
      <c r="E331">
        <v>6</v>
      </c>
      <c r="F331" t="s">
        <v>44</v>
      </c>
      <c r="G331" t="s">
        <v>30</v>
      </c>
      <c r="H331">
        <v>1068</v>
      </c>
      <c r="I331" t="s">
        <v>45</v>
      </c>
      <c r="J331" t="s">
        <v>46</v>
      </c>
      <c r="K331" t="s">
        <v>32</v>
      </c>
      <c r="L331" t="s">
        <v>33</v>
      </c>
      <c r="M331">
        <v>4</v>
      </c>
      <c r="N331" t="s">
        <v>34</v>
      </c>
      <c r="O331" t="s">
        <v>35</v>
      </c>
      <c r="P331" t="s">
        <v>36</v>
      </c>
      <c r="Q331">
        <v>4</v>
      </c>
      <c r="R331" t="s">
        <v>68</v>
      </c>
      <c r="S331">
        <v>28</v>
      </c>
      <c r="T331" t="s">
        <v>98</v>
      </c>
      <c r="U331" t="s">
        <v>36</v>
      </c>
      <c r="V331" t="s">
        <v>38</v>
      </c>
      <c r="W331">
        <v>1</v>
      </c>
      <c r="X331" t="s">
        <v>39</v>
      </c>
      <c r="Y331">
        <v>2</v>
      </c>
      <c r="Z331" t="s">
        <v>51</v>
      </c>
      <c r="AA331" t="s">
        <v>40</v>
      </c>
      <c r="AB331">
        <v>1</v>
      </c>
    </row>
    <row r="332" spans="1:28" x14ac:dyDescent="0.3">
      <c r="A332">
        <v>331</v>
      </c>
      <c r="B332" t="s">
        <v>26</v>
      </c>
      <c r="C332" t="s">
        <v>27</v>
      </c>
      <c r="D332" t="s">
        <v>28</v>
      </c>
      <c r="E332">
        <v>24</v>
      </c>
      <c r="F332" t="s">
        <v>29</v>
      </c>
      <c r="G332" t="s">
        <v>67</v>
      </c>
      <c r="H332">
        <v>6615</v>
      </c>
      <c r="I332" t="s">
        <v>45</v>
      </c>
      <c r="J332" t="s">
        <v>46</v>
      </c>
      <c r="K332" t="s">
        <v>74</v>
      </c>
      <c r="L332" t="s">
        <v>74</v>
      </c>
      <c r="M332">
        <v>2</v>
      </c>
      <c r="N332" t="s">
        <v>34</v>
      </c>
      <c r="O332" t="s">
        <v>35</v>
      </c>
      <c r="P332" t="s">
        <v>36</v>
      </c>
      <c r="Q332">
        <v>4</v>
      </c>
      <c r="R332" t="s">
        <v>64</v>
      </c>
      <c r="S332">
        <v>75</v>
      </c>
      <c r="T332" t="s">
        <v>95</v>
      </c>
      <c r="U332" t="s">
        <v>36</v>
      </c>
      <c r="V332" t="s">
        <v>61</v>
      </c>
      <c r="W332">
        <v>2</v>
      </c>
      <c r="X332" t="s">
        <v>70</v>
      </c>
      <c r="Y332">
        <v>1</v>
      </c>
      <c r="Z332" t="s">
        <v>40</v>
      </c>
      <c r="AA332" t="s">
        <v>40</v>
      </c>
      <c r="AB332">
        <v>1</v>
      </c>
    </row>
    <row r="333" spans="1:28" x14ac:dyDescent="0.3">
      <c r="A333">
        <v>332</v>
      </c>
      <c r="B333" t="s">
        <v>41</v>
      </c>
      <c r="C333" t="s">
        <v>52</v>
      </c>
      <c r="D333" t="s">
        <v>53</v>
      </c>
      <c r="E333">
        <v>18</v>
      </c>
      <c r="F333" t="s">
        <v>29</v>
      </c>
      <c r="G333" t="s">
        <v>54</v>
      </c>
      <c r="H333">
        <v>1864</v>
      </c>
      <c r="I333" t="s">
        <v>79</v>
      </c>
      <c r="J333" t="s">
        <v>80</v>
      </c>
      <c r="K333" t="s">
        <v>47</v>
      </c>
      <c r="L333" t="s">
        <v>48</v>
      </c>
      <c r="M333">
        <v>4</v>
      </c>
      <c r="N333" t="s">
        <v>49</v>
      </c>
      <c r="O333" t="s">
        <v>50</v>
      </c>
      <c r="P333" t="s">
        <v>36</v>
      </c>
      <c r="Q333">
        <v>2</v>
      </c>
      <c r="R333" t="s">
        <v>37</v>
      </c>
      <c r="S333">
        <v>30</v>
      </c>
      <c r="T333" t="s">
        <v>98</v>
      </c>
      <c r="U333" t="s">
        <v>36</v>
      </c>
      <c r="V333" t="s">
        <v>38</v>
      </c>
      <c r="W333">
        <v>2</v>
      </c>
      <c r="X333" t="s">
        <v>39</v>
      </c>
      <c r="Y333">
        <v>1</v>
      </c>
      <c r="Z333" t="s">
        <v>51</v>
      </c>
      <c r="AA333" t="s">
        <v>40</v>
      </c>
      <c r="AB333">
        <v>2</v>
      </c>
    </row>
    <row r="334" spans="1:28" x14ac:dyDescent="0.3">
      <c r="A334">
        <v>333</v>
      </c>
      <c r="B334" t="s">
        <v>41</v>
      </c>
      <c r="C334" t="s">
        <v>42</v>
      </c>
      <c r="D334" t="s">
        <v>43</v>
      </c>
      <c r="E334">
        <v>60</v>
      </c>
      <c r="F334" t="s">
        <v>44</v>
      </c>
      <c r="G334" t="s">
        <v>63</v>
      </c>
      <c r="H334">
        <v>7408</v>
      </c>
      <c r="I334" t="s">
        <v>79</v>
      </c>
      <c r="J334" t="s">
        <v>80</v>
      </c>
      <c r="K334" t="s">
        <v>76</v>
      </c>
      <c r="L334" t="s">
        <v>77</v>
      </c>
      <c r="M334">
        <v>4</v>
      </c>
      <c r="N334" t="s">
        <v>49</v>
      </c>
      <c r="O334" t="s">
        <v>50</v>
      </c>
      <c r="P334" t="s">
        <v>36</v>
      </c>
      <c r="Q334">
        <v>2</v>
      </c>
      <c r="R334" t="s">
        <v>60</v>
      </c>
      <c r="S334">
        <v>24</v>
      </c>
      <c r="T334" t="s">
        <v>96</v>
      </c>
      <c r="U334" t="s">
        <v>36</v>
      </c>
      <c r="V334" t="s">
        <v>38</v>
      </c>
      <c r="W334">
        <v>1</v>
      </c>
      <c r="X334" t="s">
        <v>70</v>
      </c>
      <c r="Y334">
        <v>1</v>
      </c>
      <c r="Z334" t="s">
        <v>51</v>
      </c>
      <c r="AA334" t="s">
        <v>40</v>
      </c>
      <c r="AB334">
        <v>2</v>
      </c>
    </row>
    <row r="335" spans="1:28" x14ac:dyDescent="0.3">
      <c r="A335">
        <v>334</v>
      </c>
      <c r="B335" t="s">
        <v>41</v>
      </c>
      <c r="C335" t="s">
        <v>52</v>
      </c>
      <c r="D335" t="s">
        <v>53</v>
      </c>
      <c r="E335">
        <v>48</v>
      </c>
      <c r="F335" t="s">
        <v>29</v>
      </c>
      <c r="G335" t="s">
        <v>67</v>
      </c>
      <c r="H335">
        <v>11590</v>
      </c>
      <c r="I335" t="s">
        <v>79</v>
      </c>
      <c r="J335" t="s">
        <v>80</v>
      </c>
      <c r="K335" t="s">
        <v>47</v>
      </c>
      <c r="L335" t="s">
        <v>48</v>
      </c>
      <c r="M335">
        <v>2</v>
      </c>
      <c r="N335" t="s">
        <v>49</v>
      </c>
      <c r="O335" t="s">
        <v>50</v>
      </c>
      <c r="P335" t="s">
        <v>36</v>
      </c>
      <c r="Q335">
        <v>4</v>
      </c>
      <c r="R335" t="s">
        <v>68</v>
      </c>
      <c r="S335">
        <v>24</v>
      </c>
      <c r="T335" t="s">
        <v>96</v>
      </c>
      <c r="U335" t="s">
        <v>82</v>
      </c>
      <c r="V335" t="s">
        <v>69</v>
      </c>
      <c r="W335">
        <v>2</v>
      </c>
      <c r="X335" t="s">
        <v>57</v>
      </c>
      <c r="Y335">
        <v>1</v>
      </c>
      <c r="Z335" t="s">
        <v>51</v>
      </c>
      <c r="AA335" t="s">
        <v>40</v>
      </c>
      <c r="AB335">
        <v>2</v>
      </c>
    </row>
    <row r="336" spans="1:28" x14ac:dyDescent="0.3">
      <c r="A336">
        <v>335</v>
      </c>
      <c r="B336" t="s">
        <v>41</v>
      </c>
      <c r="C336" t="s">
        <v>27</v>
      </c>
      <c r="D336" t="s">
        <v>28</v>
      </c>
      <c r="E336">
        <v>24</v>
      </c>
      <c r="F336" t="s">
        <v>81</v>
      </c>
      <c r="G336" t="s">
        <v>58</v>
      </c>
      <c r="H336">
        <v>4110</v>
      </c>
      <c r="I336" t="s">
        <v>45</v>
      </c>
      <c r="J336" t="s">
        <v>46</v>
      </c>
      <c r="K336" t="s">
        <v>32</v>
      </c>
      <c r="L336" t="s">
        <v>33</v>
      </c>
      <c r="M336">
        <v>3</v>
      </c>
      <c r="N336" t="s">
        <v>34</v>
      </c>
      <c r="O336" t="s">
        <v>35</v>
      </c>
      <c r="P336" t="s">
        <v>36</v>
      </c>
      <c r="Q336">
        <v>4</v>
      </c>
      <c r="R336" t="s">
        <v>64</v>
      </c>
      <c r="S336">
        <v>23</v>
      </c>
      <c r="T336" t="s">
        <v>96</v>
      </c>
      <c r="U336" t="s">
        <v>82</v>
      </c>
      <c r="V336" t="s">
        <v>69</v>
      </c>
      <c r="W336">
        <v>2</v>
      </c>
      <c r="X336" t="s">
        <v>39</v>
      </c>
      <c r="Y336">
        <v>2</v>
      </c>
      <c r="Z336" t="s">
        <v>51</v>
      </c>
      <c r="AA336" t="s">
        <v>40</v>
      </c>
      <c r="AB336">
        <v>2</v>
      </c>
    </row>
    <row r="337" spans="1:28" x14ac:dyDescent="0.3">
      <c r="A337">
        <v>336</v>
      </c>
      <c r="B337" t="s">
        <v>41</v>
      </c>
      <c r="C337" t="s">
        <v>27</v>
      </c>
      <c r="D337" t="s">
        <v>28</v>
      </c>
      <c r="E337">
        <v>6</v>
      </c>
      <c r="F337" t="s">
        <v>29</v>
      </c>
      <c r="G337" t="s">
        <v>58</v>
      </c>
      <c r="H337">
        <v>3384</v>
      </c>
      <c r="I337" t="s">
        <v>45</v>
      </c>
      <c r="J337" t="s">
        <v>46</v>
      </c>
      <c r="K337" t="s">
        <v>47</v>
      </c>
      <c r="L337" t="s">
        <v>48</v>
      </c>
      <c r="M337">
        <v>1</v>
      </c>
      <c r="N337" t="s">
        <v>34</v>
      </c>
      <c r="O337" t="s">
        <v>73</v>
      </c>
      <c r="P337" t="s">
        <v>36</v>
      </c>
      <c r="Q337">
        <v>4</v>
      </c>
      <c r="R337" t="s">
        <v>37</v>
      </c>
      <c r="S337">
        <v>44</v>
      </c>
      <c r="T337" t="s">
        <v>97</v>
      </c>
      <c r="U337" t="s">
        <v>36</v>
      </c>
      <c r="V337" t="s">
        <v>69</v>
      </c>
      <c r="W337">
        <v>1</v>
      </c>
      <c r="X337" t="s">
        <v>70</v>
      </c>
      <c r="Y337">
        <v>1</v>
      </c>
      <c r="Z337" t="s">
        <v>40</v>
      </c>
      <c r="AA337" t="s">
        <v>40</v>
      </c>
      <c r="AB337">
        <v>2</v>
      </c>
    </row>
    <row r="338" spans="1:28" x14ac:dyDescent="0.3">
      <c r="A338">
        <v>337</v>
      </c>
      <c r="B338" t="s">
        <v>26</v>
      </c>
      <c r="C338" t="s">
        <v>42</v>
      </c>
      <c r="D338" t="s">
        <v>43</v>
      </c>
      <c r="E338">
        <v>13</v>
      </c>
      <c r="F338" t="s">
        <v>44</v>
      </c>
      <c r="G338" t="s">
        <v>30</v>
      </c>
      <c r="H338">
        <v>2101</v>
      </c>
      <c r="I338" t="s">
        <v>45</v>
      </c>
      <c r="J338" t="s">
        <v>46</v>
      </c>
      <c r="K338" t="s">
        <v>76</v>
      </c>
      <c r="L338" t="s">
        <v>77</v>
      </c>
      <c r="M338">
        <v>2</v>
      </c>
      <c r="N338" t="s">
        <v>49</v>
      </c>
      <c r="O338" t="s">
        <v>50</v>
      </c>
      <c r="P338" t="s">
        <v>59</v>
      </c>
      <c r="Q338">
        <v>4</v>
      </c>
      <c r="R338" t="s">
        <v>60</v>
      </c>
      <c r="S338">
        <v>23</v>
      </c>
      <c r="T338" t="s">
        <v>96</v>
      </c>
      <c r="U338" t="s">
        <v>36</v>
      </c>
      <c r="V338" t="s">
        <v>38</v>
      </c>
      <c r="W338">
        <v>1</v>
      </c>
      <c r="X338" t="s">
        <v>57</v>
      </c>
      <c r="Y338">
        <v>1</v>
      </c>
      <c r="Z338" t="s">
        <v>51</v>
      </c>
      <c r="AA338" t="s">
        <v>40</v>
      </c>
      <c r="AB338">
        <v>1</v>
      </c>
    </row>
    <row r="339" spans="1:28" x14ac:dyDescent="0.3">
      <c r="A339">
        <v>338</v>
      </c>
      <c r="B339" t="s">
        <v>41</v>
      </c>
      <c r="C339" t="s">
        <v>27</v>
      </c>
      <c r="D339" t="s">
        <v>28</v>
      </c>
      <c r="E339">
        <v>15</v>
      </c>
      <c r="F339" t="s">
        <v>44</v>
      </c>
      <c r="G339" t="s">
        <v>88</v>
      </c>
      <c r="H339">
        <v>1275</v>
      </c>
      <c r="I339" t="s">
        <v>31</v>
      </c>
      <c r="J339" t="s">
        <v>31</v>
      </c>
      <c r="K339" t="s">
        <v>47</v>
      </c>
      <c r="L339" t="s">
        <v>48</v>
      </c>
      <c r="M339">
        <v>4</v>
      </c>
      <c r="N339" t="s">
        <v>49</v>
      </c>
      <c r="O339" t="s">
        <v>50</v>
      </c>
      <c r="P339" t="s">
        <v>36</v>
      </c>
      <c r="Q339">
        <v>2</v>
      </c>
      <c r="R339" t="s">
        <v>68</v>
      </c>
      <c r="S339">
        <v>24</v>
      </c>
      <c r="T339" t="s">
        <v>96</v>
      </c>
      <c r="U339" t="s">
        <v>36</v>
      </c>
      <c r="V339" t="s">
        <v>69</v>
      </c>
      <c r="W339">
        <v>1</v>
      </c>
      <c r="X339" t="s">
        <v>39</v>
      </c>
      <c r="Y339">
        <v>1</v>
      </c>
      <c r="Z339" t="s">
        <v>51</v>
      </c>
      <c r="AA339" t="s">
        <v>40</v>
      </c>
      <c r="AB339">
        <v>2</v>
      </c>
    </row>
    <row r="340" spans="1:28" x14ac:dyDescent="0.3">
      <c r="A340">
        <v>339</v>
      </c>
      <c r="B340" t="s">
        <v>26</v>
      </c>
      <c r="C340" t="s">
        <v>27</v>
      </c>
      <c r="D340" t="s">
        <v>28</v>
      </c>
      <c r="E340">
        <v>24</v>
      </c>
      <c r="F340" t="s">
        <v>44</v>
      </c>
      <c r="G340" t="s">
        <v>58</v>
      </c>
      <c r="H340">
        <v>4169</v>
      </c>
      <c r="I340" t="s">
        <v>45</v>
      </c>
      <c r="J340" t="s">
        <v>46</v>
      </c>
      <c r="K340" t="s">
        <v>47</v>
      </c>
      <c r="L340" t="s">
        <v>48</v>
      </c>
      <c r="M340">
        <v>4</v>
      </c>
      <c r="N340" t="s">
        <v>34</v>
      </c>
      <c r="O340" t="s">
        <v>35</v>
      </c>
      <c r="P340" t="s">
        <v>36</v>
      </c>
      <c r="Q340">
        <v>4</v>
      </c>
      <c r="R340" t="s">
        <v>60</v>
      </c>
      <c r="S340">
        <v>28</v>
      </c>
      <c r="T340" t="s">
        <v>98</v>
      </c>
      <c r="U340" t="s">
        <v>36</v>
      </c>
      <c r="V340" t="s">
        <v>38</v>
      </c>
      <c r="W340">
        <v>1</v>
      </c>
      <c r="X340" t="s">
        <v>39</v>
      </c>
      <c r="Y340">
        <v>1</v>
      </c>
      <c r="Z340" t="s">
        <v>51</v>
      </c>
      <c r="AA340" t="s">
        <v>40</v>
      </c>
      <c r="AB340">
        <v>1</v>
      </c>
    </row>
    <row r="341" spans="1:28" x14ac:dyDescent="0.3">
      <c r="A341">
        <v>340</v>
      </c>
      <c r="B341" t="s">
        <v>26</v>
      </c>
      <c r="C341" t="s">
        <v>42</v>
      </c>
      <c r="D341" t="s">
        <v>43</v>
      </c>
      <c r="E341">
        <v>10</v>
      </c>
      <c r="F341" t="s">
        <v>44</v>
      </c>
      <c r="G341" t="s">
        <v>58</v>
      </c>
      <c r="H341">
        <v>1521</v>
      </c>
      <c r="I341" t="s">
        <v>45</v>
      </c>
      <c r="J341" t="s">
        <v>46</v>
      </c>
      <c r="K341" t="s">
        <v>47</v>
      </c>
      <c r="L341" t="s">
        <v>48</v>
      </c>
      <c r="M341">
        <v>4</v>
      </c>
      <c r="N341" t="s">
        <v>34</v>
      </c>
      <c r="O341" t="s">
        <v>73</v>
      </c>
      <c r="P341" t="s">
        <v>36</v>
      </c>
      <c r="Q341">
        <v>2</v>
      </c>
      <c r="R341" t="s">
        <v>68</v>
      </c>
      <c r="S341">
        <v>31</v>
      </c>
      <c r="T341" t="s">
        <v>98</v>
      </c>
      <c r="U341" t="s">
        <v>36</v>
      </c>
      <c r="V341" t="s">
        <v>38</v>
      </c>
      <c r="W341">
        <v>1</v>
      </c>
      <c r="X341" t="s">
        <v>57</v>
      </c>
      <c r="Y341">
        <v>1</v>
      </c>
      <c r="Z341" t="s">
        <v>51</v>
      </c>
      <c r="AA341" t="s">
        <v>40</v>
      </c>
      <c r="AB341">
        <v>1</v>
      </c>
    </row>
    <row r="342" spans="1:28" x14ac:dyDescent="0.3">
      <c r="A342">
        <v>341</v>
      </c>
      <c r="B342" t="s">
        <v>26</v>
      </c>
      <c r="C342" t="s">
        <v>42</v>
      </c>
      <c r="D342" t="s">
        <v>43</v>
      </c>
      <c r="E342">
        <v>24</v>
      </c>
      <c r="F342" t="s">
        <v>29</v>
      </c>
      <c r="G342" t="s">
        <v>54</v>
      </c>
      <c r="H342">
        <v>5743</v>
      </c>
      <c r="I342" t="s">
        <v>45</v>
      </c>
      <c r="J342" t="s">
        <v>46</v>
      </c>
      <c r="K342" t="s">
        <v>76</v>
      </c>
      <c r="L342" t="s">
        <v>77</v>
      </c>
      <c r="M342">
        <v>2</v>
      </c>
      <c r="N342" t="s">
        <v>49</v>
      </c>
      <c r="O342" t="s">
        <v>50</v>
      </c>
      <c r="P342" t="s">
        <v>36</v>
      </c>
      <c r="Q342">
        <v>4</v>
      </c>
      <c r="R342" t="s">
        <v>64</v>
      </c>
      <c r="S342">
        <v>24</v>
      </c>
      <c r="T342" t="s">
        <v>96</v>
      </c>
      <c r="U342" t="s">
        <v>36</v>
      </c>
      <c r="V342" t="s">
        <v>61</v>
      </c>
      <c r="W342">
        <v>2</v>
      </c>
      <c r="X342" t="s">
        <v>39</v>
      </c>
      <c r="Y342">
        <v>1</v>
      </c>
      <c r="Z342" t="s">
        <v>40</v>
      </c>
      <c r="AA342" t="s">
        <v>40</v>
      </c>
      <c r="AB342">
        <v>1</v>
      </c>
    </row>
    <row r="343" spans="1:28" x14ac:dyDescent="0.3">
      <c r="A343">
        <v>342</v>
      </c>
      <c r="B343" t="s">
        <v>26</v>
      </c>
      <c r="C343" t="s">
        <v>27</v>
      </c>
      <c r="D343" t="s">
        <v>28</v>
      </c>
      <c r="E343">
        <v>21</v>
      </c>
      <c r="F343" t="s">
        <v>44</v>
      </c>
      <c r="G343" t="s">
        <v>58</v>
      </c>
      <c r="H343">
        <v>3599</v>
      </c>
      <c r="I343" t="s">
        <v>45</v>
      </c>
      <c r="J343" t="s">
        <v>46</v>
      </c>
      <c r="K343" t="s">
        <v>55</v>
      </c>
      <c r="L343" t="s">
        <v>56</v>
      </c>
      <c r="M343">
        <v>1</v>
      </c>
      <c r="N343" t="s">
        <v>49</v>
      </c>
      <c r="O343" t="s">
        <v>50</v>
      </c>
      <c r="P343" t="s">
        <v>36</v>
      </c>
      <c r="Q343">
        <v>4</v>
      </c>
      <c r="R343" t="s">
        <v>68</v>
      </c>
      <c r="S343">
        <v>26</v>
      </c>
      <c r="T343" t="s">
        <v>98</v>
      </c>
      <c r="U343" t="s">
        <v>36</v>
      </c>
      <c r="V343" t="s">
        <v>69</v>
      </c>
      <c r="W343">
        <v>1</v>
      </c>
      <c r="X343" t="s">
        <v>57</v>
      </c>
      <c r="Y343">
        <v>1</v>
      </c>
      <c r="Z343" t="s">
        <v>51</v>
      </c>
      <c r="AA343" t="s">
        <v>40</v>
      </c>
      <c r="AB343">
        <v>1</v>
      </c>
    </row>
    <row r="344" spans="1:28" x14ac:dyDescent="0.3">
      <c r="A344">
        <v>343</v>
      </c>
      <c r="B344" t="s">
        <v>26</v>
      </c>
      <c r="C344" t="s">
        <v>42</v>
      </c>
      <c r="D344" t="s">
        <v>43</v>
      </c>
      <c r="E344">
        <v>18</v>
      </c>
      <c r="F344" t="s">
        <v>44</v>
      </c>
      <c r="G344" t="s">
        <v>30</v>
      </c>
      <c r="H344">
        <v>3213</v>
      </c>
      <c r="I344" t="s">
        <v>65</v>
      </c>
      <c r="J344" t="s">
        <v>66</v>
      </c>
      <c r="K344" t="s">
        <v>76</v>
      </c>
      <c r="L344" t="s">
        <v>77</v>
      </c>
      <c r="M344">
        <v>1</v>
      </c>
      <c r="N344" t="s">
        <v>34</v>
      </c>
      <c r="O344" t="s">
        <v>75</v>
      </c>
      <c r="P344" t="s">
        <v>36</v>
      </c>
      <c r="Q344">
        <v>3</v>
      </c>
      <c r="R344" t="s">
        <v>37</v>
      </c>
      <c r="S344">
        <v>25</v>
      </c>
      <c r="T344" t="s">
        <v>98</v>
      </c>
      <c r="U344" t="s">
        <v>36</v>
      </c>
      <c r="V344" t="s">
        <v>69</v>
      </c>
      <c r="W344">
        <v>1</v>
      </c>
      <c r="X344" t="s">
        <v>39</v>
      </c>
      <c r="Y344">
        <v>1</v>
      </c>
      <c r="Z344" t="s">
        <v>51</v>
      </c>
      <c r="AA344" t="s">
        <v>40</v>
      </c>
      <c r="AB344">
        <v>1</v>
      </c>
    </row>
    <row r="345" spans="1:28" x14ac:dyDescent="0.3">
      <c r="A345">
        <v>344</v>
      </c>
      <c r="B345" t="s">
        <v>26</v>
      </c>
      <c r="C345" t="s">
        <v>42</v>
      </c>
      <c r="D345" t="s">
        <v>43</v>
      </c>
      <c r="E345">
        <v>18</v>
      </c>
      <c r="F345" t="s">
        <v>44</v>
      </c>
      <c r="G345" t="s">
        <v>78</v>
      </c>
      <c r="H345">
        <v>4439</v>
      </c>
      <c r="I345" t="s">
        <v>45</v>
      </c>
      <c r="J345" t="s">
        <v>46</v>
      </c>
      <c r="K345" t="s">
        <v>32</v>
      </c>
      <c r="L345" t="s">
        <v>33</v>
      </c>
      <c r="M345">
        <v>1</v>
      </c>
      <c r="N345" t="s">
        <v>34</v>
      </c>
      <c r="O345" t="s">
        <v>35</v>
      </c>
      <c r="P345" t="s">
        <v>87</v>
      </c>
      <c r="Q345">
        <v>1</v>
      </c>
      <c r="R345" t="s">
        <v>37</v>
      </c>
      <c r="S345">
        <v>33</v>
      </c>
      <c r="T345" t="s">
        <v>98</v>
      </c>
      <c r="U345" t="s">
        <v>82</v>
      </c>
      <c r="V345" t="s">
        <v>38</v>
      </c>
      <c r="W345">
        <v>1</v>
      </c>
      <c r="X345" t="s">
        <v>70</v>
      </c>
      <c r="Y345">
        <v>1</v>
      </c>
      <c r="Z345" t="s">
        <v>40</v>
      </c>
      <c r="AA345" t="s">
        <v>40</v>
      </c>
      <c r="AB345">
        <v>1</v>
      </c>
    </row>
    <row r="346" spans="1:28" x14ac:dyDescent="0.3">
      <c r="A346">
        <v>345</v>
      </c>
      <c r="B346" t="s">
        <v>26</v>
      </c>
      <c r="C346" t="s">
        <v>83</v>
      </c>
      <c r="D346" t="s">
        <v>84</v>
      </c>
      <c r="E346">
        <v>10</v>
      </c>
      <c r="F346" t="s">
        <v>44</v>
      </c>
      <c r="G346" t="s">
        <v>63</v>
      </c>
      <c r="H346">
        <v>3949</v>
      </c>
      <c r="I346" t="s">
        <v>45</v>
      </c>
      <c r="J346" t="s">
        <v>46</v>
      </c>
      <c r="K346" t="s">
        <v>76</v>
      </c>
      <c r="L346" t="s">
        <v>77</v>
      </c>
      <c r="M346">
        <v>1</v>
      </c>
      <c r="N346" t="s">
        <v>34</v>
      </c>
      <c r="O346" t="s">
        <v>35</v>
      </c>
      <c r="P346" t="s">
        <v>59</v>
      </c>
      <c r="Q346">
        <v>1</v>
      </c>
      <c r="R346" t="s">
        <v>60</v>
      </c>
      <c r="S346">
        <v>37</v>
      </c>
      <c r="T346" t="s">
        <v>98</v>
      </c>
      <c r="U346" t="s">
        <v>36</v>
      </c>
      <c r="V346" t="s">
        <v>38</v>
      </c>
      <c r="W346">
        <v>1</v>
      </c>
      <c r="X346" t="s">
        <v>57</v>
      </c>
      <c r="Y346">
        <v>2</v>
      </c>
      <c r="Z346" t="s">
        <v>51</v>
      </c>
      <c r="AA346" t="s">
        <v>40</v>
      </c>
      <c r="AB346">
        <v>1</v>
      </c>
    </row>
    <row r="347" spans="1:28" x14ac:dyDescent="0.3">
      <c r="A347">
        <v>346</v>
      </c>
      <c r="B347" t="s">
        <v>26</v>
      </c>
      <c r="C347" t="s">
        <v>52</v>
      </c>
      <c r="D347" t="s">
        <v>53</v>
      </c>
      <c r="E347">
        <v>15</v>
      </c>
      <c r="F347" t="s">
        <v>29</v>
      </c>
      <c r="G347" t="s">
        <v>30</v>
      </c>
      <c r="H347">
        <v>1459</v>
      </c>
      <c r="I347" t="s">
        <v>45</v>
      </c>
      <c r="J347" t="s">
        <v>46</v>
      </c>
      <c r="K347" t="s">
        <v>47</v>
      </c>
      <c r="L347" t="s">
        <v>48</v>
      </c>
      <c r="M347">
        <v>4</v>
      </c>
      <c r="N347" t="s">
        <v>49</v>
      </c>
      <c r="O347" t="s">
        <v>50</v>
      </c>
      <c r="P347" t="s">
        <v>36</v>
      </c>
      <c r="Q347">
        <v>2</v>
      </c>
      <c r="R347" t="s">
        <v>68</v>
      </c>
      <c r="S347">
        <v>43</v>
      </c>
      <c r="T347" t="s">
        <v>97</v>
      </c>
      <c r="U347" t="s">
        <v>36</v>
      </c>
      <c r="V347" t="s">
        <v>38</v>
      </c>
      <c r="W347">
        <v>1</v>
      </c>
      <c r="X347" t="s">
        <v>57</v>
      </c>
      <c r="Y347">
        <v>1</v>
      </c>
      <c r="Z347" t="s">
        <v>51</v>
      </c>
      <c r="AA347" t="s">
        <v>40</v>
      </c>
      <c r="AB347">
        <v>1</v>
      </c>
    </row>
    <row r="348" spans="1:28" x14ac:dyDescent="0.3">
      <c r="A348">
        <v>347</v>
      </c>
      <c r="B348" t="s">
        <v>26</v>
      </c>
      <c r="C348" t="s">
        <v>42</v>
      </c>
      <c r="D348" t="s">
        <v>43</v>
      </c>
      <c r="E348">
        <v>13</v>
      </c>
      <c r="F348" t="s">
        <v>29</v>
      </c>
      <c r="G348" t="s">
        <v>30</v>
      </c>
      <c r="H348">
        <v>882</v>
      </c>
      <c r="I348" t="s">
        <v>45</v>
      </c>
      <c r="J348" t="s">
        <v>46</v>
      </c>
      <c r="K348" t="s">
        <v>76</v>
      </c>
      <c r="L348" t="s">
        <v>77</v>
      </c>
      <c r="M348">
        <v>4</v>
      </c>
      <c r="N348" t="s">
        <v>34</v>
      </c>
      <c r="O348" t="s">
        <v>35</v>
      </c>
      <c r="P348" t="s">
        <v>59</v>
      </c>
      <c r="Q348">
        <v>4</v>
      </c>
      <c r="R348" t="s">
        <v>37</v>
      </c>
      <c r="S348">
        <v>23</v>
      </c>
      <c r="T348" t="s">
        <v>96</v>
      </c>
      <c r="U348" t="s">
        <v>36</v>
      </c>
      <c r="V348" t="s">
        <v>38</v>
      </c>
      <c r="W348">
        <v>2</v>
      </c>
      <c r="X348" t="s">
        <v>39</v>
      </c>
      <c r="Y348">
        <v>1</v>
      </c>
      <c r="Z348" t="s">
        <v>51</v>
      </c>
      <c r="AA348" t="s">
        <v>40</v>
      </c>
      <c r="AB348">
        <v>1</v>
      </c>
    </row>
    <row r="349" spans="1:28" x14ac:dyDescent="0.3">
      <c r="A349">
        <v>348</v>
      </c>
      <c r="B349" t="s">
        <v>26</v>
      </c>
      <c r="C349" t="s">
        <v>42</v>
      </c>
      <c r="D349" t="s">
        <v>43</v>
      </c>
      <c r="E349">
        <v>24</v>
      </c>
      <c r="F349" t="s">
        <v>44</v>
      </c>
      <c r="G349" t="s">
        <v>30</v>
      </c>
      <c r="H349">
        <v>3758</v>
      </c>
      <c r="I349" t="s">
        <v>65</v>
      </c>
      <c r="J349" t="s">
        <v>66</v>
      </c>
      <c r="K349" t="s">
        <v>74</v>
      </c>
      <c r="L349" t="s">
        <v>74</v>
      </c>
      <c r="M349">
        <v>1</v>
      </c>
      <c r="N349" t="s">
        <v>49</v>
      </c>
      <c r="O349" t="s">
        <v>50</v>
      </c>
      <c r="P349" t="s">
        <v>36</v>
      </c>
      <c r="Q349">
        <v>4</v>
      </c>
      <c r="R349" t="s">
        <v>64</v>
      </c>
      <c r="S349">
        <v>23</v>
      </c>
      <c r="T349" t="s">
        <v>96</v>
      </c>
      <c r="U349" t="s">
        <v>36</v>
      </c>
      <c r="V349" t="s">
        <v>69</v>
      </c>
      <c r="W349">
        <v>1</v>
      </c>
      <c r="X349" t="s">
        <v>90</v>
      </c>
      <c r="Y349">
        <v>1</v>
      </c>
      <c r="Z349" t="s">
        <v>51</v>
      </c>
      <c r="AA349" t="s">
        <v>40</v>
      </c>
      <c r="AB349">
        <v>1</v>
      </c>
    </row>
    <row r="350" spans="1:28" x14ac:dyDescent="0.3">
      <c r="A350">
        <v>349</v>
      </c>
      <c r="B350" t="s">
        <v>26</v>
      </c>
      <c r="C350" t="s">
        <v>52</v>
      </c>
      <c r="D350" t="s">
        <v>53</v>
      </c>
      <c r="E350">
        <v>6</v>
      </c>
      <c r="F350" t="s">
        <v>62</v>
      </c>
      <c r="G350" t="s">
        <v>78</v>
      </c>
      <c r="H350">
        <v>1743</v>
      </c>
      <c r="I350" t="s">
        <v>79</v>
      </c>
      <c r="J350" t="s">
        <v>80</v>
      </c>
      <c r="K350" t="s">
        <v>47</v>
      </c>
      <c r="L350" t="s">
        <v>48</v>
      </c>
      <c r="M350">
        <v>1</v>
      </c>
      <c r="N350" t="s">
        <v>34</v>
      </c>
      <c r="O350" t="s">
        <v>35</v>
      </c>
      <c r="P350" t="s">
        <v>36</v>
      </c>
      <c r="Q350">
        <v>2</v>
      </c>
      <c r="R350" t="s">
        <v>37</v>
      </c>
      <c r="S350">
        <v>34</v>
      </c>
      <c r="T350" t="s">
        <v>98</v>
      </c>
      <c r="U350" t="s">
        <v>36</v>
      </c>
      <c r="V350" t="s">
        <v>38</v>
      </c>
      <c r="W350">
        <v>2</v>
      </c>
      <c r="X350" t="s">
        <v>57</v>
      </c>
      <c r="Y350">
        <v>1</v>
      </c>
      <c r="Z350" t="s">
        <v>51</v>
      </c>
      <c r="AA350" t="s">
        <v>40</v>
      </c>
      <c r="AB350">
        <v>1</v>
      </c>
    </row>
    <row r="351" spans="1:28" x14ac:dyDescent="0.3">
      <c r="A351">
        <v>350</v>
      </c>
      <c r="B351" t="s">
        <v>41</v>
      </c>
      <c r="C351" t="s">
        <v>42</v>
      </c>
      <c r="D351" t="s">
        <v>43</v>
      </c>
      <c r="E351">
        <v>9</v>
      </c>
      <c r="F351" t="s">
        <v>29</v>
      </c>
      <c r="G351" t="s">
        <v>54</v>
      </c>
      <c r="H351">
        <v>1136</v>
      </c>
      <c r="I351" t="s">
        <v>71</v>
      </c>
      <c r="J351" t="s">
        <v>72</v>
      </c>
      <c r="K351" t="s">
        <v>32</v>
      </c>
      <c r="L351" t="s">
        <v>33</v>
      </c>
      <c r="M351">
        <v>4</v>
      </c>
      <c r="N351" t="s">
        <v>34</v>
      </c>
      <c r="O351" t="s">
        <v>35</v>
      </c>
      <c r="P351" t="s">
        <v>36</v>
      </c>
      <c r="Q351">
        <v>3</v>
      </c>
      <c r="R351" t="s">
        <v>64</v>
      </c>
      <c r="S351">
        <v>32</v>
      </c>
      <c r="T351" t="s">
        <v>98</v>
      </c>
      <c r="U351" t="s">
        <v>36</v>
      </c>
      <c r="V351" t="s">
        <v>61</v>
      </c>
      <c r="W351">
        <v>2</v>
      </c>
      <c r="X351" t="s">
        <v>39</v>
      </c>
      <c r="Y351">
        <v>2</v>
      </c>
      <c r="Z351" t="s">
        <v>51</v>
      </c>
      <c r="AA351" t="s">
        <v>40</v>
      </c>
      <c r="AB351">
        <v>2</v>
      </c>
    </row>
    <row r="352" spans="1:28" x14ac:dyDescent="0.3">
      <c r="A352">
        <v>351</v>
      </c>
      <c r="B352" t="s">
        <v>26</v>
      </c>
      <c r="C352" t="s">
        <v>52</v>
      </c>
      <c r="D352" t="s">
        <v>53</v>
      </c>
      <c r="E352">
        <v>9</v>
      </c>
      <c r="F352" t="s">
        <v>44</v>
      </c>
      <c r="G352" t="s">
        <v>88</v>
      </c>
      <c r="H352">
        <v>1236</v>
      </c>
      <c r="I352" t="s">
        <v>45</v>
      </c>
      <c r="J352" t="s">
        <v>46</v>
      </c>
      <c r="K352" t="s">
        <v>76</v>
      </c>
      <c r="L352" t="s">
        <v>77</v>
      </c>
      <c r="M352">
        <v>1</v>
      </c>
      <c r="N352" t="s">
        <v>49</v>
      </c>
      <c r="O352" t="s">
        <v>50</v>
      </c>
      <c r="P352" t="s">
        <v>36</v>
      </c>
      <c r="Q352">
        <v>4</v>
      </c>
      <c r="R352" t="s">
        <v>37</v>
      </c>
      <c r="S352">
        <v>23</v>
      </c>
      <c r="T352" t="s">
        <v>96</v>
      </c>
      <c r="U352" t="s">
        <v>36</v>
      </c>
      <c r="V352" t="s">
        <v>69</v>
      </c>
      <c r="W352">
        <v>1</v>
      </c>
      <c r="X352" t="s">
        <v>39</v>
      </c>
      <c r="Y352">
        <v>1</v>
      </c>
      <c r="Z352" t="s">
        <v>40</v>
      </c>
      <c r="AA352" t="s">
        <v>40</v>
      </c>
      <c r="AB352">
        <v>1</v>
      </c>
    </row>
    <row r="353" spans="1:28" x14ac:dyDescent="0.3">
      <c r="A353">
        <v>352</v>
      </c>
      <c r="B353" t="s">
        <v>41</v>
      </c>
      <c r="C353" t="s">
        <v>42</v>
      </c>
      <c r="D353" t="s">
        <v>43</v>
      </c>
      <c r="E353">
        <v>9</v>
      </c>
      <c r="F353" t="s">
        <v>44</v>
      </c>
      <c r="G353" t="s">
        <v>58</v>
      </c>
      <c r="H353">
        <v>959</v>
      </c>
      <c r="I353" t="s">
        <v>45</v>
      </c>
      <c r="J353" t="s">
        <v>46</v>
      </c>
      <c r="K353" t="s">
        <v>47</v>
      </c>
      <c r="L353" t="s">
        <v>48</v>
      </c>
      <c r="M353">
        <v>1</v>
      </c>
      <c r="N353" t="s">
        <v>49</v>
      </c>
      <c r="O353" t="s">
        <v>50</v>
      </c>
      <c r="P353" t="s">
        <v>36</v>
      </c>
      <c r="Q353">
        <v>2</v>
      </c>
      <c r="R353" t="s">
        <v>68</v>
      </c>
      <c r="S353">
        <v>29</v>
      </c>
      <c r="T353" t="s">
        <v>98</v>
      </c>
      <c r="U353" t="s">
        <v>36</v>
      </c>
      <c r="V353" t="s">
        <v>38</v>
      </c>
      <c r="W353">
        <v>1</v>
      </c>
      <c r="X353" t="s">
        <v>39</v>
      </c>
      <c r="Y353">
        <v>1</v>
      </c>
      <c r="Z353" t="s">
        <v>51</v>
      </c>
      <c r="AA353" t="s">
        <v>51</v>
      </c>
      <c r="AB353">
        <v>2</v>
      </c>
    </row>
    <row r="354" spans="1:28" x14ac:dyDescent="0.3">
      <c r="A354">
        <v>353</v>
      </c>
      <c r="B354" t="s">
        <v>26</v>
      </c>
      <c r="C354" t="s">
        <v>52</v>
      </c>
      <c r="D354" t="s">
        <v>53</v>
      </c>
      <c r="E354">
        <v>18</v>
      </c>
      <c r="F354" t="s">
        <v>29</v>
      </c>
      <c r="G354" t="s">
        <v>67</v>
      </c>
      <c r="H354">
        <v>3229</v>
      </c>
      <c r="I354" t="s">
        <v>31</v>
      </c>
      <c r="J354" t="s">
        <v>31</v>
      </c>
      <c r="K354" t="s">
        <v>74</v>
      </c>
      <c r="L354" t="s">
        <v>74</v>
      </c>
      <c r="M354">
        <v>2</v>
      </c>
      <c r="N354" t="s">
        <v>34</v>
      </c>
      <c r="O354" t="s">
        <v>35</v>
      </c>
      <c r="P354" t="s">
        <v>36</v>
      </c>
      <c r="Q354">
        <v>4</v>
      </c>
      <c r="R354" t="s">
        <v>64</v>
      </c>
      <c r="S354">
        <v>38</v>
      </c>
      <c r="T354" t="s">
        <v>98</v>
      </c>
      <c r="U354" t="s">
        <v>36</v>
      </c>
      <c r="V354" t="s">
        <v>38</v>
      </c>
      <c r="W354">
        <v>1</v>
      </c>
      <c r="X354" t="s">
        <v>70</v>
      </c>
      <c r="Y354">
        <v>1</v>
      </c>
      <c r="Z354" t="s">
        <v>40</v>
      </c>
      <c r="AA354" t="s">
        <v>40</v>
      </c>
      <c r="AB354">
        <v>1</v>
      </c>
    </row>
    <row r="355" spans="1:28" x14ac:dyDescent="0.3">
      <c r="A355">
        <v>354</v>
      </c>
      <c r="B355" t="s">
        <v>41</v>
      </c>
      <c r="C355" t="s">
        <v>27</v>
      </c>
      <c r="D355" t="s">
        <v>28</v>
      </c>
      <c r="E355">
        <v>12</v>
      </c>
      <c r="F355" t="s">
        <v>81</v>
      </c>
      <c r="G355" t="s">
        <v>30</v>
      </c>
      <c r="H355">
        <v>6199</v>
      </c>
      <c r="I355" t="s">
        <v>45</v>
      </c>
      <c r="J355" t="s">
        <v>46</v>
      </c>
      <c r="K355" t="s">
        <v>47</v>
      </c>
      <c r="L355" t="s">
        <v>48</v>
      </c>
      <c r="M355">
        <v>4</v>
      </c>
      <c r="N355" t="s">
        <v>34</v>
      </c>
      <c r="O355" t="s">
        <v>35</v>
      </c>
      <c r="P355" t="s">
        <v>36</v>
      </c>
      <c r="Q355">
        <v>2</v>
      </c>
      <c r="R355" t="s">
        <v>60</v>
      </c>
      <c r="S355">
        <v>28</v>
      </c>
      <c r="T355" t="s">
        <v>98</v>
      </c>
      <c r="U355" t="s">
        <v>36</v>
      </c>
      <c r="V355" t="s">
        <v>69</v>
      </c>
      <c r="W355">
        <v>2</v>
      </c>
      <c r="X355" t="s">
        <v>39</v>
      </c>
      <c r="Y355">
        <v>1</v>
      </c>
      <c r="Z355" t="s">
        <v>40</v>
      </c>
      <c r="AA355" t="s">
        <v>40</v>
      </c>
      <c r="AB355">
        <v>2</v>
      </c>
    </row>
    <row r="356" spans="1:28" x14ac:dyDescent="0.3">
      <c r="A356">
        <v>355</v>
      </c>
      <c r="B356" t="s">
        <v>26</v>
      </c>
      <c r="C356" t="s">
        <v>52</v>
      </c>
      <c r="D356" t="s">
        <v>53</v>
      </c>
      <c r="E356">
        <v>10</v>
      </c>
      <c r="F356" t="s">
        <v>44</v>
      </c>
      <c r="G356" t="s">
        <v>54</v>
      </c>
      <c r="H356">
        <v>727</v>
      </c>
      <c r="I356" t="s">
        <v>65</v>
      </c>
      <c r="J356" t="s">
        <v>66</v>
      </c>
      <c r="K356" t="s">
        <v>32</v>
      </c>
      <c r="L356" t="s">
        <v>33</v>
      </c>
      <c r="M356">
        <v>4</v>
      </c>
      <c r="N356" t="s">
        <v>34</v>
      </c>
      <c r="O356" t="s">
        <v>35</v>
      </c>
      <c r="P356" t="s">
        <v>36</v>
      </c>
      <c r="Q356">
        <v>4</v>
      </c>
      <c r="R356" t="s">
        <v>64</v>
      </c>
      <c r="S356">
        <v>46</v>
      </c>
      <c r="T356" t="s">
        <v>97</v>
      </c>
      <c r="U356" t="s">
        <v>36</v>
      </c>
      <c r="V356" t="s">
        <v>61</v>
      </c>
      <c r="W356">
        <v>1</v>
      </c>
      <c r="X356" t="s">
        <v>39</v>
      </c>
      <c r="Y356">
        <v>1</v>
      </c>
      <c r="Z356" t="s">
        <v>40</v>
      </c>
      <c r="AA356" t="s">
        <v>40</v>
      </c>
      <c r="AB356">
        <v>1</v>
      </c>
    </row>
    <row r="357" spans="1:28" x14ac:dyDescent="0.3">
      <c r="A357">
        <v>356</v>
      </c>
      <c r="B357" t="s">
        <v>41</v>
      </c>
      <c r="C357" t="s">
        <v>42</v>
      </c>
      <c r="D357" t="s">
        <v>43</v>
      </c>
      <c r="E357">
        <v>24</v>
      </c>
      <c r="F357" t="s">
        <v>44</v>
      </c>
      <c r="G357" t="s">
        <v>63</v>
      </c>
      <c r="H357">
        <v>1246</v>
      </c>
      <c r="I357" t="s">
        <v>45</v>
      </c>
      <c r="J357" t="s">
        <v>46</v>
      </c>
      <c r="K357" t="s">
        <v>76</v>
      </c>
      <c r="L357" t="s">
        <v>77</v>
      </c>
      <c r="M357">
        <v>4</v>
      </c>
      <c r="N357" t="s">
        <v>34</v>
      </c>
      <c r="O357" t="s">
        <v>35</v>
      </c>
      <c r="P357" t="s">
        <v>36</v>
      </c>
      <c r="Q357">
        <v>2</v>
      </c>
      <c r="R357" t="s">
        <v>37</v>
      </c>
      <c r="S357">
        <v>23</v>
      </c>
      <c r="T357" t="s">
        <v>96</v>
      </c>
      <c r="U357" t="s">
        <v>86</v>
      </c>
      <c r="V357" t="s">
        <v>38</v>
      </c>
      <c r="W357">
        <v>1</v>
      </c>
      <c r="X357" t="s">
        <v>57</v>
      </c>
      <c r="Y357">
        <v>1</v>
      </c>
      <c r="Z357" t="s">
        <v>51</v>
      </c>
      <c r="AA357" t="s">
        <v>40</v>
      </c>
      <c r="AB357">
        <v>2</v>
      </c>
    </row>
    <row r="358" spans="1:28" x14ac:dyDescent="0.3">
      <c r="A358">
        <v>357</v>
      </c>
      <c r="B358" t="s">
        <v>26</v>
      </c>
      <c r="C358" t="s">
        <v>52</v>
      </c>
      <c r="D358" t="s">
        <v>53</v>
      </c>
      <c r="E358">
        <v>12</v>
      </c>
      <c r="F358" t="s">
        <v>29</v>
      </c>
      <c r="G358" t="s">
        <v>30</v>
      </c>
      <c r="H358">
        <v>2331</v>
      </c>
      <c r="I358" t="s">
        <v>31</v>
      </c>
      <c r="J358" t="s">
        <v>31</v>
      </c>
      <c r="K358" t="s">
        <v>32</v>
      </c>
      <c r="L358" t="s">
        <v>33</v>
      </c>
      <c r="M358">
        <v>1</v>
      </c>
      <c r="N358" t="s">
        <v>34</v>
      </c>
      <c r="O358" t="s">
        <v>35</v>
      </c>
      <c r="P358" t="s">
        <v>87</v>
      </c>
      <c r="Q358">
        <v>4</v>
      </c>
      <c r="R358" t="s">
        <v>37</v>
      </c>
      <c r="S358">
        <v>49</v>
      </c>
      <c r="T358" t="s">
        <v>97</v>
      </c>
      <c r="U358" t="s">
        <v>36</v>
      </c>
      <c r="V358" t="s">
        <v>38</v>
      </c>
      <c r="W358">
        <v>1</v>
      </c>
      <c r="X358" t="s">
        <v>39</v>
      </c>
      <c r="Y358">
        <v>1</v>
      </c>
      <c r="Z358" t="s">
        <v>40</v>
      </c>
      <c r="AA358" t="s">
        <v>40</v>
      </c>
      <c r="AB358">
        <v>1</v>
      </c>
    </row>
    <row r="359" spans="1:28" x14ac:dyDescent="0.3">
      <c r="A359">
        <v>358</v>
      </c>
      <c r="B359" t="s">
        <v>41</v>
      </c>
      <c r="C359" t="s">
        <v>52</v>
      </c>
      <c r="D359" t="s">
        <v>53</v>
      </c>
      <c r="E359">
        <v>36</v>
      </c>
      <c r="F359" t="s">
        <v>62</v>
      </c>
      <c r="G359" t="s">
        <v>30</v>
      </c>
      <c r="H359">
        <v>4463</v>
      </c>
      <c r="I359" t="s">
        <v>45</v>
      </c>
      <c r="J359" t="s">
        <v>46</v>
      </c>
      <c r="K359" t="s">
        <v>47</v>
      </c>
      <c r="L359" t="s">
        <v>48</v>
      </c>
      <c r="M359">
        <v>4</v>
      </c>
      <c r="N359" t="s">
        <v>34</v>
      </c>
      <c r="O359" t="s">
        <v>35</v>
      </c>
      <c r="P359" t="s">
        <v>36</v>
      </c>
      <c r="Q359">
        <v>2</v>
      </c>
      <c r="R359" t="s">
        <v>68</v>
      </c>
      <c r="S359">
        <v>26</v>
      </c>
      <c r="T359" t="s">
        <v>98</v>
      </c>
      <c r="U359" t="s">
        <v>36</v>
      </c>
      <c r="V359" t="s">
        <v>38</v>
      </c>
      <c r="W359">
        <v>2</v>
      </c>
      <c r="X359" t="s">
        <v>70</v>
      </c>
      <c r="Y359">
        <v>1</v>
      </c>
      <c r="Z359" t="s">
        <v>40</v>
      </c>
      <c r="AA359" t="s">
        <v>40</v>
      </c>
      <c r="AB359">
        <v>2</v>
      </c>
    </row>
    <row r="360" spans="1:28" x14ac:dyDescent="0.3">
      <c r="A360">
        <v>359</v>
      </c>
      <c r="B360" t="s">
        <v>26</v>
      </c>
      <c r="C360" t="s">
        <v>52</v>
      </c>
      <c r="D360" t="s">
        <v>53</v>
      </c>
      <c r="E360">
        <v>12</v>
      </c>
      <c r="F360" t="s">
        <v>44</v>
      </c>
      <c r="G360" t="s">
        <v>30</v>
      </c>
      <c r="H360">
        <v>776</v>
      </c>
      <c r="I360" t="s">
        <v>45</v>
      </c>
      <c r="J360" t="s">
        <v>46</v>
      </c>
      <c r="K360" t="s">
        <v>47</v>
      </c>
      <c r="L360" t="s">
        <v>48</v>
      </c>
      <c r="M360">
        <v>4</v>
      </c>
      <c r="N360" t="s">
        <v>34</v>
      </c>
      <c r="O360" t="s">
        <v>75</v>
      </c>
      <c r="P360" t="s">
        <v>36</v>
      </c>
      <c r="Q360">
        <v>2</v>
      </c>
      <c r="R360" t="s">
        <v>37</v>
      </c>
      <c r="S360">
        <v>28</v>
      </c>
      <c r="T360" t="s">
        <v>98</v>
      </c>
      <c r="U360" t="s">
        <v>36</v>
      </c>
      <c r="V360" t="s">
        <v>38</v>
      </c>
      <c r="W360">
        <v>1</v>
      </c>
      <c r="X360" t="s">
        <v>39</v>
      </c>
      <c r="Y360">
        <v>1</v>
      </c>
      <c r="Z360" t="s">
        <v>51</v>
      </c>
      <c r="AA360" t="s">
        <v>40</v>
      </c>
      <c r="AB360">
        <v>1</v>
      </c>
    </row>
    <row r="361" spans="1:28" x14ac:dyDescent="0.3">
      <c r="A361">
        <v>360</v>
      </c>
      <c r="B361" t="s">
        <v>41</v>
      </c>
      <c r="C361" t="s">
        <v>27</v>
      </c>
      <c r="D361" t="s">
        <v>28</v>
      </c>
      <c r="E361">
        <v>30</v>
      </c>
      <c r="F361" t="s">
        <v>44</v>
      </c>
      <c r="G361" t="s">
        <v>58</v>
      </c>
      <c r="H361">
        <v>2406</v>
      </c>
      <c r="I361" t="s">
        <v>45</v>
      </c>
      <c r="J361" t="s">
        <v>46</v>
      </c>
      <c r="K361" t="s">
        <v>55</v>
      </c>
      <c r="L361" t="s">
        <v>56</v>
      </c>
      <c r="M361">
        <v>4</v>
      </c>
      <c r="N361" t="s">
        <v>49</v>
      </c>
      <c r="O361" t="s">
        <v>50</v>
      </c>
      <c r="P361" t="s">
        <v>36</v>
      </c>
      <c r="Q361">
        <v>4</v>
      </c>
      <c r="R361" t="s">
        <v>37</v>
      </c>
      <c r="S361">
        <v>23</v>
      </c>
      <c r="T361" t="s">
        <v>96</v>
      </c>
      <c r="U361" t="s">
        <v>36</v>
      </c>
      <c r="V361" t="s">
        <v>69</v>
      </c>
      <c r="W361">
        <v>1</v>
      </c>
      <c r="X361" t="s">
        <v>39</v>
      </c>
      <c r="Y361">
        <v>1</v>
      </c>
      <c r="Z361" t="s">
        <v>51</v>
      </c>
      <c r="AA361" t="s">
        <v>40</v>
      </c>
      <c r="AB361">
        <v>2</v>
      </c>
    </row>
    <row r="362" spans="1:28" x14ac:dyDescent="0.3">
      <c r="A362">
        <v>361</v>
      </c>
      <c r="B362" t="s">
        <v>26</v>
      </c>
      <c r="C362" t="s">
        <v>42</v>
      </c>
      <c r="D362" t="s">
        <v>43</v>
      </c>
      <c r="E362">
        <v>18</v>
      </c>
      <c r="F362" t="s">
        <v>44</v>
      </c>
      <c r="G362" t="s">
        <v>54</v>
      </c>
      <c r="H362">
        <v>1239</v>
      </c>
      <c r="I362" t="s">
        <v>31</v>
      </c>
      <c r="J362" t="s">
        <v>31</v>
      </c>
      <c r="K362" t="s">
        <v>47</v>
      </c>
      <c r="L362" t="s">
        <v>48</v>
      </c>
      <c r="M362">
        <v>4</v>
      </c>
      <c r="N362" t="s">
        <v>34</v>
      </c>
      <c r="O362" t="s">
        <v>35</v>
      </c>
      <c r="P362" t="s">
        <v>36</v>
      </c>
      <c r="Q362">
        <v>4</v>
      </c>
      <c r="R362" t="s">
        <v>64</v>
      </c>
      <c r="S362">
        <v>61</v>
      </c>
      <c r="T362" t="s">
        <v>95</v>
      </c>
      <c r="U362" t="s">
        <v>36</v>
      </c>
      <c r="V362" t="s">
        <v>61</v>
      </c>
      <c r="W362">
        <v>1</v>
      </c>
      <c r="X362" t="s">
        <v>39</v>
      </c>
      <c r="Y362">
        <v>1</v>
      </c>
      <c r="Z362" t="s">
        <v>51</v>
      </c>
      <c r="AA362" t="s">
        <v>40</v>
      </c>
      <c r="AB362">
        <v>1</v>
      </c>
    </row>
    <row r="363" spans="1:28" x14ac:dyDescent="0.3">
      <c r="A363">
        <v>362</v>
      </c>
      <c r="B363" t="s">
        <v>26</v>
      </c>
      <c r="C363" t="s">
        <v>83</v>
      </c>
      <c r="D363" t="s">
        <v>84</v>
      </c>
      <c r="E363">
        <v>12</v>
      </c>
      <c r="F363" t="s">
        <v>44</v>
      </c>
      <c r="G363" t="s">
        <v>30</v>
      </c>
      <c r="H363">
        <v>3399</v>
      </c>
      <c r="I363" t="s">
        <v>31</v>
      </c>
      <c r="J363" t="s">
        <v>31</v>
      </c>
      <c r="K363" t="s">
        <v>32</v>
      </c>
      <c r="L363" t="s">
        <v>33</v>
      </c>
      <c r="M363">
        <v>2</v>
      </c>
      <c r="N363" t="s">
        <v>34</v>
      </c>
      <c r="O363" t="s">
        <v>35</v>
      </c>
      <c r="P363" t="s">
        <v>36</v>
      </c>
      <c r="Q363">
        <v>3</v>
      </c>
      <c r="R363" t="s">
        <v>68</v>
      </c>
      <c r="S363">
        <v>37</v>
      </c>
      <c r="T363" t="s">
        <v>98</v>
      </c>
      <c r="U363" t="s">
        <v>36</v>
      </c>
      <c r="V363" t="s">
        <v>38</v>
      </c>
      <c r="W363">
        <v>1</v>
      </c>
      <c r="X363" t="s">
        <v>70</v>
      </c>
      <c r="Y363">
        <v>1</v>
      </c>
      <c r="Z363" t="s">
        <v>51</v>
      </c>
      <c r="AA363" t="s">
        <v>40</v>
      </c>
      <c r="AB363">
        <v>1</v>
      </c>
    </row>
    <row r="364" spans="1:28" x14ac:dyDescent="0.3">
      <c r="A364">
        <v>363</v>
      </c>
      <c r="B364" t="s">
        <v>26</v>
      </c>
      <c r="C364" t="s">
        <v>83</v>
      </c>
      <c r="D364" t="s">
        <v>84</v>
      </c>
      <c r="E364">
        <v>12</v>
      </c>
      <c r="F364" t="s">
        <v>62</v>
      </c>
      <c r="G364" t="s">
        <v>63</v>
      </c>
      <c r="H364">
        <v>2247</v>
      </c>
      <c r="I364" t="s">
        <v>45</v>
      </c>
      <c r="J364" t="s">
        <v>46</v>
      </c>
      <c r="K364" t="s">
        <v>47</v>
      </c>
      <c r="L364" t="s">
        <v>48</v>
      </c>
      <c r="M364">
        <v>2</v>
      </c>
      <c r="N364" t="s">
        <v>49</v>
      </c>
      <c r="O364" t="s">
        <v>50</v>
      </c>
      <c r="P364" t="s">
        <v>36</v>
      </c>
      <c r="Q364">
        <v>2</v>
      </c>
      <c r="R364" t="s">
        <v>68</v>
      </c>
      <c r="S364">
        <v>36</v>
      </c>
      <c r="T364" t="s">
        <v>98</v>
      </c>
      <c r="U364" t="s">
        <v>86</v>
      </c>
      <c r="V364" t="s">
        <v>38</v>
      </c>
      <c r="W364">
        <v>2</v>
      </c>
      <c r="X364" t="s">
        <v>39</v>
      </c>
      <c r="Y364">
        <v>1</v>
      </c>
      <c r="Z364" t="s">
        <v>40</v>
      </c>
      <c r="AA364" t="s">
        <v>40</v>
      </c>
      <c r="AB364">
        <v>1</v>
      </c>
    </row>
    <row r="365" spans="1:28" x14ac:dyDescent="0.3">
      <c r="A365">
        <v>364</v>
      </c>
      <c r="B365" t="s">
        <v>26</v>
      </c>
      <c r="C365" t="s">
        <v>52</v>
      </c>
      <c r="D365" t="s">
        <v>53</v>
      </c>
      <c r="E365">
        <v>6</v>
      </c>
      <c r="F365" t="s">
        <v>44</v>
      </c>
      <c r="G365" t="s">
        <v>58</v>
      </c>
      <c r="H365">
        <v>1766</v>
      </c>
      <c r="I365" t="s">
        <v>45</v>
      </c>
      <c r="J365" t="s">
        <v>46</v>
      </c>
      <c r="K365" t="s">
        <v>47</v>
      </c>
      <c r="L365" t="s">
        <v>48</v>
      </c>
      <c r="M365">
        <v>1</v>
      </c>
      <c r="N365" t="s">
        <v>34</v>
      </c>
      <c r="O365" t="s">
        <v>75</v>
      </c>
      <c r="P365" t="s">
        <v>36</v>
      </c>
      <c r="Q365">
        <v>2</v>
      </c>
      <c r="R365" t="s">
        <v>60</v>
      </c>
      <c r="S365">
        <v>21</v>
      </c>
      <c r="T365" t="s">
        <v>96</v>
      </c>
      <c r="U365" t="s">
        <v>36</v>
      </c>
      <c r="V365" t="s">
        <v>69</v>
      </c>
      <c r="W365">
        <v>1</v>
      </c>
      <c r="X365" t="s">
        <v>39</v>
      </c>
      <c r="Y365">
        <v>1</v>
      </c>
      <c r="Z365" t="s">
        <v>51</v>
      </c>
      <c r="AA365" t="s">
        <v>40</v>
      </c>
      <c r="AB365">
        <v>1</v>
      </c>
    </row>
    <row r="366" spans="1:28" x14ac:dyDescent="0.3">
      <c r="A366">
        <v>365</v>
      </c>
      <c r="B366" t="s">
        <v>41</v>
      </c>
      <c r="C366" t="s">
        <v>27</v>
      </c>
      <c r="D366" t="s">
        <v>28</v>
      </c>
      <c r="E366">
        <v>18</v>
      </c>
      <c r="F366" t="s">
        <v>44</v>
      </c>
      <c r="G366" t="s">
        <v>58</v>
      </c>
      <c r="H366">
        <v>2473</v>
      </c>
      <c r="I366" t="s">
        <v>45</v>
      </c>
      <c r="J366" t="s">
        <v>46</v>
      </c>
      <c r="K366" t="s">
        <v>74</v>
      </c>
      <c r="L366" t="s">
        <v>74</v>
      </c>
      <c r="M366">
        <v>4</v>
      </c>
      <c r="N366" t="s">
        <v>34</v>
      </c>
      <c r="O366" t="s">
        <v>35</v>
      </c>
      <c r="P366" t="s">
        <v>36</v>
      </c>
      <c r="Q366">
        <v>1</v>
      </c>
      <c r="R366" t="s">
        <v>68</v>
      </c>
      <c r="S366">
        <v>25</v>
      </c>
      <c r="T366" t="s">
        <v>98</v>
      </c>
      <c r="U366" t="s">
        <v>36</v>
      </c>
      <c r="V366" t="s">
        <v>38</v>
      </c>
      <c r="W366">
        <v>1</v>
      </c>
      <c r="X366" t="s">
        <v>90</v>
      </c>
      <c r="Y366">
        <v>1</v>
      </c>
      <c r="Z366" t="s">
        <v>51</v>
      </c>
      <c r="AA366" t="s">
        <v>40</v>
      </c>
      <c r="AB366">
        <v>2</v>
      </c>
    </row>
    <row r="367" spans="1:28" x14ac:dyDescent="0.3">
      <c r="A367">
        <v>366</v>
      </c>
      <c r="B367" t="s">
        <v>26</v>
      </c>
      <c r="C367" t="s">
        <v>52</v>
      </c>
      <c r="D367" t="s">
        <v>53</v>
      </c>
      <c r="E367">
        <v>12</v>
      </c>
      <c r="F367" t="s">
        <v>44</v>
      </c>
      <c r="G367" t="s">
        <v>78</v>
      </c>
      <c r="H367">
        <v>1542</v>
      </c>
      <c r="I367" t="s">
        <v>45</v>
      </c>
      <c r="J367" t="s">
        <v>46</v>
      </c>
      <c r="K367" t="s">
        <v>55</v>
      </c>
      <c r="L367" t="s">
        <v>56</v>
      </c>
      <c r="M367">
        <v>2</v>
      </c>
      <c r="N367" t="s">
        <v>34</v>
      </c>
      <c r="O367" t="s">
        <v>35</v>
      </c>
      <c r="P367" t="s">
        <v>36</v>
      </c>
      <c r="Q367">
        <v>4</v>
      </c>
      <c r="R367" t="s">
        <v>68</v>
      </c>
      <c r="S367">
        <v>36</v>
      </c>
      <c r="T367" t="s">
        <v>98</v>
      </c>
      <c r="U367" t="s">
        <v>36</v>
      </c>
      <c r="V367" t="s">
        <v>38</v>
      </c>
      <c r="W367">
        <v>1</v>
      </c>
      <c r="X367" t="s">
        <v>39</v>
      </c>
      <c r="Y367">
        <v>1</v>
      </c>
      <c r="Z367" t="s">
        <v>40</v>
      </c>
      <c r="AA367" t="s">
        <v>40</v>
      </c>
      <c r="AB367">
        <v>1</v>
      </c>
    </row>
    <row r="368" spans="1:28" x14ac:dyDescent="0.3">
      <c r="A368">
        <v>367</v>
      </c>
      <c r="B368" t="s">
        <v>26</v>
      </c>
      <c r="C368" t="s">
        <v>52</v>
      </c>
      <c r="D368" t="s">
        <v>53</v>
      </c>
      <c r="E368">
        <v>18</v>
      </c>
      <c r="F368" t="s">
        <v>29</v>
      </c>
      <c r="G368" t="s">
        <v>67</v>
      </c>
      <c r="H368">
        <v>3850</v>
      </c>
      <c r="I368" t="s">
        <v>45</v>
      </c>
      <c r="J368" t="s">
        <v>46</v>
      </c>
      <c r="K368" t="s">
        <v>55</v>
      </c>
      <c r="L368" t="s">
        <v>56</v>
      </c>
      <c r="M368">
        <v>3</v>
      </c>
      <c r="N368" t="s">
        <v>34</v>
      </c>
      <c r="O368" t="s">
        <v>35</v>
      </c>
      <c r="P368" t="s">
        <v>36</v>
      </c>
      <c r="Q368">
        <v>1</v>
      </c>
      <c r="R368" t="s">
        <v>68</v>
      </c>
      <c r="S368">
        <v>27</v>
      </c>
      <c r="T368" t="s">
        <v>98</v>
      </c>
      <c r="U368" t="s">
        <v>36</v>
      </c>
      <c r="V368" t="s">
        <v>38</v>
      </c>
      <c r="W368">
        <v>2</v>
      </c>
      <c r="X368" t="s">
        <v>39</v>
      </c>
      <c r="Y368">
        <v>1</v>
      </c>
      <c r="Z368" t="s">
        <v>51</v>
      </c>
      <c r="AA368" t="s">
        <v>40</v>
      </c>
      <c r="AB368">
        <v>1</v>
      </c>
    </row>
    <row r="369" spans="1:28" x14ac:dyDescent="0.3">
      <c r="A369">
        <v>368</v>
      </c>
      <c r="B369" t="s">
        <v>26</v>
      </c>
      <c r="C369" t="s">
        <v>27</v>
      </c>
      <c r="D369" t="s">
        <v>28</v>
      </c>
      <c r="E369">
        <v>18</v>
      </c>
      <c r="F369" t="s">
        <v>44</v>
      </c>
      <c r="G369" t="s">
        <v>58</v>
      </c>
      <c r="H369">
        <v>3650</v>
      </c>
      <c r="I369" t="s">
        <v>45</v>
      </c>
      <c r="J369" t="s">
        <v>46</v>
      </c>
      <c r="K369" t="s">
        <v>76</v>
      </c>
      <c r="L369" t="s">
        <v>77</v>
      </c>
      <c r="M369">
        <v>1</v>
      </c>
      <c r="N369" t="s">
        <v>49</v>
      </c>
      <c r="O369" t="s">
        <v>50</v>
      </c>
      <c r="P369" t="s">
        <v>36</v>
      </c>
      <c r="Q369">
        <v>4</v>
      </c>
      <c r="R369" t="s">
        <v>68</v>
      </c>
      <c r="S369">
        <v>22</v>
      </c>
      <c r="T369" t="s">
        <v>96</v>
      </c>
      <c r="U369" t="s">
        <v>36</v>
      </c>
      <c r="V369" t="s">
        <v>69</v>
      </c>
      <c r="W369">
        <v>1</v>
      </c>
      <c r="X369" t="s">
        <v>39</v>
      </c>
      <c r="Y369">
        <v>1</v>
      </c>
      <c r="Z369" t="s">
        <v>51</v>
      </c>
      <c r="AA369" t="s">
        <v>40</v>
      </c>
      <c r="AB369">
        <v>1</v>
      </c>
    </row>
    <row r="370" spans="1:28" x14ac:dyDescent="0.3">
      <c r="A370">
        <v>369</v>
      </c>
      <c r="B370" t="s">
        <v>41</v>
      </c>
      <c r="C370" t="s">
        <v>27</v>
      </c>
      <c r="D370" t="s">
        <v>28</v>
      </c>
      <c r="E370">
        <v>36</v>
      </c>
      <c r="F370" t="s">
        <v>44</v>
      </c>
      <c r="G370" t="s">
        <v>58</v>
      </c>
      <c r="H370">
        <v>3446</v>
      </c>
      <c r="I370" t="s">
        <v>45</v>
      </c>
      <c r="J370" t="s">
        <v>46</v>
      </c>
      <c r="K370" t="s">
        <v>32</v>
      </c>
      <c r="L370" t="s">
        <v>33</v>
      </c>
      <c r="M370">
        <v>4</v>
      </c>
      <c r="N370" t="s">
        <v>34</v>
      </c>
      <c r="O370" t="s">
        <v>35</v>
      </c>
      <c r="P370" t="s">
        <v>36</v>
      </c>
      <c r="Q370">
        <v>2</v>
      </c>
      <c r="R370" t="s">
        <v>68</v>
      </c>
      <c r="S370">
        <v>42</v>
      </c>
      <c r="T370" t="s">
        <v>97</v>
      </c>
      <c r="U370" t="s">
        <v>36</v>
      </c>
      <c r="V370" t="s">
        <v>38</v>
      </c>
      <c r="W370">
        <v>1</v>
      </c>
      <c r="X370" t="s">
        <v>39</v>
      </c>
      <c r="Y370">
        <v>2</v>
      </c>
      <c r="Z370" t="s">
        <v>51</v>
      </c>
      <c r="AA370" t="s">
        <v>40</v>
      </c>
      <c r="AB370">
        <v>2</v>
      </c>
    </row>
    <row r="371" spans="1:28" x14ac:dyDescent="0.3">
      <c r="A371">
        <v>370</v>
      </c>
      <c r="B371" t="s">
        <v>26</v>
      </c>
      <c r="C371" t="s">
        <v>42</v>
      </c>
      <c r="D371" t="s">
        <v>43</v>
      </c>
      <c r="E371">
        <v>18</v>
      </c>
      <c r="F371" t="s">
        <v>44</v>
      </c>
      <c r="G371" t="s">
        <v>58</v>
      </c>
      <c r="H371">
        <v>3001</v>
      </c>
      <c r="I371" t="s">
        <v>45</v>
      </c>
      <c r="J371" t="s">
        <v>46</v>
      </c>
      <c r="K371" t="s">
        <v>55</v>
      </c>
      <c r="L371" t="s">
        <v>56</v>
      </c>
      <c r="M371">
        <v>2</v>
      </c>
      <c r="N371" t="s">
        <v>49</v>
      </c>
      <c r="O371" t="s">
        <v>50</v>
      </c>
      <c r="P371" t="s">
        <v>36</v>
      </c>
      <c r="Q371">
        <v>4</v>
      </c>
      <c r="R371" t="s">
        <v>37</v>
      </c>
      <c r="S371">
        <v>40</v>
      </c>
      <c r="T371" t="s">
        <v>97</v>
      </c>
      <c r="U371" t="s">
        <v>36</v>
      </c>
      <c r="V371" t="s">
        <v>69</v>
      </c>
      <c r="W371">
        <v>1</v>
      </c>
      <c r="X371" t="s">
        <v>39</v>
      </c>
      <c r="Y371">
        <v>1</v>
      </c>
      <c r="Z371" t="s">
        <v>51</v>
      </c>
      <c r="AA371" t="s">
        <v>40</v>
      </c>
      <c r="AB371">
        <v>1</v>
      </c>
    </row>
    <row r="372" spans="1:28" x14ac:dyDescent="0.3">
      <c r="A372">
        <v>371</v>
      </c>
      <c r="B372" t="s">
        <v>26</v>
      </c>
      <c r="C372" t="s">
        <v>52</v>
      </c>
      <c r="D372" t="s">
        <v>53</v>
      </c>
      <c r="E372">
        <v>36</v>
      </c>
      <c r="F372" t="s">
        <v>44</v>
      </c>
      <c r="G372" t="s">
        <v>63</v>
      </c>
      <c r="H372">
        <v>3079</v>
      </c>
      <c r="I372" t="s">
        <v>31</v>
      </c>
      <c r="J372" t="s">
        <v>31</v>
      </c>
      <c r="K372" t="s">
        <v>47</v>
      </c>
      <c r="L372" t="s">
        <v>48</v>
      </c>
      <c r="M372">
        <v>4</v>
      </c>
      <c r="N372" t="s">
        <v>34</v>
      </c>
      <c r="O372" t="s">
        <v>35</v>
      </c>
      <c r="P372" t="s">
        <v>36</v>
      </c>
      <c r="Q372">
        <v>4</v>
      </c>
      <c r="R372" t="s">
        <v>37</v>
      </c>
      <c r="S372">
        <v>36</v>
      </c>
      <c r="T372" t="s">
        <v>98</v>
      </c>
      <c r="U372" t="s">
        <v>36</v>
      </c>
      <c r="V372" t="s">
        <v>38</v>
      </c>
      <c r="W372">
        <v>1</v>
      </c>
      <c r="X372" t="s">
        <v>39</v>
      </c>
      <c r="Y372">
        <v>1</v>
      </c>
      <c r="Z372" t="s">
        <v>51</v>
      </c>
      <c r="AA372" t="s">
        <v>40</v>
      </c>
      <c r="AB372">
        <v>1</v>
      </c>
    </row>
    <row r="373" spans="1:28" x14ac:dyDescent="0.3">
      <c r="A373">
        <v>372</v>
      </c>
      <c r="B373" t="s">
        <v>26</v>
      </c>
      <c r="C373" t="s">
        <v>52</v>
      </c>
      <c r="D373" t="s">
        <v>53</v>
      </c>
      <c r="E373">
        <v>18</v>
      </c>
      <c r="F373" t="s">
        <v>29</v>
      </c>
      <c r="G373" t="s">
        <v>30</v>
      </c>
      <c r="H373">
        <v>6070</v>
      </c>
      <c r="I373" t="s">
        <v>45</v>
      </c>
      <c r="J373" t="s">
        <v>46</v>
      </c>
      <c r="K373" t="s">
        <v>32</v>
      </c>
      <c r="L373" t="s">
        <v>33</v>
      </c>
      <c r="M373">
        <v>3</v>
      </c>
      <c r="N373" t="s">
        <v>34</v>
      </c>
      <c r="O373" t="s">
        <v>35</v>
      </c>
      <c r="P373" t="s">
        <v>36</v>
      </c>
      <c r="Q373">
        <v>4</v>
      </c>
      <c r="R373" t="s">
        <v>68</v>
      </c>
      <c r="S373">
        <v>33</v>
      </c>
      <c r="T373" t="s">
        <v>98</v>
      </c>
      <c r="U373" t="s">
        <v>36</v>
      </c>
      <c r="V373" t="s">
        <v>38</v>
      </c>
      <c r="W373">
        <v>2</v>
      </c>
      <c r="X373" t="s">
        <v>39</v>
      </c>
      <c r="Y373">
        <v>1</v>
      </c>
      <c r="Z373" t="s">
        <v>40</v>
      </c>
      <c r="AA373" t="s">
        <v>40</v>
      </c>
      <c r="AB373">
        <v>1</v>
      </c>
    </row>
    <row r="374" spans="1:28" x14ac:dyDescent="0.3">
      <c r="A374">
        <v>373</v>
      </c>
      <c r="B374" t="s">
        <v>26</v>
      </c>
      <c r="C374" t="s">
        <v>52</v>
      </c>
      <c r="D374" t="s">
        <v>53</v>
      </c>
      <c r="E374">
        <v>10</v>
      </c>
      <c r="F374" t="s">
        <v>29</v>
      </c>
      <c r="G374" t="s">
        <v>58</v>
      </c>
      <c r="H374">
        <v>2146</v>
      </c>
      <c r="I374" t="s">
        <v>45</v>
      </c>
      <c r="J374" t="s">
        <v>46</v>
      </c>
      <c r="K374" t="s">
        <v>76</v>
      </c>
      <c r="L374" t="s">
        <v>77</v>
      </c>
      <c r="M374">
        <v>1</v>
      </c>
      <c r="N374" t="s">
        <v>49</v>
      </c>
      <c r="O374" t="s">
        <v>50</v>
      </c>
      <c r="P374" t="s">
        <v>36</v>
      </c>
      <c r="Q374">
        <v>3</v>
      </c>
      <c r="R374" t="s">
        <v>37</v>
      </c>
      <c r="S374">
        <v>23</v>
      </c>
      <c r="T374" t="s">
        <v>96</v>
      </c>
      <c r="U374" t="s">
        <v>36</v>
      </c>
      <c r="V374" t="s">
        <v>69</v>
      </c>
      <c r="W374">
        <v>2</v>
      </c>
      <c r="X374" t="s">
        <v>39</v>
      </c>
      <c r="Y374">
        <v>1</v>
      </c>
      <c r="Z374" t="s">
        <v>51</v>
      </c>
      <c r="AA374" t="s">
        <v>40</v>
      </c>
      <c r="AB374">
        <v>1</v>
      </c>
    </row>
    <row r="375" spans="1:28" x14ac:dyDescent="0.3">
      <c r="A375">
        <v>374</v>
      </c>
      <c r="B375" t="s">
        <v>26</v>
      </c>
      <c r="C375" t="s">
        <v>52</v>
      </c>
      <c r="D375" t="s">
        <v>53</v>
      </c>
      <c r="E375">
        <v>60</v>
      </c>
      <c r="F375" t="s">
        <v>29</v>
      </c>
      <c r="G375" t="s">
        <v>63</v>
      </c>
      <c r="H375">
        <v>13756</v>
      </c>
      <c r="I375" t="s">
        <v>31</v>
      </c>
      <c r="J375" t="s">
        <v>31</v>
      </c>
      <c r="K375" t="s">
        <v>32</v>
      </c>
      <c r="L375" t="s">
        <v>33</v>
      </c>
      <c r="M375">
        <v>2</v>
      </c>
      <c r="N375" t="s">
        <v>34</v>
      </c>
      <c r="O375" t="s">
        <v>35</v>
      </c>
      <c r="P375" t="s">
        <v>36</v>
      </c>
      <c r="Q375">
        <v>4</v>
      </c>
      <c r="R375" t="s">
        <v>64</v>
      </c>
      <c r="S375">
        <v>63</v>
      </c>
      <c r="T375" t="s">
        <v>95</v>
      </c>
      <c r="U375" t="s">
        <v>82</v>
      </c>
      <c r="V375" t="s">
        <v>61</v>
      </c>
      <c r="W375">
        <v>1</v>
      </c>
      <c r="X375" t="s">
        <v>70</v>
      </c>
      <c r="Y375">
        <v>1</v>
      </c>
      <c r="Z375" t="s">
        <v>40</v>
      </c>
      <c r="AA375" t="s">
        <v>40</v>
      </c>
      <c r="AB375">
        <v>1</v>
      </c>
    </row>
    <row r="376" spans="1:28" x14ac:dyDescent="0.3">
      <c r="A376">
        <v>375</v>
      </c>
      <c r="B376" t="s">
        <v>41</v>
      </c>
      <c r="C376" t="s">
        <v>42</v>
      </c>
      <c r="D376" t="s">
        <v>43</v>
      </c>
      <c r="E376">
        <v>60</v>
      </c>
      <c r="F376" t="s">
        <v>85</v>
      </c>
      <c r="G376" t="s">
        <v>91</v>
      </c>
      <c r="H376">
        <v>14782</v>
      </c>
      <c r="I376" t="s">
        <v>79</v>
      </c>
      <c r="J376" t="s">
        <v>80</v>
      </c>
      <c r="K376" t="s">
        <v>32</v>
      </c>
      <c r="L376" t="s">
        <v>33</v>
      </c>
      <c r="M376">
        <v>3</v>
      </c>
      <c r="N376" t="s">
        <v>49</v>
      </c>
      <c r="O376" t="s">
        <v>50</v>
      </c>
      <c r="P376" t="s">
        <v>36</v>
      </c>
      <c r="Q376">
        <v>4</v>
      </c>
      <c r="R376" t="s">
        <v>64</v>
      </c>
      <c r="S376">
        <v>60</v>
      </c>
      <c r="T376" t="s">
        <v>95</v>
      </c>
      <c r="U376" t="s">
        <v>82</v>
      </c>
      <c r="V376" t="s">
        <v>61</v>
      </c>
      <c r="W376">
        <v>2</v>
      </c>
      <c r="X376" t="s">
        <v>70</v>
      </c>
      <c r="Y376">
        <v>1</v>
      </c>
      <c r="Z376" t="s">
        <v>40</v>
      </c>
      <c r="AA376" t="s">
        <v>40</v>
      </c>
      <c r="AB376">
        <v>2</v>
      </c>
    </row>
    <row r="377" spans="1:28" x14ac:dyDescent="0.3">
      <c r="A377">
        <v>376</v>
      </c>
      <c r="B377" t="s">
        <v>41</v>
      </c>
      <c r="C377" t="s">
        <v>27</v>
      </c>
      <c r="D377" t="s">
        <v>28</v>
      </c>
      <c r="E377">
        <v>48</v>
      </c>
      <c r="F377" t="s">
        <v>85</v>
      </c>
      <c r="G377" t="s">
        <v>78</v>
      </c>
      <c r="H377">
        <v>7685</v>
      </c>
      <c r="I377" t="s">
        <v>45</v>
      </c>
      <c r="J377" t="s">
        <v>46</v>
      </c>
      <c r="K377" t="s">
        <v>55</v>
      </c>
      <c r="L377" t="s">
        <v>56</v>
      </c>
      <c r="M377">
        <v>2</v>
      </c>
      <c r="N377" t="s">
        <v>49</v>
      </c>
      <c r="O377" t="s">
        <v>50</v>
      </c>
      <c r="P377" t="s">
        <v>59</v>
      </c>
      <c r="Q377">
        <v>4</v>
      </c>
      <c r="R377" t="s">
        <v>68</v>
      </c>
      <c r="S377">
        <v>37</v>
      </c>
      <c r="T377" t="s">
        <v>98</v>
      </c>
      <c r="U377" t="s">
        <v>36</v>
      </c>
      <c r="V377" t="s">
        <v>69</v>
      </c>
      <c r="W377">
        <v>1</v>
      </c>
      <c r="X377" t="s">
        <v>39</v>
      </c>
      <c r="Y377">
        <v>1</v>
      </c>
      <c r="Z377" t="s">
        <v>51</v>
      </c>
      <c r="AA377" t="s">
        <v>40</v>
      </c>
      <c r="AB377">
        <v>2</v>
      </c>
    </row>
    <row r="378" spans="1:28" x14ac:dyDescent="0.3">
      <c r="A378">
        <v>377</v>
      </c>
      <c r="B378" t="s">
        <v>26</v>
      </c>
      <c r="C378" t="s">
        <v>52</v>
      </c>
      <c r="D378" t="s">
        <v>53</v>
      </c>
      <c r="E378">
        <v>18</v>
      </c>
      <c r="F378" t="s">
        <v>62</v>
      </c>
      <c r="G378" t="s">
        <v>30</v>
      </c>
      <c r="H378">
        <v>2320</v>
      </c>
      <c r="I378" t="s">
        <v>45</v>
      </c>
      <c r="J378" t="s">
        <v>46</v>
      </c>
      <c r="K378" t="s">
        <v>74</v>
      </c>
      <c r="L378" t="s">
        <v>74</v>
      </c>
      <c r="M378">
        <v>2</v>
      </c>
      <c r="N378" t="s">
        <v>34</v>
      </c>
      <c r="O378" t="s">
        <v>75</v>
      </c>
      <c r="P378" t="s">
        <v>36</v>
      </c>
      <c r="Q378">
        <v>3</v>
      </c>
      <c r="R378" t="s">
        <v>37</v>
      </c>
      <c r="S378">
        <v>34</v>
      </c>
      <c r="T378" t="s">
        <v>98</v>
      </c>
      <c r="U378" t="s">
        <v>36</v>
      </c>
      <c r="V378" t="s">
        <v>38</v>
      </c>
      <c r="W378">
        <v>2</v>
      </c>
      <c r="X378" t="s">
        <v>39</v>
      </c>
      <c r="Y378">
        <v>1</v>
      </c>
      <c r="Z378" t="s">
        <v>51</v>
      </c>
      <c r="AA378" t="s">
        <v>40</v>
      </c>
      <c r="AB378">
        <v>1</v>
      </c>
    </row>
    <row r="379" spans="1:28" x14ac:dyDescent="0.3">
      <c r="A379">
        <v>378</v>
      </c>
      <c r="B379" t="s">
        <v>26</v>
      </c>
      <c r="C379" t="s">
        <v>52</v>
      </c>
      <c r="D379" t="s">
        <v>53</v>
      </c>
      <c r="E379">
        <v>7</v>
      </c>
      <c r="F379" t="s">
        <v>62</v>
      </c>
      <c r="G379" t="s">
        <v>30</v>
      </c>
      <c r="H379">
        <v>846</v>
      </c>
      <c r="I379" t="s">
        <v>31</v>
      </c>
      <c r="J379" t="s">
        <v>31</v>
      </c>
      <c r="K379" t="s">
        <v>32</v>
      </c>
      <c r="L379" t="s">
        <v>33</v>
      </c>
      <c r="M379">
        <v>3</v>
      </c>
      <c r="N379" t="s">
        <v>34</v>
      </c>
      <c r="O379" t="s">
        <v>35</v>
      </c>
      <c r="P379" t="s">
        <v>36</v>
      </c>
      <c r="Q379">
        <v>4</v>
      </c>
      <c r="R379" t="s">
        <v>64</v>
      </c>
      <c r="S379">
        <v>36</v>
      </c>
      <c r="T379" t="s">
        <v>98</v>
      </c>
      <c r="U379" t="s">
        <v>36</v>
      </c>
      <c r="V379" t="s">
        <v>61</v>
      </c>
      <c r="W379">
        <v>1</v>
      </c>
      <c r="X379" t="s">
        <v>39</v>
      </c>
      <c r="Y379">
        <v>1</v>
      </c>
      <c r="Z379" t="s">
        <v>51</v>
      </c>
      <c r="AA379" t="s">
        <v>40</v>
      </c>
      <c r="AB379">
        <v>1</v>
      </c>
    </row>
    <row r="380" spans="1:28" x14ac:dyDescent="0.3">
      <c r="A380">
        <v>379</v>
      </c>
      <c r="B380" t="s">
        <v>41</v>
      </c>
      <c r="C380" t="s">
        <v>42</v>
      </c>
      <c r="D380" t="s">
        <v>43</v>
      </c>
      <c r="E380">
        <v>36</v>
      </c>
      <c r="F380" t="s">
        <v>44</v>
      </c>
      <c r="G380" t="s">
        <v>63</v>
      </c>
      <c r="H380">
        <v>14318</v>
      </c>
      <c r="I380" t="s">
        <v>45</v>
      </c>
      <c r="J380" t="s">
        <v>46</v>
      </c>
      <c r="K380" t="s">
        <v>32</v>
      </c>
      <c r="L380" t="s">
        <v>33</v>
      </c>
      <c r="M380">
        <v>4</v>
      </c>
      <c r="N380" t="s">
        <v>34</v>
      </c>
      <c r="O380" t="s">
        <v>35</v>
      </c>
      <c r="P380" t="s">
        <v>36</v>
      </c>
      <c r="Q380">
        <v>2</v>
      </c>
      <c r="R380" t="s">
        <v>64</v>
      </c>
      <c r="S380">
        <v>57</v>
      </c>
      <c r="T380" t="s">
        <v>97</v>
      </c>
      <c r="U380" t="s">
        <v>36</v>
      </c>
      <c r="V380" t="s">
        <v>61</v>
      </c>
      <c r="W380">
        <v>1</v>
      </c>
      <c r="X380" t="s">
        <v>70</v>
      </c>
      <c r="Y380">
        <v>1</v>
      </c>
      <c r="Z380" t="s">
        <v>40</v>
      </c>
      <c r="AA380" t="s">
        <v>40</v>
      </c>
      <c r="AB380">
        <v>2</v>
      </c>
    </row>
    <row r="381" spans="1:28" x14ac:dyDescent="0.3">
      <c r="A381">
        <v>380</v>
      </c>
      <c r="B381" t="s">
        <v>26</v>
      </c>
      <c r="C381" t="s">
        <v>52</v>
      </c>
      <c r="D381" t="s">
        <v>53</v>
      </c>
      <c r="E381">
        <v>6</v>
      </c>
      <c r="F381" t="s">
        <v>29</v>
      </c>
      <c r="G381" t="s">
        <v>63</v>
      </c>
      <c r="H381">
        <v>362</v>
      </c>
      <c r="I381" t="s">
        <v>79</v>
      </c>
      <c r="J381" t="s">
        <v>80</v>
      </c>
      <c r="K381" t="s">
        <v>47</v>
      </c>
      <c r="L381" t="s">
        <v>48</v>
      </c>
      <c r="M381">
        <v>4</v>
      </c>
      <c r="N381" t="s">
        <v>49</v>
      </c>
      <c r="O381" t="s">
        <v>50</v>
      </c>
      <c r="P381" t="s">
        <v>36</v>
      </c>
      <c r="Q381">
        <v>4</v>
      </c>
      <c r="R381" t="s">
        <v>68</v>
      </c>
      <c r="S381">
        <v>52</v>
      </c>
      <c r="T381" t="s">
        <v>97</v>
      </c>
      <c r="U381" t="s">
        <v>36</v>
      </c>
      <c r="V381" t="s">
        <v>38</v>
      </c>
      <c r="W381">
        <v>2</v>
      </c>
      <c r="X381" t="s">
        <v>57</v>
      </c>
      <c r="Y381">
        <v>1</v>
      </c>
      <c r="Z381" t="s">
        <v>51</v>
      </c>
      <c r="AA381" t="s">
        <v>40</v>
      </c>
      <c r="AB381">
        <v>1</v>
      </c>
    </row>
    <row r="382" spans="1:28" x14ac:dyDescent="0.3">
      <c r="A382">
        <v>381</v>
      </c>
      <c r="B382" t="s">
        <v>26</v>
      </c>
      <c r="C382" t="s">
        <v>27</v>
      </c>
      <c r="D382" t="s">
        <v>28</v>
      </c>
      <c r="E382">
        <v>20</v>
      </c>
      <c r="F382" t="s">
        <v>44</v>
      </c>
      <c r="G382" t="s">
        <v>58</v>
      </c>
      <c r="H382">
        <v>2212</v>
      </c>
      <c r="I382" t="s">
        <v>31</v>
      </c>
      <c r="J382" t="s">
        <v>31</v>
      </c>
      <c r="K382" t="s">
        <v>55</v>
      </c>
      <c r="L382" t="s">
        <v>56</v>
      </c>
      <c r="M382">
        <v>4</v>
      </c>
      <c r="N382" t="s">
        <v>34</v>
      </c>
      <c r="O382" t="s">
        <v>35</v>
      </c>
      <c r="P382" t="s">
        <v>36</v>
      </c>
      <c r="Q382">
        <v>4</v>
      </c>
      <c r="R382" t="s">
        <v>68</v>
      </c>
      <c r="S382">
        <v>39</v>
      </c>
      <c r="T382" t="s">
        <v>98</v>
      </c>
      <c r="U382" t="s">
        <v>36</v>
      </c>
      <c r="V382" t="s">
        <v>38</v>
      </c>
      <c r="W382">
        <v>1</v>
      </c>
      <c r="X382" t="s">
        <v>39</v>
      </c>
      <c r="Y382">
        <v>1</v>
      </c>
      <c r="Z382" t="s">
        <v>40</v>
      </c>
      <c r="AA382" t="s">
        <v>40</v>
      </c>
      <c r="AB382">
        <v>1</v>
      </c>
    </row>
    <row r="383" spans="1:28" x14ac:dyDescent="0.3">
      <c r="A383">
        <v>382</v>
      </c>
      <c r="B383" t="s">
        <v>41</v>
      </c>
      <c r="C383" t="s">
        <v>42</v>
      </c>
      <c r="D383" t="s">
        <v>43</v>
      </c>
      <c r="E383">
        <v>18</v>
      </c>
      <c r="F383" t="s">
        <v>44</v>
      </c>
      <c r="G383" t="s">
        <v>67</v>
      </c>
      <c r="H383">
        <v>12976</v>
      </c>
      <c r="I383" t="s">
        <v>45</v>
      </c>
      <c r="J383" t="s">
        <v>46</v>
      </c>
      <c r="K383" t="s">
        <v>74</v>
      </c>
      <c r="L383" t="s">
        <v>74</v>
      </c>
      <c r="M383">
        <v>3</v>
      </c>
      <c r="N383" t="s">
        <v>49</v>
      </c>
      <c r="O383" t="s">
        <v>50</v>
      </c>
      <c r="P383" t="s">
        <v>36</v>
      </c>
      <c r="Q383">
        <v>4</v>
      </c>
      <c r="R383" t="s">
        <v>64</v>
      </c>
      <c r="S383">
        <v>38</v>
      </c>
      <c r="T383" t="s">
        <v>98</v>
      </c>
      <c r="U383" t="s">
        <v>36</v>
      </c>
      <c r="V383" t="s">
        <v>61</v>
      </c>
      <c r="W383">
        <v>1</v>
      </c>
      <c r="X383" t="s">
        <v>70</v>
      </c>
      <c r="Y383">
        <v>1</v>
      </c>
      <c r="Z383" t="s">
        <v>40</v>
      </c>
      <c r="AA383" t="s">
        <v>40</v>
      </c>
      <c r="AB383">
        <v>2</v>
      </c>
    </row>
    <row r="384" spans="1:28" x14ac:dyDescent="0.3">
      <c r="A384">
        <v>383</v>
      </c>
      <c r="B384" t="s">
        <v>26</v>
      </c>
      <c r="C384" t="s">
        <v>52</v>
      </c>
      <c r="D384" t="s">
        <v>53</v>
      </c>
      <c r="E384">
        <v>22</v>
      </c>
      <c r="F384" t="s">
        <v>44</v>
      </c>
      <c r="G384" t="s">
        <v>63</v>
      </c>
      <c r="H384">
        <v>1283</v>
      </c>
      <c r="I384" t="s">
        <v>31</v>
      </c>
      <c r="J384" t="s">
        <v>31</v>
      </c>
      <c r="K384" t="s">
        <v>55</v>
      </c>
      <c r="L384" t="s">
        <v>56</v>
      </c>
      <c r="M384">
        <v>4</v>
      </c>
      <c r="N384" t="s">
        <v>49</v>
      </c>
      <c r="O384" t="s">
        <v>50</v>
      </c>
      <c r="P384" t="s">
        <v>36</v>
      </c>
      <c r="Q384">
        <v>4</v>
      </c>
      <c r="R384" t="s">
        <v>60</v>
      </c>
      <c r="S384">
        <v>25</v>
      </c>
      <c r="T384" t="s">
        <v>98</v>
      </c>
      <c r="U384" t="s">
        <v>36</v>
      </c>
      <c r="V384" t="s">
        <v>69</v>
      </c>
      <c r="W384">
        <v>1</v>
      </c>
      <c r="X384" t="s">
        <v>39</v>
      </c>
      <c r="Y384">
        <v>1</v>
      </c>
      <c r="Z384" t="s">
        <v>51</v>
      </c>
      <c r="AA384" t="s">
        <v>40</v>
      </c>
      <c r="AB384">
        <v>1</v>
      </c>
    </row>
    <row r="385" spans="1:28" x14ac:dyDescent="0.3">
      <c r="A385">
        <v>384</v>
      </c>
      <c r="B385" t="s">
        <v>26</v>
      </c>
      <c r="C385" t="s">
        <v>83</v>
      </c>
      <c r="D385" t="s">
        <v>84</v>
      </c>
      <c r="E385">
        <v>12</v>
      </c>
      <c r="F385" t="s">
        <v>44</v>
      </c>
      <c r="G385" t="s">
        <v>63</v>
      </c>
      <c r="H385">
        <v>1330</v>
      </c>
      <c r="I385" t="s">
        <v>45</v>
      </c>
      <c r="J385" t="s">
        <v>46</v>
      </c>
      <c r="K385" t="s">
        <v>76</v>
      </c>
      <c r="L385" t="s">
        <v>77</v>
      </c>
      <c r="M385">
        <v>4</v>
      </c>
      <c r="N385" t="s">
        <v>34</v>
      </c>
      <c r="O385" t="s">
        <v>35</v>
      </c>
      <c r="P385" t="s">
        <v>36</v>
      </c>
      <c r="Q385">
        <v>1</v>
      </c>
      <c r="R385" t="s">
        <v>37</v>
      </c>
      <c r="S385">
        <v>26</v>
      </c>
      <c r="T385" t="s">
        <v>98</v>
      </c>
      <c r="U385" t="s">
        <v>36</v>
      </c>
      <c r="V385" t="s">
        <v>38</v>
      </c>
      <c r="W385">
        <v>1</v>
      </c>
      <c r="X385" t="s">
        <v>39</v>
      </c>
      <c r="Y385">
        <v>1</v>
      </c>
      <c r="Z385" t="s">
        <v>51</v>
      </c>
      <c r="AA385" t="s">
        <v>40</v>
      </c>
      <c r="AB385">
        <v>1</v>
      </c>
    </row>
    <row r="386" spans="1:28" x14ac:dyDescent="0.3">
      <c r="A386">
        <v>385</v>
      </c>
      <c r="B386" t="s">
        <v>26</v>
      </c>
      <c r="C386" t="s">
        <v>52</v>
      </c>
      <c r="D386" t="s">
        <v>53</v>
      </c>
      <c r="E386">
        <v>30</v>
      </c>
      <c r="F386" t="s">
        <v>62</v>
      </c>
      <c r="G386" t="s">
        <v>78</v>
      </c>
      <c r="H386">
        <v>4272</v>
      </c>
      <c r="I386" t="s">
        <v>79</v>
      </c>
      <c r="J386" t="s">
        <v>80</v>
      </c>
      <c r="K386" t="s">
        <v>47</v>
      </c>
      <c r="L386" t="s">
        <v>48</v>
      </c>
      <c r="M386">
        <v>2</v>
      </c>
      <c r="N386" t="s">
        <v>34</v>
      </c>
      <c r="O386" t="s">
        <v>35</v>
      </c>
      <c r="P386" t="s">
        <v>36</v>
      </c>
      <c r="Q386">
        <v>2</v>
      </c>
      <c r="R386" t="s">
        <v>60</v>
      </c>
      <c r="S386">
        <v>26</v>
      </c>
      <c r="T386" t="s">
        <v>98</v>
      </c>
      <c r="U386" t="s">
        <v>36</v>
      </c>
      <c r="V386" t="s">
        <v>38</v>
      </c>
      <c r="W386">
        <v>2</v>
      </c>
      <c r="X386" t="s">
        <v>57</v>
      </c>
      <c r="Y386">
        <v>1</v>
      </c>
      <c r="Z386" t="s">
        <v>51</v>
      </c>
      <c r="AA386" t="s">
        <v>40</v>
      </c>
      <c r="AB386">
        <v>1</v>
      </c>
    </row>
    <row r="387" spans="1:28" x14ac:dyDescent="0.3">
      <c r="A387">
        <v>386</v>
      </c>
      <c r="B387" t="s">
        <v>26</v>
      </c>
      <c r="C387" t="s">
        <v>52</v>
      </c>
      <c r="D387" t="s">
        <v>53</v>
      </c>
      <c r="E387">
        <v>18</v>
      </c>
      <c r="F387" t="s">
        <v>29</v>
      </c>
      <c r="G387" t="s">
        <v>30</v>
      </c>
      <c r="H387">
        <v>2238</v>
      </c>
      <c r="I387" t="s">
        <v>45</v>
      </c>
      <c r="J387" t="s">
        <v>46</v>
      </c>
      <c r="K387" t="s">
        <v>47</v>
      </c>
      <c r="L387" t="s">
        <v>48</v>
      </c>
      <c r="M387">
        <v>2</v>
      </c>
      <c r="N387" t="s">
        <v>49</v>
      </c>
      <c r="O387" t="s">
        <v>50</v>
      </c>
      <c r="P387" t="s">
        <v>36</v>
      </c>
      <c r="Q387">
        <v>1</v>
      </c>
      <c r="R387" t="s">
        <v>68</v>
      </c>
      <c r="S387">
        <v>25</v>
      </c>
      <c r="T387" t="s">
        <v>98</v>
      </c>
      <c r="U387" t="s">
        <v>36</v>
      </c>
      <c r="V387" t="s">
        <v>38</v>
      </c>
      <c r="W387">
        <v>2</v>
      </c>
      <c r="X387" t="s">
        <v>39</v>
      </c>
      <c r="Y387">
        <v>1</v>
      </c>
      <c r="Z387" t="s">
        <v>51</v>
      </c>
      <c r="AA387" t="s">
        <v>40</v>
      </c>
      <c r="AB387">
        <v>1</v>
      </c>
    </row>
    <row r="388" spans="1:28" x14ac:dyDescent="0.3">
      <c r="A388">
        <v>387</v>
      </c>
      <c r="B388" t="s">
        <v>26</v>
      </c>
      <c r="C388" t="s">
        <v>52</v>
      </c>
      <c r="D388" t="s">
        <v>53</v>
      </c>
      <c r="E388">
        <v>18</v>
      </c>
      <c r="F388" t="s">
        <v>44</v>
      </c>
      <c r="G388" t="s">
        <v>30</v>
      </c>
      <c r="H388">
        <v>1126</v>
      </c>
      <c r="I388" t="s">
        <v>31</v>
      </c>
      <c r="J388" t="s">
        <v>31</v>
      </c>
      <c r="K388" t="s">
        <v>76</v>
      </c>
      <c r="L388" t="s">
        <v>77</v>
      </c>
      <c r="M388">
        <v>4</v>
      </c>
      <c r="N388" t="s">
        <v>49</v>
      </c>
      <c r="O388" t="s">
        <v>50</v>
      </c>
      <c r="P388" t="s">
        <v>36</v>
      </c>
      <c r="Q388">
        <v>2</v>
      </c>
      <c r="R388" t="s">
        <v>37</v>
      </c>
      <c r="S388">
        <v>21</v>
      </c>
      <c r="T388" t="s">
        <v>96</v>
      </c>
      <c r="U388" t="s">
        <v>36</v>
      </c>
      <c r="V388" t="s">
        <v>69</v>
      </c>
      <c r="W388">
        <v>1</v>
      </c>
      <c r="X388" t="s">
        <v>39</v>
      </c>
      <c r="Y388">
        <v>1</v>
      </c>
      <c r="Z388" t="s">
        <v>40</v>
      </c>
      <c r="AA388" t="s">
        <v>40</v>
      </c>
      <c r="AB388">
        <v>1</v>
      </c>
    </row>
    <row r="389" spans="1:28" x14ac:dyDescent="0.3">
      <c r="A389">
        <v>388</v>
      </c>
      <c r="B389" t="s">
        <v>26</v>
      </c>
      <c r="C389" t="s">
        <v>42</v>
      </c>
      <c r="D389" t="s">
        <v>43</v>
      </c>
      <c r="E389">
        <v>18</v>
      </c>
      <c r="F389" t="s">
        <v>29</v>
      </c>
      <c r="G389" t="s">
        <v>58</v>
      </c>
      <c r="H389">
        <v>7374</v>
      </c>
      <c r="I389" t="s">
        <v>45</v>
      </c>
      <c r="J389" t="s">
        <v>46</v>
      </c>
      <c r="K389" t="s">
        <v>74</v>
      </c>
      <c r="L389" t="s">
        <v>74</v>
      </c>
      <c r="M389">
        <v>4</v>
      </c>
      <c r="N389" t="s">
        <v>34</v>
      </c>
      <c r="O389" t="s">
        <v>35</v>
      </c>
      <c r="P389" t="s">
        <v>36</v>
      </c>
      <c r="Q389">
        <v>4</v>
      </c>
      <c r="R389" t="s">
        <v>60</v>
      </c>
      <c r="S389">
        <v>40</v>
      </c>
      <c r="T389" t="s">
        <v>97</v>
      </c>
      <c r="U389" t="s">
        <v>86</v>
      </c>
      <c r="V389" t="s">
        <v>38</v>
      </c>
      <c r="W389">
        <v>2</v>
      </c>
      <c r="X389" t="s">
        <v>70</v>
      </c>
      <c r="Y389">
        <v>1</v>
      </c>
      <c r="Z389" t="s">
        <v>40</v>
      </c>
      <c r="AA389" t="s">
        <v>40</v>
      </c>
      <c r="AB389">
        <v>1</v>
      </c>
    </row>
    <row r="390" spans="1:28" x14ac:dyDescent="0.3">
      <c r="A390">
        <v>389</v>
      </c>
      <c r="B390" t="s">
        <v>26</v>
      </c>
      <c r="C390" t="s">
        <v>42</v>
      </c>
      <c r="D390" t="s">
        <v>43</v>
      </c>
      <c r="E390">
        <v>15</v>
      </c>
      <c r="F390" t="s">
        <v>29</v>
      </c>
      <c r="G390" t="s">
        <v>78</v>
      </c>
      <c r="H390">
        <v>2326</v>
      </c>
      <c r="I390" t="s">
        <v>65</v>
      </c>
      <c r="J390" t="s">
        <v>66</v>
      </c>
      <c r="K390" t="s">
        <v>47</v>
      </c>
      <c r="L390" t="s">
        <v>48</v>
      </c>
      <c r="M390">
        <v>2</v>
      </c>
      <c r="N390" t="s">
        <v>34</v>
      </c>
      <c r="O390" t="s">
        <v>35</v>
      </c>
      <c r="P390" t="s">
        <v>36</v>
      </c>
      <c r="Q390">
        <v>4</v>
      </c>
      <c r="R390" t="s">
        <v>68</v>
      </c>
      <c r="S390">
        <v>27</v>
      </c>
      <c r="T390" t="s">
        <v>98</v>
      </c>
      <c r="U390" t="s">
        <v>82</v>
      </c>
      <c r="V390" t="s">
        <v>38</v>
      </c>
      <c r="W390">
        <v>1</v>
      </c>
      <c r="X390" t="s">
        <v>39</v>
      </c>
      <c r="Y390">
        <v>1</v>
      </c>
      <c r="Z390" t="s">
        <v>51</v>
      </c>
      <c r="AA390" t="s">
        <v>40</v>
      </c>
      <c r="AB390">
        <v>1</v>
      </c>
    </row>
    <row r="391" spans="1:28" x14ac:dyDescent="0.3">
      <c r="A391">
        <v>390</v>
      </c>
      <c r="B391" t="s">
        <v>26</v>
      </c>
      <c r="C391" t="s">
        <v>52</v>
      </c>
      <c r="D391" t="s">
        <v>53</v>
      </c>
      <c r="E391">
        <v>9</v>
      </c>
      <c r="F391" t="s">
        <v>44</v>
      </c>
      <c r="G391" t="s">
        <v>78</v>
      </c>
      <c r="H391">
        <v>1449</v>
      </c>
      <c r="I391" t="s">
        <v>45</v>
      </c>
      <c r="J391" t="s">
        <v>46</v>
      </c>
      <c r="K391" t="s">
        <v>55</v>
      </c>
      <c r="L391" t="s">
        <v>56</v>
      </c>
      <c r="M391">
        <v>3</v>
      </c>
      <c r="N391" t="s">
        <v>49</v>
      </c>
      <c r="O391" t="s">
        <v>50</v>
      </c>
      <c r="P391" t="s">
        <v>36</v>
      </c>
      <c r="Q391">
        <v>2</v>
      </c>
      <c r="R391" t="s">
        <v>68</v>
      </c>
      <c r="S391">
        <v>27</v>
      </c>
      <c r="T391" t="s">
        <v>98</v>
      </c>
      <c r="U391" t="s">
        <v>36</v>
      </c>
      <c r="V391" t="s">
        <v>38</v>
      </c>
      <c r="W391">
        <v>2</v>
      </c>
      <c r="X391" t="s">
        <v>39</v>
      </c>
      <c r="Y391">
        <v>1</v>
      </c>
      <c r="Z391" t="s">
        <v>51</v>
      </c>
      <c r="AA391" t="s">
        <v>40</v>
      </c>
      <c r="AB391">
        <v>1</v>
      </c>
    </row>
    <row r="392" spans="1:28" x14ac:dyDescent="0.3">
      <c r="A392">
        <v>391</v>
      </c>
      <c r="B392" t="s">
        <v>26</v>
      </c>
      <c r="C392" t="s">
        <v>52</v>
      </c>
      <c r="D392" t="s">
        <v>53</v>
      </c>
      <c r="E392">
        <v>18</v>
      </c>
      <c r="F392" t="s">
        <v>44</v>
      </c>
      <c r="G392" t="s">
        <v>63</v>
      </c>
      <c r="H392">
        <v>1820</v>
      </c>
      <c r="I392" t="s">
        <v>45</v>
      </c>
      <c r="J392" t="s">
        <v>46</v>
      </c>
      <c r="K392" t="s">
        <v>47</v>
      </c>
      <c r="L392" t="s">
        <v>48</v>
      </c>
      <c r="M392">
        <v>2</v>
      </c>
      <c r="N392" t="s">
        <v>34</v>
      </c>
      <c r="O392" t="s">
        <v>75</v>
      </c>
      <c r="P392" t="s">
        <v>36</v>
      </c>
      <c r="Q392">
        <v>2</v>
      </c>
      <c r="R392" t="s">
        <v>60</v>
      </c>
      <c r="S392">
        <v>30</v>
      </c>
      <c r="T392" t="s">
        <v>98</v>
      </c>
      <c r="U392" t="s">
        <v>36</v>
      </c>
      <c r="V392" t="s">
        <v>38</v>
      </c>
      <c r="W392">
        <v>1</v>
      </c>
      <c r="X392" t="s">
        <v>70</v>
      </c>
      <c r="Y392">
        <v>1</v>
      </c>
      <c r="Z392" t="s">
        <v>40</v>
      </c>
      <c r="AA392" t="s">
        <v>40</v>
      </c>
      <c r="AB392">
        <v>1</v>
      </c>
    </row>
    <row r="393" spans="1:28" x14ac:dyDescent="0.3">
      <c r="A393">
        <v>392</v>
      </c>
      <c r="B393" t="s">
        <v>26</v>
      </c>
      <c r="C393" t="s">
        <v>42</v>
      </c>
      <c r="D393" t="s">
        <v>43</v>
      </c>
      <c r="E393">
        <v>12</v>
      </c>
      <c r="F393" t="s">
        <v>44</v>
      </c>
      <c r="G393" t="s">
        <v>58</v>
      </c>
      <c r="H393">
        <v>983</v>
      </c>
      <c r="I393" t="s">
        <v>71</v>
      </c>
      <c r="J393" t="s">
        <v>72</v>
      </c>
      <c r="K393" t="s">
        <v>76</v>
      </c>
      <c r="L393" t="s">
        <v>77</v>
      </c>
      <c r="M393">
        <v>1</v>
      </c>
      <c r="N393" t="s">
        <v>49</v>
      </c>
      <c r="O393" t="s">
        <v>50</v>
      </c>
      <c r="P393" t="s">
        <v>36</v>
      </c>
      <c r="Q393">
        <v>4</v>
      </c>
      <c r="R393" t="s">
        <v>37</v>
      </c>
      <c r="S393">
        <v>19</v>
      </c>
      <c r="T393" t="s">
        <v>96</v>
      </c>
      <c r="U393" t="s">
        <v>36</v>
      </c>
      <c r="V393" t="s">
        <v>69</v>
      </c>
      <c r="W393">
        <v>1</v>
      </c>
      <c r="X393" t="s">
        <v>57</v>
      </c>
      <c r="Y393">
        <v>1</v>
      </c>
      <c r="Z393" t="s">
        <v>51</v>
      </c>
      <c r="AA393" t="s">
        <v>40</v>
      </c>
      <c r="AB393">
        <v>1</v>
      </c>
    </row>
    <row r="394" spans="1:28" x14ac:dyDescent="0.3">
      <c r="A394">
        <v>393</v>
      </c>
      <c r="B394" t="s">
        <v>26</v>
      </c>
      <c r="C394" t="s">
        <v>27</v>
      </c>
      <c r="D394" t="s">
        <v>28</v>
      </c>
      <c r="E394">
        <v>36</v>
      </c>
      <c r="F394" t="s">
        <v>44</v>
      </c>
      <c r="G394" t="s">
        <v>63</v>
      </c>
      <c r="H394">
        <v>3249</v>
      </c>
      <c r="I394" t="s">
        <v>45</v>
      </c>
      <c r="J394" t="s">
        <v>46</v>
      </c>
      <c r="K394" t="s">
        <v>55</v>
      </c>
      <c r="L394" t="s">
        <v>56</v>
      </c>
      <c r="M394">
        <v>2</v>
      </c>
      <c r="N394" t="s">
        <v>34</v>
      </c>
      <c r="O394" t="s">
        <v>35</v>
      </c>
      <c r="P394" t="s">
        <v>36</v>
      </c>
      <c r="Q394">
        <v>4</v>
      </c>
      <c r="R394" t="s">
        <v>64</v>
      </c>
      <c r="S394">
        <v>39</v>
      </c>
      <c r="T394" t="s">
        <v>98</v>
      </c>
      <c r="U394" t="s">
        <v>82</v>
      </c>
      <c r="V394" t="s">
        <v>61</v>
      </c>
      <c r="W394">
        <v>1</v>
      </c>
      <c r="X394" t="s">
        <v>70</v>
      </c>
      <c r="Y394">
        <v>2</v>
      </c>
      <c r="Z394" t="s">
        <v>40</v>
      </c>
      <c r="AA394" t="s">
        <v>40</v>
      </c>
      <c r="AB394">
        <v>1</v>
      </c>
    </row>
    <row r="395" spans="1:28" x14ac:dyDescent="0.3">
      <c r="A395">
        <v>394</v>
      </c>
      <c r="B395" t="s">
        <v>26</v>
      </c>
      <c r="C395" t="s">
        <v>27</v>
      </c>
      <c r="D395" t="s">
        <v>28</v>
      </c>
      <c r="E395">
        <v>6</v>
      </c>
      <c r="F395" t="s">
        <v>29</v>
      </c>
      <c r="G395" t="s">
        <v>30</v>
      </c>
      <c r="H395">
        <v>1957</v>
      </c>
      <c r="I395" t="s">
        <v>45</v>
      </c>
      <c r="J395" t="s">
        <v>46</v>
      </c>
      <c r="K395" t="s">
        <v>55</v>
      </c>
      <c r="L395" t="s">
        <v>56</v>
      </c>
      <c r="M395">
        <v>1</v>
      </c>
      <c r="N395" t="s">
        <v>49</v>
      </c>
      <c r="O395" t="s">
        <v>50</v>
      </c>
      <c r="P395" t="s">
        <v>36</v>
      </c>
      <c r="Q395">
        <v>4</v>
      </c>
      <c r="R395" t="s">
        <v>68</v>
      </c>
      <c r="S395">
        <v>31</v>
      </c>
      <c r="T395" t="s">
        <v>98</v>
      </c>
      <c r="U395" t="s">
        <v>36</v>
      </c>
      <c r="V395" t="s">
        <v>38</v>
      </c>
      <c r="W395">
        <v>1</v>
      </c>
      <c r="X395" t="s">
        <v>39</v>
      </c>
      <c r="Y395">
        <v>1</v>
      </c>
      <c r="Z395" t="s">
        <v>51</v>
      </c>
      <c r="AA395" t="s">
        <v>40</v>
      </c>
      <c r="AB395">
        <v>1</v>
      </c>
    </row>
    <row r="396" spans="1:28" x14ac:dyDescent="0.3">
      <c r="A396">
        <v>395</v>
      </c>
      <c r="B396" t="s">
        <v>26</v>
      </c>
      <c r="C396" t="s">
        <v>52</v>
      </c>
      <c r="D396" t="s">
        <v>53</v>
      </c>
      <c r="E396">
        <v>9</v>
      </c>
      <c r="F396" t="s">
        <v>29</v>
      </c>
      <c r="G396" t="s">
        <v>58</v>
      </c>
      <c r="H396">
        <v>2406</v>
      </c>
      <c r="I396" t="s">
        <v>45</v>
      </c>
      <c r="J396" t="s">
        <v>46</v>
      </c>
      <c r="K396" t="s">
        <v>74</v>
      </c>
      <c r="L396" t="s">
        <v>74</v>
      </c>
      <c r="M396">
        <v>2</v>
      </c>
      <c r="N396" t="s">
        <v>34</v>
      </c>
      <c r="O396" t="s">
        <v>35</v>
      </c>
      <c r="P396" t="s">
        <v>36</v>
      </c>
      <c r="Q396">
        <v>3</v>
      </c>
      <c r="R396" t="s">
        <v>68</v>
      </c>
      <c r="S396">
        <v>31</v>
      </c>
      <c r="T396" t="s">
        <v>98</v>
      </c>
      <c r="U396" t="s">
        <v>36</v>
      </c>
      <c r="V396" t="s">
        <v>38</v>
      </c>
      <c r="W396">
        <v>1</v>
      </c>
      <c r="X396" t="s">
        <v>70</v>
      </c>
      <c r="Y396">
        <v>1</v>
      </c>
      <c r="Z396" t="s">
        <v>51</v>
      </c>
      <c r="AA396" t="s">
        <v>40</v>
      </c>
      <c r="AB396">
        <v>1</v>
      </c>
    </row>
    <row r="397" spans="1:28" x14ac:dyDescent="0.3">
      <c r="A397">
        <v>396</v>
      </c>
      <c r="B397" t="s">
        <v>26</v>
      </c>
      <c r="C397" t="s">
        <v>42</v>
      </c>
      <c r="D397" t="s">
        <v>43</v>
      </c>
      <c r="E397">
        <v>39</v>
      </c>
      <c r="F397" t="s">
        <v>62</v>
      </c>
      <c r="G397" t="s">
        <v>54</v>
      </c>
      <c r="H397">
        <v>11760</v>
      </c>
      <c r="I397" t="s">
        <v>79</v>
      </c>
      <c r="J397" t="s">
        <v>80</v>
      </c>
      <c r="K397" t="s">
        <v>55</v>
      </c>
      <c r="L397" t="s">
        <v>56</v>
      </c>
      <c r="M397">
        <v>2</v>
      </c>
      <c r="N397" t="s">
        <v>34</v>
      </c>
      <c r="O397" t="s">
        <v>35</v>
      </c>
      <c r="P397" t="s">
        <v>36</v>
      </c>
      <c r="Q397">
        <v>3</v>
      </c>
      <c r="R397" t="s">
        <v>64</v>
      </c>
      <c r="S397">
        <v>32</v>
      </c>
      <c r="T397" t="s">
        <v>98</v>
      </c>
      <c r="U397" t="s">
        <v>36</v>
      </c>
      <c r="V397" t="s">
        <v>69</v>
      </c>
      <c r="W397">
        <v>1</v>
      </c>
      <c r="X397" t="s">
        <v>39</v>
      </c>
      <c r="Y397">
        <v>1</v>
      </c>
      <c r="Z397" t="s">
        <v>40</v>
      </c>
      <c r="AA397" t="s">
        <v>40</v>
      </c>
      <c r="AB397">
        <v>1</v>
      </c>
    </row>
    <row r="398" spans="1:28" x14ac:dyDescent="0.3">
      <c r="A398">
        <v>397</v>
      </c>
      <c r="B398" t="s">
        <v>26</v>
      </c>
      <c r="C398" t="s">
        <v>27</v>
      </c>
      <c r="D398" t="s">
        <v>28</v>
      </c>
      <c r="E398">
        <v>12</v>
      </c>
      <c r="F398" t="s">
        <v>44</v>
      </c>
      <c r="G398" t="s">
        <v>58</v>
      </c>
      <c r="H398">
        <v>2578</v>
      </c>
      <c r="I398" t="s">
        <v>45</v>
      </c>
      <c r="J398" t="s">
        <v>46</v>
      </c>
      <c r="K398" t="s">
        <v>74</v>
      </c>
      <c r="L398" t="s">
        <v>74</v>
      </c>
      <c r="M398">
        <v>3</v>
      </c>
      <c r="N398" t="s">
        <v>49</v>
      </c>
      <c r="O398" t="s">
        <v>50</v>
      </c>
      <c r="P398" t="s">
        <v>36</v>
      </c>
      <c r="Q398">
        <v>4</v>
      </c>
      <c r="R398" t="s">
        <v>64</v>
      </c>
      <c r="S398">
        <v>55</v>
      </c>
      <c r="T398" t="s">
        <v>97</v>
      </c>
      <c r="U398" t="s">
        <v>36</v>
      </c>
      <c r="V398" t="s">
        <v>61</v>
      </c>
      <c r="W398">
        <v>1</v>
      </c>
      <c r="X398" t="s">
        <v>70</v>
      </c>
      <c r="Y398">
        <v>1</v>
      </c>
      <c r="Z398" t="s">
        <v>51</v>
      </c>
      <c r="AA398" t="s">
        <v>40</v>
      </c>
      <c r="AB398">
        <v>1</v>
      </c>
    </row>
    <row r="399" spans="1:28" x14ac:dyDescent="0.3">
      <c r="A399">
        <v>398</v>
      </c>
      <c r="B399" t="s">
        <v>26</v>
      </c>
      <c r="C399" t="s">
        <v>27</v>
      </c>
      <c r="D399" t="s">
        <v>28</v>
      </c>
      <c r="E399">
        <v>36</v>
      </c>
      <c r="F399" t="s">
        <v>29</v>
      </c>
      <c r="G399" t="s">
        <v>58</v>
      </c>
      <c r="H399">
        <v>2348</v>
      </c>
      <c r="I399" t="s">
        <v>45</v>
      </c>
      <c r="J399" t="s">
        <v>46</v>
      </c>
      <c r="K399" t="s">
        <v>47</v>
      </c>
      <c r="L399" t="s">
        <v>48</v>
      </c>
      <c r="M399">
        <v>3</v>
      </c>
      <c r="N399" t="s">
        <v>34</v>
      </c>
      <c r="O399" t="s">
        <v>75</v>
      </c>
      <c r="P399" t="s">
        <v>36</v>
      </c>
      <c r="Q399">
        <v>2</v>
      </c>
      <c r="R399" t="s">
        <v>60</v>
      </c>
      <c r="S399">
        <v>46</v>
      </c>
      <c r="T399" t="s">
        <v>97</v>
      </c>
      <c r="U399" t="s">
        <v>36</v>
      </c>
      <c r="V399" t="s">
        <v>38</v>
      </c>
      <c r="W399">
        <v>2</v>
      </c>
      <c r="X399" t="s">
        <v>39</v>
      </c>
      <c r="Y399">
        <v>1</v>
      </c>
      <c r="Z399" t="s">
        <v>40</v>
      </c>
      <c r="AA399" t="s">
        <v>40</v>
      </c>
      <c r="AB399">
        <v>1</v>
      </c>
    </row>
    <row r="400" spans="1:28" x14ac:dyDescent="0.3">
      <c r="A400">
        <v>399</v>
      </c>
      <c r="B400" t="s">
        <v>41</v>
      </c>
      <c r="C400" t="s">
        <v>42</v>
      </c>
      <c r="D400" t="s">
        <v>43</v>
      </c>
      <c r="E400">
        <v>12</v>
      </c>
      <c r="F400" t="s">
        <v>44</v>
      </c>
      <c r="G400" t="s">
        <v>63</v>
      </c>
      <c r="H400">
        <v>1223</v>
      </c>
      <c r="I400" t="s">
        <v>45</v>
      </c>
      <c r="J400" t="s">
        <v>46</v>
      </c>
      <c r="K400" t="s">
        <v>32</v>
      </c>
      <c r="L400" t="s">
        <v>33</v>
      </c>
      <c r="M400">
        <v>1</v>
      </c>
      <c r="N400" t="s">
        <v>34</v>
      </c>
      <c r="O400" t="s">
        <v>73</v>
      </c>
      <c r="P400" t="s">
        <v>36</v>
      </c>
      <c r="Q400">
        <v>1</v>
      </c>
      <c r="R400" t="s">
        <v>37</v>
      </c>
      <c r="S400">
        <v>46</v>
      </c>
      <c r="T400" t="s">
        <v>97</v>
      </c>
      <c r="U400" t="s">
        <v>36</v>
      </c>
      <c r="V400" t="s">
        <v>69</v>
      </c>
      <c r="W400">
        <v>2</v>
      </c>
      <c r="X400" t="s">
        <v>39</v>
      </c>
      <c r="Y400">
        <v>1</v>
      </c>
      <c r="Z400" t="s">
        <v>51</v>
      </c>
      <c r="AA400" t="s">
        <v>40</v>
      </c>
      <c r="AB400">
        <v>2</v>
      </c>
    </row>
    <row r="401" spans="1:28" x14ac:dyDescent="0.3">
      <c r="A401">
        <v>400</v>
      </c>
      <c r="B401" t="s">
        <v>26</v>
      </c>
      <c r="C401" t="s">
        <v>52</v>
      </c>
      <c r="D401" t="s">
        <v>53</v>
      </c>
      <c r="E401">
        <v>24</v>
      </c>
      <c r="F401" t="s">
        <v>29</v>
      </c>
      <c r="G401" t="s">
        <v>30</v>
      </c>
      <c r="H401">
        <v>1516</v>
      </c>
      <c r="I401" t="s">
        <v>71</v>
      </c>
      <c r="J401" t="s">
        <v>72</v>
      </c>
      <c r="K401" t="s">
        <v>47</v>
      </c>
      <c r="L401" t="s">
        <v>48</v>
      </c>
      <c r="M401">
        <v>4</v>
      </c>
      <c r="N401" t="s">
        <v>49</v>
      </c>
      <c r="O401" t="s">
        <v>50</v>
      </c>
      <c r="P401" t="s">
        <v>36</v>
      </c>
      <c r="Q401">
        <v>1</v>
      </c>
      <c r="R401" t="s">
        <v>37</v>
      </c>
      <c r="S401">
        <v>43</v>
      </c>
      <c r="T401" t="s">
        <v>97</v>
      </c>
      <c r="U401" t="s">
        <v>36</v>
      </c>
      <c r="V401" t="s">
        <v>38</v>
      </c>
      <c r="W401">
        <v>2</v>
      </c>
      <c r="X401" t="s">
        <v>57</v>
      </c>
      <c r="Y401">
        <v>1</v>
      </c>
      <c r="Z401" t="s">
        <v>51</v>
      </c>
      <c r="AA401" t="s">
        <v>40</v>
      </c>
      <c r="AB401">
        <v>1</v>
      </c>
    </row>
    <row r="402" spans="1:28" x14ac:dyDescent="0.3">
      <c r="A402">
        <v>401</v>
      </c>
      <c r="B402" t="s">
        <v>26</v>
      </c>
      <c r="C402" t="s">
        <v>52</v>
      </c>
      <c r="D402" t="s">
        <v>53</v>
      </c>
      <c r="E402">
        <v>18</v>
      </c>
      <c r="F402" t="s">
        <v>44</v>
      </c>
      <c r="G402" t="s">
        <v>30</v>
      </c>
      <c r="H402">
        <v>1473</v>
      </c>
      <c r="I402" t="s">
        <v>45</v>
      </c>
      <c r="J402" t="s">
        <v>46</v>
      </c>
      <c r="K402" t="s">
        <v>76</v>
      </c>
      <c r="L402" t="s">
        <v>77</v>
      </c>
      <c r="M402">
        <v>3</v>
      </c>
      <c r="N402" t="s">
        <v>34</v>
      </c>
      <c r="O402" t="s">
        <v>75</v>
      </c>
      <c r="P402" t="s">
        <v>36</v>
      </c>
      <c r="Q402">
        <v>4</v>
      </c>
      <c r="R402" t="s">
        <v>37</v>
      </c>
      <c r="S402">
        <v>39</v>
      </c>
      <c r="T402" t="s">
        <v>98</v>
      </c>
      <c r="U402" t="s">
        <v>36</v>
      </c>
      <c r="V402" t="s">
        <v>38</v>
      </c>
      <c r="W402">
        <v>1</v>
      </c>
      <c r="X402" t="s">
        <v>39</v>
      </c>
      <c r="Y402">
        <v>1</v>
      </c>
      <c r="Z402" t="s">
        <v>40</v>
      </c>
      <c r="AA402" t="s">
        <v>40</v>
      </c>
      <c r="AB402">
        <v>1</v>
      </c>
    </row>
    <row r="403" spans="1:28" x14ac:dyDescent="0.3">
      <c r="A403">
        <v>402</v>
      </c>
      <c r="B403" t="s">
        <v>26</v>
      </c>
      <c r="C403" t="s">
        <v>42</v>
      </c>
      <c r="D403" t="s">
        <v>43</v>
      </c>
      <c r="E403">
        <v>18</v>
      </c>
      <c r="F403" t="s">
        <v>29</v>
      </c>
      <c r="G403" t="s">
        <v>78</v>
      </c>
      <c r="H403">
        <v>1887</v>
      </c>
      <c r="I403" t="s">
        <v>31</v>
      </c>
      <c r="J403" t="s">
        <v>31</v>
      </c>
      <c r="K403" t="s">
        <v>47</v>
      </c>
      <c r="L403" t="s">
        <v>48</v>
      </c>
      <c r="M403">
        <v>4</v>
      </c>
      <c r="N403" t="s">
        <v>34</v>
      </c>
      <c r="O403" t="s">
        <v>75</v>
      </c>
      <c r="P403" t="s">
        <v>36</v>
      </c>
      <c r="Q403">
        <v>4</v>
      </c>
      <c r="R403" t="s">
        <v>37</v>
      </c>
      <c r="S403">
        <v>28</v>
      </c>
      <c r="T403" t="s">
        <v>98</v>
      </c>
      <c r="U403" t="s">
        <v>82</v>
      </c>
      <c r="V403" t="s">
        <v>38</v>
      </c>
      <c r="W403">
        <v>2</v>
      </c>
      <c r="X403" t="s">
        <v>39</v>
      </c>
      <c r="Y403">
        <v>1</v>
      </c>
      <c r="Z403" t="s">
        <v>51</v>
      </c>
      <c r="AA403" t="s">
        <v>40</v>
      </c>
      <c r="AB403">
        <v>1</v>
      </c>
    </row>
    <row r="404" spans="1:28" x14ac:dyDescent="0.3">
      <c r="A404">
        <v>403</v>
      </c>
      <c r="B404" t="s">
        <v>41</v>
      </c>
      <c r="C404" t="s">
        <v>52</v>
      </c>
      <c r="D404" t="s">
        <v>53</v>
      </c>
      <c r="E404">
        <v>24</v>
      </c>
      <c r="F404" t="s">
        <v>62</v>
      </c>
      <c r="G404" t="s">
        <v>78</v>
      </c>
      <c r="H404">
        <v>8648</v>
      </c>
      <c r="I404" t="s">
        <v>45</v>
      </c>
      <c r="J404" t="s">
        <v>46</v>
      </c>
      <c r="K404" t="s">
        <v>76</v>
      </c>
      <c r="L404" t="s">
        <v>77</v>
      </c>
      <c r="M404">
        <v>2</v>
      </c>
      <c r="N404" t="s">
        <v>34</v>
      </c>
      <c r="O404" t="s">
        <v>35</v>
      </c>
      <c r="P404" t="s">
        <v>36</v>
      </c>
      <c r="Q404">
        <v>2</v>
      </c>
      <c r="R404" t="s">
        <v>68</v>
      </c>
      <c r="S404">
        <v>27</v>
      </c>
      <c r="T404" t="s">
        <v>98</v>
      </c>
      <c r="U404" t="s">
        <v>82</v>
      </c>
      <c r="V404" t="s">
        <v>38</v>
      </c>
      <c r="W404">
        <v>2</v>
      </c>
      <c r="X404" t="s">
        <v>39</v>
      </c>
      <c r="Y404">
        <v>1</v>
      </c>
      <c r="Z404" t="s">
        <v>40</v>
      </c>
      <c r="AA404" t="s">
        <v>40</v>
      </c>
      <c r="AB404">
        <v>2</v>
      </c>
    </row>
    <row r="405" spans="1:28" x14ac:dyDescent="0.3">
      <c r="A405">
        <v>404</v>
      </c>
      <c r="B405" t="s">
        <v>26</v>
      </c>
      <c r="C405" t="s">
        <v>52</v>
      </c>
      <c r="D405" t="s">
        <v>53</v>
      </c>
      <c r="E405">
        <v>14</v>
      </c>
      <c r="F405" t="s">
        <v>62</v>
      </c>
      <c r="G405" t="s">
        <v>63</v>
      </c>
      <c r="H405">
        <v>802</v>
      </c>
      <c r="I405" t="s">
        <v>45</v>
      </c>
      <c r="J405" t="s">
        <v>46</v>
      </c>
      <c r="K405" t="s">
        <v>47</v>
      </c>
      <c r="L405" t="s">
        <v>48</v>
      </c>
      <c r="M405">
        <v>4</v>
      </c>
      <c r="N405" t="s">
        <v>34</v>
      </c>
      <c r="O405" t="s">
        <v>35</v>
      </c>
      <c r="P405" t="s">
        <v>36</v>
      </c>
      <c r="Q405">
        <v>2</v>
      </c>
      <c r="R405" t="s">
        <v>68</v>
      </c>
      <c r="S405">
        <v>27</v>
      </c>
      <c r="T405" t="s">
        <v>98</v>
      </c>
      <c r="U405" t="s">
        <v>36</v>
      </c>
      <c r="V405" t="s">
        <v>38</v>
      </c>
      <c r="W405">
        <v>2</v>
      </c>
      <c r="X405" t="s">
        <v>57</v>
      </c>
      <c r="Y405">
        <v>1</v>
      </c>
      <c r="Z405" t="s">
        <v>51</v>
      </c>
      <c r="AA405" t="s">
        <v>40</v>
      </c>
      <c r="AB405">
        <v>1</v>
      </c>
    </row>
    <row r="406" spans="1:28" x14ac:dyDescent="0.3">
      <c r="A406">
        <v>405</v>
      </c>
      <c r="B406" t="s">
        <v>26</v>
      </c>
      <c r="C406" t="s">
        <v>42</v>
      </c>
      <c r="D406" t="s">
        <v>43</v>
      </c>
      <c r="E406">
        <v>18</v>
      </c>
      <c r="F406" t="s">
        <v>62</v>
      </c>
      <c r="G406" t="s">
        <v>63</v>
      </c>
      <c r="H406">
        <v>2899</v>
      </c>
      <c r="I406" t="s">
        <v>31</v>
      </c>
      <c r="J406" t="s">
        <v>31</v>
      </c>
      <c r="K406" t="s">
        <v>32</v>
      </c>
      <c r="L406" t="s">
        <v>33</v>
      </c>
      <c r="M406">
        <v>4</v>
      </c>
      <c r="N406" t="s">
        <v>34</v>
      </c>
      <c r="O406" t="s">
        <v>35</v>
      </c>
      <c r="P406" t="s">
        <v>36</v>
      </c>
      <c r="Q406">
        <v>4</v>
      </c>
      <c r="R406" t="s">
        <v>68</v>
      </c>
      <c r="S406">
        <v>43</v>
      </c>
      <c r="T406" t="s">
        <v>97</v>
      </c>
      <c r="U406" t="s">
        <v>36</v>
      </c>
      <c r="V406" t="s">
        <v>38</v>
      </c>
      <c r="W406">
        <v>1</v>
      </c>
      <c r="X406" t="s">
        <v>39</v>
      </c>
      <c r="Y406">
        <v>2</v>
      </c>
      <c r="Z406" t="s">
        <v>51</v>
      </c>
      <c r="AA406" t="s">
        <v>40</v>
      </c>
      <c r="AB406">
        <v>1</v>
      </c>
    </row>
    <row r="407" spans="1:28" x14ac:dyDescent="0.3">
      <c r="A407">
        <v>406</v>
      </c>
      <c r="B407" t="s">
        <v>41</v>
      </c>
      <c r="C407" t="s">
        <v>42</v>
      </c>
      <c r="D407" t="s">
        <v>43</v>
      </c>
      <c r="E407">
        <v>24</v>
      </c>
      <c r="F407" t="s">
        <v>44</v>
      </c>
      <c r="G407" t="s">
        <v>30</v>
      </c>
      <c r="H407">
        <v>2039</v>
      </c>
      <c r="I407" t="s">
        <v>45</v>
      </c>
      <c r="J407" t="s">
        <v>46</v>
      </c>
      <c r="K407" t="s">
        <v>76</v>
      </c>
      <c r="L407" t="s">
        <v>77</v>
      </c>
      <c r="M407">
        <v>1</v>
      </c>
      <c r="N407" t="s">
        <v>34</v>
      </c>
      <c r="O407" t="s">
        <v>75</v>
      </c>
      <c r="P407" t="s">
        <v>36</v>
      </c>
      <c r="Q407">
        <v>1</v>
      </c>
      <c r="R407" t="s">
        <v>60</v>
      </c>
      <c r="S407">
        <v>22</v>
      </c>
      <c r="T407" t="s">
        <v>96</v>
      </c>
      <c r="U407" t="s">
        <v>36</v>
      </c>
      <c r="V407" t="s">
        <v>38</v>
      </c>
      <c r="W407">
        <v>1</v>
      </c>
      <c r="X407" t="s">
        <v>39</v>
      </c>
      <c r="Y407">
        <v>1</v>
      </c>
      <c r="Z407" t="s">
        <v>40</v>
      </c>
      <c r="AA407" t="s">
        <v>40</v>
      </c>
      <c r="AB407">
        <v>2</v>
      </c>
    </row>
    <row r="408" spans="1:28" x14ac:dyDescent="0.3">
      <c r="A408">
        <v>407</v>
      </c>
      <c r="B408" t="s">
        <v>26</v>
      </c>
      <c r="C408" t="s">
        <v>52</v>
      </c>
      <c r="D408" t="s">
        <v>53</v>
      </c>
      <c r="E408">
        <v>24</v>
      </c>
      <c r="F408" t="s">
        <v>29</v>
      </c>
      <c r="G408" t="s">
        <v>67</v>
      </c>
      <c r="H408">
        <v>2197</v>
      </c>
      <c r="I408" t="s">
        <v>31</v>
      </c>
      <c r="J408" t="s">
        <v>31</v>
      </c>
      <c r="K408" t="s">
        <v>55</v>
      </c>
      <c r="L408" t="s">
        <v>56</v>
      </c>
      <c r="M408">
        <v>4</v>
      </c>
      <c r="N408" t="s">
        <v>34</v>
      </c>
      <c r="O408" t="s">
        <v>35</v>
      </c>
      <c r="P408" t="s">
        <v>36</v>
      </c>
      <c r="Q408">
        <v>4</v>
      </c>
      <c r="R408" t="s">
        <v>68</v>
      </c>
      <c r="S408">
        <v>43</v>
      </c>
      <c r="T408" t="s">
        <v>97</v>
      </c>
      <c r="U408" t="s">
        <v>36</v>
      </c>
      <c r="V408" t="s">
        <v>38</v>
      </c>
      <c r="W408">
        <v>2</v>
      </c>
      <c r="X408" t="s">
        <v>39</v>
      </c>
      <c r="Y408">
        <v>2</v>
      </c>
      <c r="Z408" t="s">
        <v>40</v>
      </c>
      <c r="AA408" t="s">
        <v>40</v>
      </c>
      <c r="AB408">
        <v>1</v>
      </c>
    </row>
    <row r="409" spans="1:28" x14ac:dyDescent="0.3">
      <c r="A409">
        <v>408</v>
      </c>
      <c r="B409" t="s">
        <v>26</v>
      </c>
      <c r="C409" t="s">
        <v>27</v>
      </c>
      <c r="D409" t="s">
        <v>28</v>
      </c>
      <c r="E409">
        <v>15</v>
      </c>
      <c r="F409" t="s">
        <v>44</v>
      </c>
      <c r="G409" t="s">
        <v>30</v>
      </c>
      <c r="H409">
        <v>1053</v>
      </c>
      <c r="I409" t="s">
        <v>45</v>
      </c>
      <c r="J409" t="s">
        <v>46</v>
      </c>
      <c r="K409" t="s">
        <v>76</v>
      </c>
      <c r="L409" t="s">
        <v>77</v>
      </c>
      <c r="M409">
        <v>4</v>
      </c>
      <c r="N409" t="s">
        <v>34</v>
      </c>
      <c r="O409" t="s">
        <v>75</v>
      </c>
      <c r="P409" t="s">
        <v>36</v>
      </c>
      <c r="Q409">
        <v>2</v>
      </c>
      <c r="R409" t="s">
        <v>37</v>
      </c>
      <c r="S409">
        <v>27</v>
      </c>
      <c r="T409" t="s">
        <v>98</v>
      </c>
      <c r="U409" t="s">
        <v>36</v>
      </c>
      <c r="V409" t="s">
        <v>38</v>
      </c>
      <c r="W409">
        <v>1</v>
      </c>
      <c r="X409" t="s">
        <v>39</v>
      </c>
      <c r="Y409">
        <v>1</v>
      </c>
      <c r="Z409" t="s">
        <v>51</v>
      </c>
      <c r="AA409" t="s">
        <v>51</v>
      </c>
      <c r="AB409">
        <v>1</v>
      </c>
    </row>
    <row r="410" spans="1:28" x14ac:dyDescent="0.3">
      <c r="A410">
        <v>409</v>
      </c>
      <c r="B410" t="s">
        <v>26</v>
      </c>
      <c r="C410" t="s">
        <v>52</v>
      </c>
      <c r="D410" t="s">
        <v>53</v>
      </c>
      <c r="E410">
        <v>24</v>
      </c>
      <c r="F410" t="s">
        <v>44</v>
      </c>
      <c r="G410" t="s">
        <v>30</v>
      </c>
      <c r="H410">
        <v>3235</v>
      </c>
      <c r="I410" t="s">
        <v>65</v>
      </c>
      <c r="J410" t="s">
        <v>66</v>
      </c>
      <c r="K410" t="s">
        <v>32</v>
      </c>
      <c r="L410" t="s">
        <v>33</v>
      </c>
      <c r="M410">
        <v>3</v>
      </c>
      <c r="N410" t="s">
        <v>34</v>
      </c>
      <c r="O410" t="s">
        <v>73</v>
      </c>
      <c r="P410" t="s">
        <v>36</v>
      </c>
      <c r="Q410">
        <v>2</v>
      </c>
      <c r="R410" t="s">
        <v>68</v>
      </c>
      <c r="S410">
        <v>26</v>
      </c>
      <c r="T410" t="s">
        <v>98</v>
      </c>
      <c r="U410" t="s">
        <v>36</v>
      </c>
      <c r="V410" t="s">
        <v>38</v>
      </c>
      <c r="W410">
        <v>1</v>
      </c>
      <c r="X410" t="s">
        <v>70</v>
      </c>
      <c r="Y410">
        <v>1</v>
      </c>
      <c r="Z410" t="s">
        <v>40</v>
      </c>
      <c r="AA410" t="s">
        <v>40</v>
      </c>
      <c r="AB410">
        <v>1</v>
      </c>
    </row>
    <row r="411" spans="1:28" x14ac:dyDescent="0.3">
      <c r="A411">
        <v>410</v>
      </c>
      <c r="B411" t="s">
        <v>41</v>
      </c>
      <c r="C411" t="s">
        <v>83</v>
      </c>
      <c r="D411" t="s">
        <v>84</v>
      </c>
      <c r="E411">
        <v>12</v>
      </c>
      <c r="F411" t="s">
        <v>29</v>
      </c>
      <c r="G411" t="s">
        <v>63</v>
      </c>
      <c r="H411">
        <v>939</v>
      </c>
      <c r="I411" t="s">
        <v>65</v>
      </c>
      <c r="J411" t="s">
        <v>66</v>
      </c>
      <c r="K411" t="s">
        <v>55</v>
      </c>
      <c r="L411" t="s">
        <v>56</v>
      </c>
      <c r="M411">
        <v>4</v>
      </c>
      <c r="N411" t="s">
        <v>34</v>
      </c>
      <c r="O411" t="s">
        <v>75</v>
      </c>
      <c r="P411" t="s">
        <v>36</v>
      </c>
      <c r="Q411">
        <v>2</v>
      </c>
      <c r="R411" t="s">
        <v>37</v>
      </c>
      <c r="S411">
        <v>28</v>
      </c>
      <c r="T411" t="s">
        <v>98</v>
      </c>
      <c r="U411" t="s">
        <v>36</v>
      </c>
      <c r="V411" t="s">
        <v>38</v>
      </c>
      <c r="W411">
        <v>3</v>
      </c>
      <c r="X411" t="s">
        <v>39</v>
      </c>
      <c r="Y411">
        <v>1</v>
      </c>
      <c r="Z411" t="s">
        <v>40</v>
      </c>
      <c r="AA411" t="s">
        <v>40</v>
      </c>
      <c r="AB411">
        <v>2</v>
      </c>
    </row>
    <row r="412" spans="1:28" x14ac:dyDescent="0.3">
      <c r="A412">
        <v>411</v>
      </c>
      <c r="B412" t="s">
        <v>26</v>
      </c>
      <c r="C412" t="s">
        <v>42</v>
      </c>
      <c r="D412" t="s">
        <v>43</v>
      </c>
      <c r="E412">
        <v>24</v>
      </c>
      <c r="F412" t="s">
        <v>44</v>
      </c>
      <c r="G412" t="s">
        <v>30</v>
      </c>
      <c r="H412">
        <v>1967</v>
      </c>
      <c r="I412" t="s">
        <v>45</v>
      </c>
      <c r="J412" t="s">
        <v>46</v>
      </c>
      <c r="K412" t="s">
        <v>32</v>
      </c>
      <c r="L412" t="s">
        <v>33</v>
      </c>
      <c r="M412">
        <v>4</v>
      </c>
      <c r="N412" t="s">
        <v>49</v>
      </c>
      <c r="O412" t="s">
        <v>50</v>
      </c>
      <c r="P412" t="s">
        <v>36</v>
      </c>
      <c r="Q412">
        <v>4</v>
      </c>
      <c r="R412" t="s">
        <v>68</v>
      </c>
      <c r="S412">
        <v>20</v>
      </c>
      <c r="T412" t="s">
        <v>96</v>
      </c>
      <c r="U412" t="s">
        <v>36</v>
      </c>
      <c r="V412" t="s">
        <v>38</v>
      </c>
      <c r="W412">
        <v>1</v>
      </c>
      <c r="X412" t="s">
        <v>39</v>
      </c>
      <c r="Y412">
        <v>1</v>
      </c>
      <c r="Z412" t="s">
        <v>40</v>
      </c>
      <c r="AA412" t="s">
        <v>40</v>
      </c>
      <c r="AB412">
        <v>1</v>
      </c>
    </row>
    <row r="413" spans="1:28" x14ac:dyDescent="0.3">
      <c r="A413">
        <v>412</v>
      </c>
      <c r="B413" t="s">
        <v>26</v>
      </c>
      <c r="C413" t="s">
        <v>52</v>
      </c>
      <c r="D413" t="s">
        <v>53</v>
      </c>
      <c r="E413">
        <v>33</v>
      </c>
      <c r="F413" t="s">
        <v>29</v>
      </c>
      <c r="G413" t="s">
        <v>67</v>
      </c>
      <c r="H413">
        <v>7253</v>
      </c>
      <c r="I413" t="s">
        <v>45</v>
      </c>
      <c r="J413" t="s">
        <v>46</v>
      </c>
      <c r="K413" t="s">
        <v>55</v>
      </c>
      <c r="L413" t="s">
        <v>56</v>
      </c>
      <c r="M413">
        <v>3</v>
      </c>
      <c r="N413" t="s">
        <v>34</v>
      </c>
      <c r="O413" t="s">
        <v>35</v>
      </c>
      <c r="P413" t="s">
        <v>36</v>
      </c>
      <c r="Q413">
        <v>2</v>
      </c>
      <c r="R413" t="s">
        <v>68</v>
      </c>
      <c r="S413">
        <v>35</v>
      </c>
      <c r="T413" t="s">
        <v>98</v>
      </c>
      <c r="U413" t="s">
        <v>36</v>
      </c>
      <c r="V413" t="s">
        <v>38</v>
      </c>
      <c r="W413">
        <v>2</v>
      </c>
      <c r="X413" t="s">
        <v>70</v>
      </c>
      <c r="Y413">
        <v>1</v>
      </c>
      <c r="Z413" t="s">
        <v>40</v>
      </c>
      <c r="AA413" t="s">
        <v>40</v>
      </c>
      <c r="AB413">
        <v>1</v>
      </c>
    </row>
    <row r="414" spans="1:28" x14ac:dyDescent="0.3">
      <c r="A414">
        <v>413</v>
      </c>
      <c r="B414" t="s">
        <v>41</v>
      </c>
      <c r="C414" t="s">
        <v>52</v>
      </c>
      <c r="D414" t="s">
        <v>53</v>
      </c>
      <c r="E414">
        <v>12</v>
      </c>
      <c r="F414" t="s">
        <v>29</v>
      </c>
      <c r="G414" t="s">
        <v>78</v>
      </c>
      <c r="H414">
        <v>2292</v>
      </c>
      <c r="I414" t="s">
        <v>45</v>
      </c>
      <c r="J414" t="s">
        <v>46</v>
      </c>
      <c r="K414" t="s">
        <v>74</v>
      </c>
      <c r="L414" t="s">
        <v>74</v>
      </c>
      <c r="M414">
        <v>4</v>
      </c>
      <c r="N414" t="s">
        <v>34</v>
      </c>
      <c r="O414" t="s">
        <v>35</v>
      </c>
      <c r="P414" t="s">
        <v>36</v>
      </c>
      <c r="Q414">
        <v>2</v>
      </c>
      <c r="R414" t="s">
        <v>68</v>
      </c>
      <c r="S414">
        <v>42</v>
      </c>
      <c r="T414" t="s">
        <v>97</v>
      </c>
      <c r="U414" t="s">
        <v>86</v>
      </c>
      <c r="V414" t="s">
        <v>38</v>
      </c>
      <c r="W414">
        <v>2</v>
      </c>
      <c r="X414" t="s">
        <v>70</v>
      </c>
      <c r="Y414">
        <v>1</v>
      </c>
      <c r="Z414" t="s">
        <v>40</v>
      </c>
      <c r="AA414" t="s">
        <v>40</v>
      </c>
      <c r="AB414">
        <v>2</v>
      </c>
    </row>
    <row r="415" spans="1:28" x14ac:dyDescent="0.3">
      <c r="A415">
        <v>414</v>
      </c>
      <c r="B415" t="s">
        <v>26</v>
      </c>
      <c r="C415" t="s">
        <v>52</v>
      </c>
      <c r="D415" t="s">
        <v>53</v>
      </c>
      <c r="E415">
        <v>10</v>
      </c>
      <c r="F415" t="s">
        <v>44</v>
      </c>
      <c r="G415" t="s">
        <v>63</v>
      </c>
      <c r="H415">
        <v>1597</v>
      </c>
      <c r="I415" t="s">
        <v>65</v>
      </c>
      <c r="J415" t="s">
        <v>66</v>
      </c>
      <c r="K415" t="s">
        <v>47</v>
      </c>
      <c r="L415" t="s">
        <v>48</v>
      </c>
      <c r="M415">
        <v>3</v>
      </c>
      <c r="N415" t="s">
        <v>34</v>
      </c>
      <c r="O415" t="s">
        <v>35</v>
      </c>
      <c r="P415" t="s">
        <v>36</v>
      </c>
      <c r="Q415">
        <v>2</v>
      </c>
      <c r="R415" t="s">
        <v>64</v>
      </c>
      <c r="S415">
        <v>40</v>
      </c>
      <c r="T415" t="s">
        <v>97</v>
      </c>
      <c r="U415" t="s">
        <v>36</v>
      </c>
      <c r="V415" t="s">
        <v>69</v>
      </c>
      <c r="W415">
        <v>1</v>
      </c>
      <c r="X415" t="s">
        <v>57</v>
      </c>
      <c r="Y415">
        <v>2</v>
      </c>
      <c r="Z415" t="s">
        <v>51</v>
      </c>
      <c r="AA415" t="s">
        <v>51</v>
      </c>
      <c r="AB415">
        <v>1</v>
      </c>
    </row>
    <row r="416" spans="1:28" x14ac:dyDescent="0.3">
      <c r="A416">
        <v>415</v>
      </c>
      <c r="B416" t="s">
        <v>41</v>
      </c>
      <c r="C416" t="s">
        <v>27</v>
      </c>
      <c r="D416" t="s">
        <v>28</v>
      </c>
      <c r="E416">
        <v>24</v>
      </c>
      <c r="F416" t="s">
        <v>44</v>
      </c>
      <c r="G416" t="s">
        <v>63</v>
      </c>
      <c r="H416">
        <v>1381</v>
      </c>
      <c r="I416" t="s">
        <v>31</v>
      </c>
      <c r="J416" t="s">
        <v>31</v>
      </c>
      <c r="K416" t="s">
        <v>47</v>
      </c>
      <c r="L416" t="s">
        <v>48</v>
      </c>
      <c r="M416">
        <v>4</v>
      </c>
      <c r="N416" t="s">
        <v>49</v>
      </c>
      <c r="O416" t="s">
        <v>50</v>
      </c>
      <c r="P416" t="s">
        <v>36</v>
      </c>
      <c r="Q416">
        <v>2</v>
      </c>
      <c r="R416" t="s">
        <v>60</v>
      </c>
      <c r="S416">
        <v>35</v>
      </c>
      <c r="T416" t="s">
        <v>98</v>
      </c>
      <c r="U416" t="s">
        <v>36</v>
      </c>
      <c r="V416" t="s">
        <v>38</v>
      </c>
      <c r="W416">
        <v>1</v>
      </c>
      <c r="X416" t="s">
        <v>39</v>
      </c>
      <c r="Y416">
        <v>1</v>
      </c>
      <c r="Z416" t="s">
        <v>51</v>
      </c>
      <c r="AA416" t="s">
        <v>40</v>
      </c>
      <c r="AB416">
        <v>2</v>
      </c>
    </row>
    <row r="417" spans="1:28" x14ac:dyDescent="0.3">
      <c r="A417">
        <v>416</v>
      </c>
      <c r="B417" t="s">
        <v>26</v>
      </c>
      <c r="C417" t="s">
        <v>52</v>
      </c>
      <c r="D417" t="s">
        <v>53</v>
      </c>
      <c r="E417">
        <v>36</v>
      </c>
      <c r="F417" t="s">
        <v>29</v>
      </c>
      <c r="G417" t="s">
        <v>67</v>
      </c>
      <c r="H417">
        <v>5842</v>
      </c>
      <c r="I417" t="s">
        <v>45</v>
      </c>
      <c r="J417" t="s">
        <v>46</v>
      </c>
      <c r="K417" t="s">
        <v>32</v>
      </c>
      <c r="L417" t="s">
        <v>33</v>
      </c>
      <c r="M417">
        <v>2</v>
      </c>
      <c r="N417" t="s">
        <v>34</v>
      </c>
      <c r="O417" t="s">
        <v>35</v>
      </c>
      <c r="P417" t="s">
        <v>36</v>
      </c>
      <c r="Q417">
        <v>2</v>
      </c>
      <c r="R417" t="s">
        <v>60</v>
      </c>
      <c r="S417">
        <v>35</v>
      </c>
      <c r="T417" t="s">
        <v>98</v>
      </c>
      <c r="U417" t="s">
        <v>36</v>
      </c>
      <c r="V417" t="s">
        <v>38</v>
      </c>
      <c r="W417">
        <v>2</v>
      </c>
      <c r="X417" t="s">
        <v>39</v>
      </c>
      <c r="Y417">
        <v>2</v>
      </c>
      <c r="Z417" t="s">
        <v>40</v>
      </c>
      <c r="AA417" t="s">
        <v>40</v>
      </c>
      <c r="AB417">
        <v>1</v>
      </c>
    </row>
    <row r="418" spans="1:28" x14ac:dyDescent="0.3">
      <c r="A418">
        <v>417</v>
      </c>
      <c r="B418" t="s">
        <v>41</v>
      </c>
      <c r="C418" t="s">
        <v>27</v>
      </c>
      <c r="D418" t="s">
        <v>28</v>
      </c>
      <c r="E418">
        <v>12</v>
      </c>
      <c r="F418" t="s">
        <v>44</v>
      </c>
      <c r="G418" t="s">
        <v>63</v>
      </c>
      <c r="H418">
        <v>2579</v>
      </c>
      <c r="I418" t="s">
        <v>45</v>
      </c>
      <c r="J418" t="s">
        <v>46</v>
      </c>
      <c r="K418" t="s">
        <v>76</v>
      </c>
      <c r="L418" t="s">
        <v>77</v>
      </c>
      <c r="M418">
        <v>4</v>
      </c>
      <c r="N418" t="s">
        <v>34</v>
      </c>
      <c r="O418" t="s">
        <v>35</v>
      </c>
      <c r="P418" t="s">
        <v>36</v>
      </c>
      <c r="Q418">
        <v>1</v>
      </c>
      <c r="R418" t="s">
        <v>37</v>
      </c>
      <c r="S418">
        <v>33</v>
      </c>
      <c r="T418" t="s">
        <v>98</v>
      </c>
      <c r="U418" t="s">
        <v>36</v>
      </c>
      <c r="V418" t="s">
        <v>38</v>
      </c>
      <c r="W418">
        <v>1</v>
      </c>
      <c r="X418" t="s">
        <v>57</v>
      </c>
      <c r="Y418">
        <v>2</v>
      </c>
      <c r="Z418" t="s">
        <v>51</v>
      </c>
      <c r="AA418" t="s">
        <v>40</v>
      </c>
      <c r="AB418">
        <v>2</v>
      </c>
    </row>
    <row r="419" spans="1:28" x14ac:dyDescent="0.3">
      <c r="A419">
        <v>418</v>
      </c>
      <c r="B419" t="s">
        <v>26</v>
      </c>
      <c r="C419" t="s">
        <v>27</v>
      </c>
      <c r="D419" t="s">
        <v>28</v>
      </c>
      <c r="E419">
        <v>18</v>
      </c>
      <c r="F419" t="s">
        <v>62</v>
      </c>
      <c r="G419" t="s">
        <v>54</v>
      </c>
      <c r="H419">
        <v>8471</v>
      </c>
      <c r="I419" t="s">
        <v>31</v>
      </c>
      <c r="J419" t="s">
        <v>31</v>
      </c>
      <c r="K419" t="s">
        <v>47</v>
      </c>
      <c r="L419" t="s">
        <v>48</v>
      </c>
      <c r="M419">
        <v>1</v>
      </c>
      <c r="N419" t="s">
        <v>49</v>
      </c>
      <c r="O419" t="s">
        <v>50</v>
      </c>
      <c r="P419" t="s">
        <v>36</v>
      </c>
      <c r="Q419">
        <v>2</v>
      </c>
      <c r="R419" t="s">
        <v>68</v>
      </c>
      <c r="S419">
        <v>23</v>
      </c>
      <c r="T419" t="s">
        <v>96</v>
      </c>
      <c r="U419" t="s">
        <v>36</v>
      </c>
      <c r="V419" t="s">
        <v>69</v>
      </c>
      <c r="W419">
        <v>2</v>
      </c>
      <c r="X419" t="s">
        <v>39</v>
      </c>
      <c r="Y419">
        <v>1</v>
      </c>
      <c r="Z419" t="s">
        <v>40</v>
      </c>
      <c r="AA419" t="s">
        <v>40</v>
      </c>
      <c r="AB419">
        <v>1</v>
      </c>
    </row>
    <row r="420" spans="1:28" x14ac:dyDescent="0.3">
      <c r="A420">
        <v>419</v>
      </c>
      <c r="B420" t="s">
        <v>26</v>
      </c>
      <c r="C420" t="s">
        <v>52</v>
      </c>
      <c r="D420" t="s">
        <v>53</v>
      </c>
      <c r="E420">
        <v>21</v>
      </c>
      <c r="F420" t="s">
        <v>44</v>
      </c>
      <c r="G420" t="s">
        <v>63</v>
      </c>
      <c r="H420">
        <v>2782</v>
      </c>
      <c r="I420" t="s">
        <v>65</v>
      </c>
      <c r="J420" t="s">
        <v>66</v>
      </c>
      <c r="K420" t="s">
        <v>55</v>
      </c>
      <c r="L420" t="s">
        <v>56</v>
      </c>
      <c r="M420">
        <v>1</v>
      </c>
      <c r="N420" t="s">
        <v>49</v>
      </c>
      <c r="O420" t="s">
        <v>50</v>
      </c>
      <c r="P420" t="s">
        <v>36</v>
      </c>
      <c r="Q420">
        <v>2</v>
      </c>
      <c r="R420" t="s">
        <v>68</v>
      </c>
      <c r="S420">
        <v>31</v>
      </c>
      <c r="T420" t="s">
        <v>98</v>
      </c>
      <c r="U420" t="s">
        <v>82</v>
      </c>
      <c r="V420" t="s">
        <v>38</v>
      </c>
      <c r="W420">
        <v>1</v>
      </c>
      <c r="X420" t="s">
        <v>70</v>
      </c>
      <c r="Y420">
        <v>1</v>
      </c>
      <c r="Z420" t="s">
        <v>51</v>
      </c>
      <c r="AA420" t="s">
        <v>40</v>
      </c>
      <c r="AB420">
        <v>1</v>
      </c>
    </row>
    <row r="421" spans="1:28" x14ac:dyDescent="0.3">
      <c r="A421">
        <v>420</v>
      </c>
      <c r="B421" t="s">
        <v>41</v>
      </c>
      <c r="C421" t="s">
        <v>42</v>
      </c>
      <c r="D421" t="s">
        <v>43</v>
      </c>
      <c r="E421">
        <v>18</v>
      </c>
      <c r="F421" t="s">
        <v>44</v>
      </c>
      <c r="G421" t="s">
        <v>63</v>
      </c>
      <c r="H421">
        <v>1042</v>
      </c>
      <c r="I421" t="s">
        <v>31</v>
      </c>
      <c r="J421" t="s">
        <v>31</v>
      </c>
      <c r="K421" t="s">
        <v>47</v>
      </c>
      <c r="L421" t="s">
        <v>48</v>
      </c>
      <c r="M421">
        <v>4</v>
      </c>
      <c r="N421" t="s">
        <v>49</v>
      </c>
      <c r="O421" t="s">
        <v>50</v>
      </c>
      <c r="P421" t="s">
        <v>36</v>
      </c>
      <c r="Q421">
        <v>2</v>
      </c>
      <c r="R421" t="s">
        <v>60</v>
      </c>
      <c r="S421">
        <v>33</v>
      </c>
      <c r="T421" t="s">
        <v>98</v>
      </c>
      <c r="U421" t="s">
        <v>36</v>
      </c>
      <c r="V421" t="s">
        <v>38</v>
      </c>
      <c r="W421">
        <v>1</v>
      </c>
      <c r="X421" t="s">
        <v>39</v>
      </c>
      <c r="Y421">
        <v>1</v>
      </c>
      <c r="Z421" t="s">
        <v>51</v>
      </c>
      <c r="AA421" t="s">
        <v>40</v>
      </c>
      <c r="AB421">
        <v>2</v>
      </c>
    </row>
    <row r="422" spans="1:28" x14ac:dyDescent="0.3">
      <c r="A422">
        <v>421</v>
      </c>
      <c r="B422" t="s">
        <v>26</v>
      </c>
      <c r="C422" t="s">
        <v>52</v>
      </c>
      <c r="D422" t="s">
        <v>53</v>
      </c>
      <c r="E422">
        <v>15</v>
      </c>
      <c r="F422" t="s">
        <v>44</v>
      </c>
      <c r="G422" t="s">
        <v>63</v>
      </c>
      <c r="H422">
        <v>3186</v>
      </c>
      <c r="I422" t="s">
        <v>71</v>
      </c>
      <c r="J422" t="s">
        <v>72</v>
      </c>
      <c r="K422" t="s">
        <v>55</v>
      </c>
      <c r="L422" t="s">
        <v>56</v>
      </c>
      <c r="M422">
        <v>2</v>
      </c>
      <c r="N422" t="s">
        <v>49</v>
      </c>
      <c r="O422" t="s">
        <v>50</v>
      </c>
      <c r="P422" t="s">
        <v>36</v>
      </c>
      <c r="Q422">
        <v>3</v>
      </c>
      <c r="R422" t="s">
        <v>68</v>
      </c>
      <c r="S422">
        <v>20</v>
      </c>
      <c r="T422" t="s">
        <v>96</v>
      </c>
      <c r="U422" t="s">
        <v>36</v>
      </c>
      <c r="V422" t="s">
        <v>69</v>
      </c>
      <c r="W422">
        <v>1</v>
      </c>
      <c r="X422" t="s">
        <v>39</v>
      </c>
      <c r="Y422">
        <v>1</v>
      </c>
      <c r="Z422" t="s">
        <v>51</v>
      </c>
      <c r="AA422" t="s">
        <v>40</v>
      </c>
      <c r="AB422">
        <v>1</v>
      </c>
    </row>
    <row r="423" spans="1:28" x14ac:dyDescent="0.3">
      <c r="A423">
        <v>422</v>
      </c>
      <c r="B423" t="s">
        <v>26</v>
      </c>
      <c r="C423" t="s">
        <v>42</v>
      </c>
      <c r="D423" t="s">
        <v>43</v>
      </c>
      <c r="E423">
        <v>12</v>
      </c>
      <c r="F423" t="s">
        <v>44</v>
      </c>
      <c r="G423" t="s">
        <v>67</v>
      </c>
      <c r="H423">
        <v>2028</v>
      </c>
      <c r="I423" t="s">
        <v>31</v>
      </c>
      <c r="J423" t="s">
        <v>31</v>
      </c>
      <c r="K423" t="s">
        <v>47</v>
      </c>
      <c r="L423" t="s">
        <v>48</v>
      </c>
      <c r="M423">
        <v>4</v>
      </c>
      <c r="N423" t="s">
        <v>34</v>
      </c>
      <c r="O423" t="s">
        <v>35</v>
      </c>
      <c r="P423" t="s">
        <v>36</v>
      </c>
      <c r="Q423">
        <v>2</v>
      </c>
      <c r="R423" t="s">
        <v>68</v>
      </c>
      <c r="S423">
        <v>30</v>
      </c>
      <c r="T423" t="s">
        <v>98</v>
      </c>
      <c r="U423" t="s">
        <v>36</v>
      </c>
      <c r="V423" t="s">
        <v>38</v>
      </c>
      <c r="W423">
        <v>1</v>
      </c>
      <c r="X423" t="s">
        <v>39</v>
      </c>
      <c r="Y423">
        <v>1</v>
      </c>
      <c r="Z423" t="s">
        <v>51</v>
      </c>
      <c r="AA423" t="s">
        <v>40</v>
      </c>
      <c r="AB423">
        <v>1</v>
      </c>
    </row>
    <row r="424" spans="1:28" x14ac:dyDescent="0.3">
      <c r="A424">
        <v>423</v>
      </c>
      <c r="B424" t="s">
        <v>26</v>
      </c>
      <c r="C424" t="s">
        <v>42</v>
      </c>
      <c r="D424" t="s">
        <v>43</v>
      </c>
      <c r="E424">
        <v>12</v>
      </c>
      <c r="F424" t="s">
        <v>29</v>
      </c>
      <c r="G424" t="s">
        <v>63</v>
      </c>
      <c r="H424">
        <v>958</v>
      </c>
      <c r="I424" t="s">
        <v>45</v>
      </c>
      <c r="J424" t="s">
        <v>46</v>
      </c>
      <c r="K424" t="s">
        <v>55</v>
      </c>
      <c r="L424" t="s">
        <v>56</v>
      </c>
      <c r="M424">
        <v>2</v>
      </c>
      <c r="N424" t="s">
        <v>34</v>
      </c>
      <c r="O424" t="s">
        <v>35</v>
      </c>
      <c r="P424" t="s">
        <v>36</v>
      </c>
      <c r="Q424">
        <v>3</v>
      </c>
      <c r="R424" t="s">
        <v>37</v>
      </c>
      <c r="S424">
        <v>47</v>
      </c>
      <c r="T424" t="s">
        <v>97</v>
      </c>
      <c r="U424" t="s">
        <v>36</v>
      </c>
      <c r="V424" t="s">
        <v>38</v>
      </c>
      <c r="W424">
        <v>2</v>
      </c>
      <c r="X424" t="s">
        <v>57</v>
      </c>
      <c r="Y424">
        <v>2</v>
      </c>
      <c r="Z424" t="s">
        <v>51</v>
      </c>
      <c r="AA424" t="s">
        <v>40</v>
      </c>
      <c r="AB424">
        <v>1</v>
      </c>
    </row>
    <row r="425" spans="1:28" x14ac:dyDescent="0.3">
      <c r="A425">
        <v>424</v>
      </c>
      <c r="B425" t="s">
        <v>26</v>
      </c>
      <c r="C425" t="s">
        <v>52</v>
      </c>
      <c r="D425" t="s">
        <v>53</v>
      </c>
      <c r="E425">
        <v>21</v>
      </c>
      <c r="F425" t="s">
        <v>62</v>
      </c>
      <c r="G425" t="s">
        <v>58</v>
      </c>
      <c r="H425">
        <v>1591</v>
      </c>
      <c r="I425" t="s">
        <v>79</v>
      </c>
      <c r="J425" t="s">
        <v>80</v>
      </c>
      <c r="K425" t="s">
        <v>55</v>
      </c>
      <c r="L425" t="s">
        <v>56</v>
      </c>
      <c r="M425">
        <v>4</v>
      </c>
      <c r="N425" t="s">
        <v>34</v>
      </c>
      <c r="O425" t="s">
        <v>35</v>
      </c>
      <c r="P425" t="s">
        <v>36</v>
      </c>
      <c r="Q425">
        <v>3</v>
      </c>
      <c r="R425" t="s">
        <v>37</v>
      </c>
      <c r="S425">
        <v>34</v>
      </c>
      <c r="T425" t="s">
        <v>98</v>
      </c>
      <c r="U425" t="s">
        <v>36</v>
      </c>
      <c r="V425" t="s">
        <v>38</v>
      </c>
      <c r="W425">
        <v>2</v>
      </c>
      <c r="X425" t="s">
        <v>70</v>
      </c>
      <c r="Y425">
        <v>1</v>
      </c>
      <c r="Z425" t="s">
        <v>51</v>
      </c>
      <c r="AA425" t="s">
        <v>40</v>
      </c>
      <c r="AB425">
        <v>1</v>
      </c>
    </row>
    <row r="426" spans="1:28" x14ac:dyDescent="0.3">
      <c r="A426">
        <v>425</v>
      </c>
      <c r="B426" t="s">
        <v>41</v>
      </c>
      <c r="C426" t="s">
        <v>42</v>
      </c>
      <c r="D426" t="s">
        <v>43</v>
      </c>
      <c r="E426">
        <v>12</v>
      </c>
      <c r="F426" t="s">
        <v>44</v>
      </c>
      <c r="G426" t="s">
        <v>58</v>
      </c>
      <c r="H426">
        <v>2762</v>
      </c>
      <c r="I426" t="s">
        <v>31</v>
      </c>
      <c r="J426" t="s">
        <v>31</v>
      </c>
      <c r="K426" t="s">
        <v>32</v>
      </c>
      <c r="L426" t="s">
        <v>33</v>
      </c>
      <c r="M426">
        <v>1</v>
      </c>
      <c r="N426" t="s">
        <v>49</v>
      </c>
      <c r="O426" t="s">
        <v>50</v>
      </c>
      <c r="P426" t="s">
        <v>36</v>
      </c>
      <c r="Q426">
        <v>2</v>
      </c>
      <c r="R426" t="s">
        <v>60</v>
      </c>
      <c r="S426">
        <v>25</v>
      </c>
      <c r="T426" t="s">
        <v>98</v>
      </c>
      <c r="U426" t="s">
        <v>82</v>
      </c>
      <c r="V426" t="s">
        <v>38</v>
      </c>
      <c r="W426">
        <v>1</v>
      </c>
      <c r="X426" t="s">
        <v>39</v>
      </c>
      <c r="Y426">
        <v>1</v>
      </c>
      <c r="Z426" t="s">
        <v>40</v>
      </c>
      <c r="AA426" t="s">
        <v>40</v>
      </c>
      <c r="AB426">
        <v>2</v>
      </c>
    </row>
    <row r="427" spans="1:28" x14ac:dyDescent="0.3">
      <c r="A427">
        <v>426</v>
      </c>
      <c r="B427" t="s">
        <v>26</v>
      </c>
      <c r="C427" t="s">
        <v>42</v>
      </c>
      <c r="D427" t="s">
        <v>43</v>
      </c>
      <c r="E427">
        <v>18</v>
      </c>
      <c r="F427" t="s">
        <v>44</v>
      </c>
      <c r="G427" t="s">
        <v>67</v>
      </c>
      <c r="H427">
        <v>2779</v>
      </c>
      <c r="I427" t="s">
        <v>45</v>
      </c>
      <c r="J427" t="s">
        <v>46</v>
      </c>
      <c r="K427" t="s">
        <v>47</v>
      </c>
      <c r="L427" t="s">
        <v>48</v>
      </c>
      <c r="M427">
        <v>1</v>
      </c>
      <c r="N427" t="s">
        <v>34</v>
      </c>
      <c r="O427" t="s">
        <v>75</v>
      </c>
      <c r="P427" t="s">
        <v>36</v>
      </c>
      <c r="Q427">
        <v>3</v>
      </c>
      <c r="R427" t="s">
        <v>68</v>
      </c>
      <c r="S427">
        <v>21</v>
      </c>
      <c r="T427" t="s">
        <v>96</v>
      </c>
      <c r="U427" t="s">
        <v>36</v>
      </c>
      <c r="V427" t="s">
        <v>69</v>
      </c>
      <c r="W427">
        <v>1</v>
      </c>
      <c r="X427" t="s">
        <v>39</v>
      </c>
      <c r="Y427">
        <v>1</v>
      </c>
      <c r="Z427" t="s">
        <v>40</v>
      </c>
      <c r="AA427" t="s">
        <v>40</v>
      </c>
      <c r="AB427">
        <v>1</v>
      </c>
    </row>
    <row r="428" spans="1:28" x14ac:dyDescent="0.3">
      <c r="A428">
        <v>427</v>
      </c>
      <c r="B428" t="s">
        <v>26</v>
      </c>
      <c r="C428" t="s">
        <v>52</v>
      </c>
      <c r="D428" t="s">
        <v>53</v>
      </c>
      <c r="E428">
        <v>28</v>
      </c>
      <c r="F428" t="s">
        <v>29</v>
      </c>
      <c r="G428" t="s">
        <v>30</v>
      </c>
      <c r="H428">
        <v>2743</v>
      </c>
      <c r="I428" t="s">
        <v>45</v>
      </c>
      <c r="J428" t="s">
        <v>46</v>
      </c>
      <c r="K428" t="s">
        <v>32</v>
      </c>
      <c r="L428" t="s">
        <v>33</v>
      </c>
      <c r="M428">
        <v>4</v>
      </c>
      <c r="N428" t="s">
        <v>34</v>
      </c>
      <c r="O428" t="s">
        <v>35</v>
      </c>
      <c r="P428" t="s">
        <v>36</v>
      </c>
      <c r="Q428">
        <v>2</v>
      </c>
      <c r="R428" t="s">
        <v>68</v>
      </c>
      <c r="S428">
        <v>29</v>
      </c>
      <c r="T428" t="s">
        <v>98</v>
      </c>
      <c r="U428" t="s">
        <v>36</v>
      </c>
      <c r="V428" t="s">
        <v>38</v>
      </c>
      <c r="W428">
        <v>2</v>
      </c>
      <c r="X428" t="s">
        <v>39</v>
      </c>
      <c r="Y428">
        <v>1</v>
      </c>
      <c r="Z428" t="s">
        <v>51</v>
      </c>
      <c r="AA428" t="s">
        <v>40</v>
      </c>
      <c r="AB428">
        <v>1</v>
      </c>
    </row>
    <row r="429" spans="1:28" x14ac:dyDescent="0.3">
      <c r="A429">
        <v>428</v>
      </c>
      <c r="B429" t="s">
        <v>26</v>
      </c>
      <c r="C429" t="s">
        <v>52</v>
      </c>
      <c r="D429" t="s">
        <v>53</v>
      </c>
      <c r="E429">
        <v>18</v>
      </c>
      <c r="F429" t="s">
        <v>29</v>
      </c>
      <c r="G429" t="s">
        <v>30</v>
      </c>
      <c r="H429">
        <v>1149</v>
      </c>
      <c r="I429" t="s">
        <v>71</v>
      </c>
      <c r="J429" t="s">
        <v>72</v>
      </c>
      <c r="K429" t="s">
        <v>47</v>
      </c>
      <c r="L429" t="s">
        <v>48</v>
      </c>
      <c r="M429">
        <v>4</v>
      </c>
      <c r="N429" t="s">
        <v>34</v>
      </c>
      <c r="O429" t="s">
        <v>35</v>
      </c>
      <c r="P429" t="s">
        <v>36</v>
      </c>
      <c r="Q429">
        <v>3</v>
      </c>
      <c r="R429" t="s">
        <v>37</v>
      </c>
      <c r="S429">
        <v>46</v>
      </c>
      <c r="T429" t="s">
        <v>97</v>
      </c>
      <c r="U429" t="s">
        <v>36</v>
      </c>
      <c r="V429" t="s">
        <v>38</v>
      </c>
      <c r="W429">
        <v>2</v>
      </c>
      <c r="X429" t="s">
        <v>39</v>
      </c>
      <c r="Y429">
        <v>1</v>
      </c>
      <c r="Z429" t="s">
        <v>51</v>
      </c>
      <c r="AA429" t="s">
        <v>40</v>
      </c>
      <c r="AB429">
        <v>1</v>
      </c>
    </row>
    <row r="430" spans="1:28" x14ac:dyDescent="0.3">
      <c r="A430">
        <v>429</v>
      </c>
      <c r="B430" t="s">
        <v>26</v>
      </c>
      <c r="C430" t="s">
        <v>52</v>
      </c>
      <c r="D430" t="s">
        <v>53</v>
      </c>
      <c r="E430">
        <v>9</v>
      </c>
      <c r="F430" t="s">
        <v>44</v>
      </c>
      <c r="G430" t="s">
        <v>58</v>
      </c>
      <c r="H430">
        <v>1313</v>
      </c>
      <c r="I430" t="s">
        <v>45</v>
      </c>
      <c r="J430" t="s">
        <v>46</v>
      </c>
      <c r="K430" t="s">
        <v>32</v>
      </c>
      <c r="L430" t="s">
        <v>33</v>
      </c>
      <c r="M430">
        <v>1</v>
      </c>
      <c r="N430" t="s">
        <v>34</v>
      </c>
      <c r="O430" t="s">
        <v>35</v>
      </c>
      <c r="P430" t="s">
        <v>36</v>
      </c>
      <c r="Q430">
        <v>4</v>
      </c>
      <c r="R430" t="s">
        <v>68</v>
      </c>
      <c r="S430">
        <v>20</v>
      </c>
      <c r="T430" t="s">
        <v>96</v>
      </c>
      <c r="U430" t="s">
        <v>36</v>
      </c>
      <c r="V430" t="s">
        <v>38</v>
      </c>
      <c r="W430">
        <v>1</v>
      </c>
      <c r="X430" t="s">
        <v>39</v>
      </c>
      <c r="Y430">
        <v>1</v>
      </c>
      <c r="Z430" t="s">
        <v>51</v>
      </c>
      <c r="AA430" t="s">
        <v>40</v>
      </c>
      <c r="AB430">
        <v>1</v>
      </c>
    </row>
    <row r="431" spans="1:28" x14ac:dyDescent="0.3">
      <c r="A431">
        <v>430</v>
      </c>
      <c r="B431" t="s">
        <v>41</v>
      </c>
      <c r="C431" t="s">
        <v>27</v>
      </c>
      <c r="D431" t="s">
        <v>28</v>
      </c>
      <c r="E431">
        <v>18</v>
      </c>
      <c r="F431" t="s">
        <v>29</v>
      </c>
      <c r="G431" t="s">
        <v>89</v>
      </c>
      <c r="H431">
        <v>1190</v>
      </c>
      <c r="I431" t="s">
        <v>45</v>
      </c>
      <c r="J431" t="s">
        <v>46</v>
      </c>
      <c r="K431" t="s">
        <v>74</v>
      </c>
      <c r="L431" t="s">
        <v>74</v>
      </c>
      <c r="M431">
        <v>2</v>
      </c>
      <c r="N431" t="s">
        <v>49</v>
      </c>
      <c r="O431" t="s">
        <v>50</v>
      </c>
      <c r="P431" t="s">
        <v>36</v>
      </c>
      <c r="Q431">
        <v>4</v>
      </c>
      <c r="R431" t="s">
        <v>64</v>
      </c>
      <c r="S431">
        <v>55</v>
      </c>
      <c r="T431" t="s">
        <v>97</v>
      </c>
      <c r="U431" t="s">
        <v>36</v>
      </c>
      <c r="V431" t="s">
        <v>61</v>
      </c>
      <c r="W431">
        <v>3</v>
      </c>
      <c r="X431" t="s">
        <v>90</v>
      </c>
      <c r="Y431">
        <v>2</v>
      </c>
      <c r="Z431" t="s">
        <v>51</v>
      </c>
      <c r="AA431" t="s">
        <v>40</v>
      </c>
      <c r="AB431">
        <v>2</v>
      </c>
    </row>
    <row r="432" spans="1:28" x14ac:dyDescent="0.3">
      <c r="A432">
        <v>431</v>
      </c>
      <c r="B432" t="s">
        <v>26</v>
      </c>
      <c r="C432" t="s">
        <v>52</v>
      </c>
      <c r="D432" t="s">
        <v>53</v>
      </c>
      <c r="E432">
        <v>5</v>
      </c>
      <c r="F432" t="s">
        <v>44</v>
      </c>
      <c r="G432" t="s">
        <v>78</v>
      </c>
      <c r="H432">
        <v>3448</v>
      </c>
      <c r="I432" t="s">
        <v>45</v>
      </c>
      <c r="J432" t="s">
        <v>46</v>
      </c>
      <c r="K432" t="s">
        <v>55</v>
      </c>
      <c r="L432" t="s">
        <v>56</v>
      </c>
      <c r="M432">
        <v>1</v>
      </c>
      <c r="N432" t="s">
        <v>34</v>
      </c>
      <c r="O432" t="s">
        <v>35</v>
      </c>
      <c r="P432" t="s">
        <v>36</v>
      </c>
      <c r="Q432">
        <v>4</v>
      </c>
      <c r="R432" t="s">
        <v>37</v>
      </c>
      <c r="S432">
        <v>74</v>
      </c>
      <c r="T432" t="s">
        <v>95</v>
      </c>
      <c r="U432" t="s">
        <v>36</v>
      </c>
      <c r="V432" t="s">
        <v>38</v>
      </c>
      <c r="W432">
        <v>1</v>
      </c>
      <c r="X432" t="s">
        <v>57</v>
      </c>
      <c r="Y432">
        <v>1</v>
      </c>
      <c r="Z432" t="s">
        <v>51</v>
      </c>
      <c r="AA432" t="s">
        <v>40</v>
      </c>
      <c r="AB432">
        <v>1</v>
      </c>
    </row>
    <row r="433" spans="1:28" x14ac:dyDescent="0.3">
      <c r="A433">
        <v>432</v>
      </c>
      <c r="B433" t="s">
        <v>41</v>
      </c>
      <c r="C433" t="s">
        <v>42</v>
      </c>
      <c r="D433" t="s">
        <v>43</v>
      </c>
      <c r="E433">
        <v>24</v>
      </c>
      <c r="F433" t="s">
        <v>44</v>
      </c>
      <c r="G433" t="s">
        <v>91</v>
      </c>
      <c r="H433">
        <v>11328</v>
      </c>
      <c r="I433" t="s">
        <v>45</v>
      </c>
      <c r="J433" t="s">
        <v>46</v>
      </c>
      <c r="K433" t="s">
        <v>47</v>
      </c>
      <c r="L433" t="s">
        <v>48</v>
      </c>
      <c r="M433">
        <v>2</v>
      </c>
      <c r="N433" t="s">
        <v>34</v>
      </c>
      <c r="O433" t="s">
        <v>35</v>
      </c>
      <c r="P433" t="s">
        <v>87</v>
      </c>
      <c r="Q433">
        <v>3</v>
      </c>
      <c r="R433" t="s">
        <v>68</v>
      </c>
      <c r="S433">
        <v>29</v>
      </c>
      <c r="T433" t="s">
        <v>98</v>
      </c>
      <c r="U433" t="s">
        <v>82</v>
      </c>
      <c r="V433" t="s">
        <v>38</v>
      </c>
      <c r="W433">
        <v>2</v>
      </c>
      <c r="X433" t="s">
        <v>70</v>
      </c>
      <c r="Y433">
        <v>1</v>
      </c>
      <c r="Z433" t="s">
        <v>40</v>
      </c>
      <c r="AA433" t="s">
        <v>40</v>
      </c>
      <c r="AB433">
        <v>2</v>
      </c>
    </row>
    <row r="434" spans="1:28" x14ac:dyDescent="0.3">
      <c r="A434">
        <v>433</v>
      </c>
      <c r="B434" t="s">
        <v>26</v>
      </c>
      <c r="C434" t="s">
        <v>27</v>
      </c>
      <c r="D434" t="s">
        <v>28</v>
      </c>
      <c r="E434">
        <v>6</v>
      </c>
      <c r="F434" t="s">
        <v>29</v>
      </c>
      <c r="G434" t="s">
        <v>58</v>
      </c>
      <c r="H434">
        <v>1872</v>
      </c>
      <c r="I434" t="s">
        <v>45</v>
      </c>
      <c r="J434" t="s">
        <v>46</v>
      </c>
      <c r="K434" t="s">
        <v>74</v>
      </c>
      <c r="L434" t="s">
        <v>74</v>
      </c>
      <c r="M434">
        <v>4</v>
      </c>
      <c r="N434" t="s">
        <v>34</v>
      </c>
      <c r="O434" t="s">
        <v>35</v>
      </c>
      <c r="P434" t="s">
        <v>36</v>
      </c>
      <c r="Q434">
        <v>4</v>
      </c>
      <c r="R434" t="s">
        <v>64</v>
      </c>
      <c r="S434">
        <v>36</v>
      </c>
      <c r="T434" t="s">
        <v>98</v>
      </c>
      <c r="U434" t="s">
        <v>36</v>
      </c>
      <c r="V434" t="s">
        <v>61</v>
      </c>
      <c r="W434">
        <v>3</v>
      </c>
      <c r="X434" t="s">
        <v>70</v>
      </c>
      <c r="Y434">
        <v>1</v>
      </c>
      <c r="Z434" t="s">
        <v>40</v>
      </c>
      <c r="AA434" t="s">
        <v>40</v>
      </c>
      <c r="AB434">
        <v>1</v>
      </c>
    </row>
    <row r="435" spans="1:28" x14ac:dyDescent="0.3">
      <c r="A435">
        <v>434</v>
      </c>
      <c r="B435" t="s">
        <v>26</v>
      </c>
      <c r="C435" t="s">
        <v>52</v>
      </c>
      <c r="D435" t="s">
        <v>53</v>
      </c>
      <c r="E435">
        <v>24</v>
      </c>
      <c r="F435" t="s">
        <v>29</v>
      </c>
      <c r="G435" t="s">
        <v>89</v>
      </c>
      <c r="H435">
        <v>2058</v>
      </c>
      <c r="I435" t="s">
        <v>45</v>
      </c>
      <c r="J435" t="s">
        <v>46</v>
      </c>
      <c r="K435" t="s">
        <v>47</v>
      </c>
      <c r="L435" t="s">
        <v>48</v>
      </c>
      <c r="M435">
        <v>4</v>
      </c>
      <c r="N435" t="s">
        <v>34</v>
      </c>
      <c r="O435" t="s">
        <v>73</v>
      </c>
      <c r="P435" t="s">
        <v>36</v>
      </c>
      <c r="Q435">
        <v>2</v>
      </c>
      <c r="R435" t="s">
        <v>37</v>
      </c>
      <c r="S435">
        <v>33</v>
      </c>
      <c r="T435" t="s">
        <v>98</v>
      </c>
      <c r="U435" t="s">
        <v>36</v>
      </c>
      <c r="V435" t="s">
        <v>38</v>
      </c>
      <c r="W435">
        <v>2</v>
      </c>
      <c r="X435" t="s">
        <v>39</v>
      </c>
      <c r="Y435">
        <v>1</v>
      </c>
      <c r="Z435" t="s">
        <v>40</v>
      </c>
      <c r="AA435" t="s">
        <v>40</v>
      </c>
      <c r="AB435">
        <v>1</v>
      </c>
    </row>
    <row r="436" spans="1:28" x14ac:dyDescent="0.3">
      <c r="A436">
        <v>435</v>
      </c>
      <c r="B436" t="s">
        <v>26</v>
      </c>
      <c r="C436" t="s">
        <v>27</v>
      </c>
      <c r="D436" t="s">
        <v>28</v>
      </c>
      <c r="E436">
        <v>9</v>
      </c>
      <c r="F436" t="s">
        <v>44</v>
      </c>
      <c r="G436" t="s">
        <v>58</v>
      </c>
      <c r="H436">
        <v>2136</v>
      </c>
      <c r="I436" t="s">
        <v>45</v>
      </c>
      <c r="J436" t="s">
        <v>46</v>
      </c>
      <c r="K436" t="s">
        <v>47</v>
      </c>
      <c r="L436" t="s">
        <v>48</v>
      </c>
      <c r="M436">
        <v>3</v>
      </c>
      <c r="N436" t="s">
        <v>34</v>
      </c>
      <c r="O436" t="s">
        <v>35</v>
      </c>
      <c r="P436" t="s">
        <v>36</v>
      </c>
      <c r="Q436">
        <v>2</v>
      </c>
      <c r="R436" t="s">
        <v>37</v>
      </c>
      <c r="S436">
        <v>25</v>
      </c>
      <c r="T436" t="s">
        <v>98</v>
      </c>
      <c r="U436" t="s">
        <v>36</v>
      </c>
      <c r="V436" t="s">
        <v>38</v>
      </c>
      <c r="W436">
        <v>1</v>
      </c>
      <c r="X436" t="s">
        <v>39</v>
      </c>
      <c r="Y436">
        <v>1</v>
      </c>
      <c r="Z436" t="s">
        <v>51</v>
      </c>
      <c r="AA436" t="s">
        <v>40</v>
      </c>
      <c r="AB436">
        <v>1</v>
      </c>
    </row>
    <row r="437" spans="1:28" x14ac:dyDescent="0.3">
      <c r="A437">
        <v>436</v>
      </c>
      <c r="B437" t="s">
        <v>41</v>
      </c>
      <c r="C437" t="s">
        <v>42</v>
      </c>
      <c r="D437" t="s">
        <v>43</v>
      </c>
      <c r="E437">
        <v>12</v>
      </c>
      <c r="F437" t="s">
        <v>44</v>
      </c>
      <c r="G437" t="s">
        <v>30</v>
      </c>
      <c r="H437">
        <v>1484</v>
      </c>
      <c r="I437" t="s">
        <v>31</v>
      </c>
      <c r="J437" t="s">
        <v>31</v>
      </c>
      <c r="K437" t="s">
        <v>47</v>
      </c>
      <c r="L437" t="s">
        <v>48</v>
      </c>
      <c r="M437">
        <v>2</v>
      </c>
      <c r="N437" t="s">
        <v>34</v>
      </c>
      <c r="O437" t="s">
        <v>75</v>
      </c>
      <c r="P437" t="s">
        <v>36</v>
      </c>
      <c r="Q437">
        <v>1</v>
      </c>
      <c r="R437" t="s">
        <v>37</v>
      </c>
      <c r="S437">
        <v>25</v>
      </c>
      <c r="T437" t="s">
        <v>98</v>
      </c>
      <c r="U437" t="s">
        <v>36</v>
      </c>
      <c r="V437" t="s">
        <v>38</v>
      </c>
      <c r="W437">
        <v>1</v>
      </c>
      <c r="X437" t="s">
        <v>39</v>
      </c>
      <c r="Y437">
        <v>1</v>
      </c>
      <c r="Z437" t="s">
        <v>40</v>
      </c>
      <c r="AA437" t="s">
        <v>40</v>
      </c>
      <c r="AB437">
        <v>2</v>
      </c>
    </row>
    <row r="438" spans="1:28" x14ac:dyDescent="0.3">
      <c r="A438">
        <v>437</v>
      </c>
      <c r="B438" t="s">
        <v>26</v>
      </c>
      <c r="C438" t="s">
        <v>52</v>
      </c>
      <c r="D438" t="s">
        <v>53</v>
      </c>
      <c r="E438">
        <v>6</v>
      </c>
      <c r="F438" t="s">
        <v>44</v>
      </c>
      <c r="G438" t="s">
        <v>89</v>
      </c>
      <c r="H438">
        <v>660</v>
      </c>
      <c r="I438" t="s">
        <v>65</v>
      </c>
      <c r="J438" t="s">
        <v>66</v>
      </c>
      <c r="K438" t="s">
        <v>55</v>
      </c>
      <c r="L438" t="s">
        <v>56</v>
      </c>
      <c r="M438">
        <v>2</v>
      </c>
      <c r="N438" t="s">
        <v>34</v>
      </c>
      <c r="O438" t="s">
        <v>75</v>
      </c>
      <c r="P438" t="s">
        <v>36</v>
      </c>
      <c r="Q438">
        <v>4</v>
      </c>
      <c r="R438" t="s">
        <v>37</v>
      </c>
      <c r="S438">
        <v>23</v>
      </c>
      <c r="T438" t="s">
        <v>96</v>
      </c>
      <c r="U438" t="s">
        <v>36</v>
      </c>
      <c r="V438" t="s">
        <v>69</v>
      </c>
      <c r="W438">
        <v>1</v>
      </c>
      <c r="X438" t="s">
        <v>57</v>
      </c>
      <c r="Y438">
        <v>1</v>
      </c>
      <c r="Z438" t="s">
        <v>51</v>
      </c>
      <c r="AA438" t="s">
        <v>40</v>
      </c>
      <c r="AB438">
        <v>1</v>
      </c>
    </row>
    <row r="439" spans="1:28" x14ac:dyDescent="0.3">
      <c r="A439">
        <v>438</v>
      </c>
      <c r="B439" t="s">
        <v>26</v>
      </c>
      <c r="C439" t="s">
        <v>52</v>
      </c>
      <c r="D439" t="s">
        <v>53</v>
      </c>
      <c r="E439">
        <v>24</v>
      </c>
      <c r="F439" t="s">
        <v>29</v>
      </c>
      <c r="G439" t="s">
        <v>63</v>
      </c>
      <c r="H439">
        <v>1287</v>
      </c>
      <c r="I439" t="s">
        <v>71</v>
      </c>
      <c r="J439" t="s">
        <v>72</v>
      </c>
      <c r="K439" t="s">
        <v>32</v>
      </c>
      <c r="L439" t="s">
        <v>33</v>
      </c>
      <c r="M439">
        <v>4</v>
      </c>
      <c r="N439" t="s">
        <v>49</v>
      </c>
      <c r="O439" t="s">
        <v>50</v>
      </c>
      <c r="P439" t="s">
        <v>36</v>
      </c>
      <c r="Q439">
        <v>4</v>
      </c>
      <c r="R439" t="s">
        <v>37</v>
      </c>
      <c r="S439">
        <v>37</v>
      </c>
      <c r="T439" t="s">
        <v>98</v>
      </c>
      <c r="U439" t="s">
        <v>36</v>
      </c>
      <c r="V439" t="s">
        <v>38</v>
      </c>
      <c r="W439">
        <v>2</v>
      </c>
      <c r="X439" t="s">
        <v>39</v>
      </c>
      <c r="Y439">
        <v>1</v>
      </c>
      <c r="Z439" t="s">
        <v>40</v>
      </c>
      <c r="AA439" t="s">
        <v>40</v>
      </c>
      <c r="AB439">
        <v>1</v>
      </c>
    </row>
    <row r="440" spans="1:28" x14ac:dyDescent="0.3">
      <c r="A440">
        <v>439</v>
      </c>
      <c r="B440" t="s">
        <v>26</v>
      </c>
      <c r="C440" t="s">
        <v>27</v>
      </c>
      <c r="D440" t="s">
        <v>28</v>
      </c>
      <c r="E440">
        <v>42</v>
      </c>
      <c r="F440" t="s">
        <v>29</v>
      </c>
      <c r="G440" t="s">
        <v>89</v>
      </c>
      <c r="H440">
        <v>3394</v>
      </c>
      <c r="I440" t="s">
        <v>45</v>
      </c>
      <c r="J440" t="s">
        <v>46</v>
      </c>
      <c r="K440" t="s">
        <v>74</v>
      </c>
      <c r="L440" t="s">
        <v>74</v>
      </c>
      <c r="M440">
        <v>4</v>
      </c>
      <c r="N440" t="s">
        <v>34</v>
      </c>
      <c r="O440" t="s">
        <v>35</v>
      </c>
      <c r="P440" t="s">
        <v>87</v>
      </c>
      <c r="Q440">
        <v>4</v>
      </c>
      <c r="R440" t="s">
        <v>68</v>
      </c>
      <c r="S440">
        <v>65</v>
      </c>
      <c r="T440" t="s">
        <v>95</v>
      </c>
      <c r="U440" t="s">
        <v>36</v>
      </c>
      <c r="V440" t="s">
        <v>38</v>
      </c>
      <c r="W440">
        <v>2</v>
      </c>
      <c r="X440" t="s">
        <v>90</v>
      </c>
      <c r="Y440">
        <v>1</v>
      </c>
      <c r="Z440" t="s">
        <v>51</v>
      </c>
      <c r="AA440" t="s">
        <v>40</v>
      </c>
      <c r="AB440">
        <v>1</v>
      </c>
    </row>
    <row r="441" spans="1:28" x14ac:dyDescent="0.3">
      <c r="A441">
        <v>440</v>
      </c>
      <c r="B441" t="s">
        <v>41</v>
      </c>
      <c r="C441" t="s">
        <v>83</v>
      </c>
      <c r="D441" t="s">
        <v>84</v>
      </c>
      <c r="E441">
        <v>12</v>
      </c>
      <c r="F441" t="s">
        <v>85</v>
      </c>
      <c r="G441" t="s">
        <v>78</v>
      </c>
      <c r="H441">
        <v>609</v>
      </c>
      <c r="I441" t="s">
        <v>45</v>
      </c>
      <c r="J441" t="s">
        <v>46</v>
      </c>
      <c r="K441" t="s">
        <v>76</v>
      </c>
      <c r="L441" t="s">
        <v>77</v>
      </c>
      <c r="M441">
        <v>4</v>
      </c>
      <c r="N441" t="s">
        <v>49</v>
      </c>
      <c r="O441" t="s">
        <v>50</v>
      </c>
      <c r="P441" t="s">
        <v>36</v>
      </c>
      <c r="Q441">
        <v>1</v>
      </c>
      <c r="R441" t="s">
        <v>37</v>
      </c>
      <c r="S441">
        <v>26</v>
      </c>
      <c r="T441" t="s">
        <v>98</v>
      </c>
      <c r="U441" t="s">
        <v>36</v>
      </c>
      <c r="V441" t="s">
        <v>38</v>
      </c>
      <c r="W441">
        <v>1</v>
      </c>
      <c r="X441" t="s">
        <v>90</v>
      </c>
      <c r="Y441">
        <v>1</v>
      </c>
      <c r="Z441" t="s">
        <v>51</v>
      </c>
      <c r="AA441" t="s">
        <v>40</v>
      </c>
      <c r="AB441">
        <v>2</v>
      </c>
    </row>
    <row r="442" spans="1:28" x14ac:dyDescent="0.3">
      <c r="A442">
        <v>441</v>
      </c>
      <c r="B442" t="s">
        <v>26</v>
      </c>
      <c r="C442" t="s">
        <v>52</v>
      </c>
      <c r="D442" t="s">
        <v>53</v>
      </c>
      <c r="E442">
        <v>12</v>
      </c>
      <c r="F442" t="s">
        <v>44</v>
      </c>
      <c r="G442" t="s">
        <v>63</v>
      </c>
      <c r="H442">
        <v>1884</v>
      </c>
      <c r="I442" t="s">
        <v>45</v>
      </c>
      <c r="J442" t="s">
        <v>46</v>
      </c>
      <c r="K442" t="s">
        <v>32</v>
      </c>
      <c r="L442" t="s">
        <v>33</v>
      </c>
      <c r="M442">
        <v>4</v>
      </c>
      <c r="N442" t="s">
        <v>34</v>
      </c>
      <c r="O442" t="s">
        <v>35</v>
      </c>
      <c r="P442" t="s">
        <v>36</v>
      </c>
      <c r="Q442">
        <v>4</v>
      </c>
      <c r="R442" t="s">
        <v>68</v>
      </c>
      <c r="S442">
        <v>39</v>
      </c>
      <c r="T442" t="s">
        <v>98</v>
      </c>
      <c r="U442" t="s">
        <v>36</v>
      </c>
      <c r="V442" t="s">
        <v>38</v>
      </c>
      <c r="W442">
        <v>1</v>
      </c>
      <c r="X442" t="s">
        <v>70</v>
      </c>
      <c r="Y442">
        <v>1</v>
      </c>
      <c r="Z442" t="s">
        <v>40</v>
      </c>
      <c r="AA442" t="s">
        <v>40</v>
      </c>
      <c r="AB442">
        <v>1</v>
      </c>
    </row>
    <row r="443" spans="1:28" x14ac:dyDescent="0.3">
      <c r="A443">
        <v>442</v>
      </c>
      <c r="B443" t="s">
        <v>26</v>
      </c>
      <c r="C443" t="s">
        <v>27</v>
      </c>
      <c r="D443" t="s">
        <v>28</v>
      </c>
      <c r="E443">
        <v>12</v>
      </c>
      <c r="F443" t="s">
        <v>44</v>
      </c>
      <c r="G443" t="s">
        <v>58</v>
      </c>
      <c r="H443">
        <v>1620</v>
      </c>
      <c r="I443" t="s">
        <v>45</v>
      </c>
      <c r="J443" t="s">
        <v>46</v>
      </c>
      <c r="K443" t="s">
        <v>47</v>
      </c>
      <c r="L443" t="s">
        <v>48</v>
      </c>
      <c r="M443">
        <v>2</v>
      </c>
      <c r="N443" t="s">
        <v>49</v>
      </c>
      <c r="O443" t="s">
        <v>50</v>
      </c>
      <c r="P443" t="s">
        <v>87</v>
      </c>
      <c r="Q443">
        <v>3</v>
      </c>
      <c r="R443" t="s">
        <v>60</v>
      </c>
      <c r="S443">
        <v>30</v>
      </c>
      <c r="T443" t="s">
        <v>98</v>
      </c>
      <c r="U443" t="s">
        <v>36</v>
      </c>
      <c r="V443" t="s">
        <v>38</v>
      </c>
      <c r="W443">
        <v>1</v>
      </c>
      <c r="X443" t="s">
        <v>39</v>
      </c>
      <c r="Y443">
        <v>1</v>
      </c>
      <c r="Z443" t="s">
        <v>51</v>
      </c>
      <c r="AA443" t="s">
        <v>40</v>
      </c>
      <c r="AB443">
        <v>1</v>
      </c>
    </row>
    <row r="444" spans="1:28" x14ac:dyDescent="0.3">
      <c r="A444">
        <v>443</v>
      </c>
      <c r="B444" t="s">
        <v>26</v>
      </c>
      <c r="C444" t="s">
        <v>42</v>
      </c>
      <c r="D444" t="s">
        <v>43</v>
      </c>
      <c r="E444">
        <v>20</v>
      </c>
      <c r="F444" t="s">
        <v>62</v>
      </c>
      <c r="G444" t="s">
        <v>91</v>
      </c>
      <c r="H444">
        <v>2629</v>
      </c>
      <c r="I444" t="s">
        <v>45</v>
      </c>
      <c r="J444" t="s">
        <v>46</v>
      </c>
      <c r="K444" t="s">
        <v>47</v>
      </c>
      <c r="L444" t="s">
        <v>48</v>
      </c>
      <c r="M444">
        <v>2</v>
      </c>
      <c r="N444" t="s">
        <v>34</v>
      </c>
      <c r="O444" t="s">
        <v>35</v>
      </c>
      <c r="P444" t="s">
        <v>36</v>
      </c>
      <c r="Q444">
        <v>3</v>
      </c>
      <c r="R444" t="s">
        <v>68</v>
      </c>
      <c r="S444">
        <v>29</v>
      </c>
      <c r="T444" t="s">
        <v>98</v>
      </c>
      <c r="U444" t="s">
        <v>82</v>
      </c>
      <c r="V444" t="s">
        <v>38</v>
      </c>
      <c r="W444">
        <v>2</v>
      </c>
      <c r="X444" t="s">
        <v>39</v>
      </c>
      <c r="Y444">
        <v>1</v>
      </c>
      <c r="Z444" t="s">
        <v>40</v>
      </c>
      <c r="AA444" t="s">
        <v>40</v>
      </c>
      <c r="AB444">
        <v>1</v>
      </c>
    </row>
    <row r="445" spans="1:28" x14ac:dyDescent="0.3">
      <c r="A445">
        <v>444</v>
      </c>
      <c r="B445" t="s">
        <v>41</v>
      </c>
      <c r="C445" t="s">
        <v>52</v>
      </c>
      <c r="D445" t="s">
        <v>53</v>
      </c>
      <c r="E445">
        <v>12</v>
      </c>
      <c r="F445" t="s">
        <v>44</v>
      </c>
      <c r="G445" t="s">
        <v>54</v>
      </c>
      <c r="H445">
        <v>719</v>
      </c>
      <c r="I445" t="s">
        <v>45</v>
      </c>
      <c r="J445" t="s">
        <v>46</v>
      </c>
      <c r="K445" t="s">
        <v>32</v>
      </c>
      <c r="L445" t="s">
        <v>33</v>
      </c>
      <c r="M445">
        <v>4</v>
      </c>
      <c r="N445" t="s">
        <v>34</v>
      </c>
      <c r="O445" t="s">
        <v>35</v>
      </c>
      <c r="P445" t="s">
        <v>36</v>
      </c>
      <c r="Q445">
        <v>4</v>
      </c>
      <c r="R445" t="s">
        <v>68</v>
      </c>
      <c r="S445">
        <v>41</v>
      </c>
      <c r="T445" t="s">
        <v>97</v>
      </c>
      <c r="U445" t="s">
        <v>82</v>
      </c>
      <c r="V445" t="s">
        <v>38</v>
      </c>
      <c r="W445">
        <v>1</v>
      </c>
      <c r="X445" t="s">
        <v>57</v>
      </c>
      <c r="Y445">
        <v>2</v>
      </c>
      <c r="Z445" t="s">
        <v>51</v>
      </c>
      <c r="AA445" t="s">
        <v>40</v>
      </c>
      <c r="AB445">
        <v>2</v>
      </c>
    </row>
    <row r="446" spans="1:28" x14ac:dyDescent="0.3">
      <c r="A446">
        <v>445</v>
      </c>
      <c r="B446" t="s">
        <v>41</v>
      </c>
      <c r="C446" t="s">
        <v>42</v>
      </c>
      <c r="D446" t="s">
        <v>43</v>
      </c>
      <c r="E446">
        <v>48</v>
      </c>
      <c r="F446" t="s">
        <v>29</v>
      </c>
      <c r="G446" t="s">
        <v>58</v>
      </c>
      <c r="H446">
        <v>5096</v>
      </c>
      <c r="I446" t="s">
        <v>45</v>
      </c>
      <c r="J446" t="s">
        <v>46</v>
      </c>
      <c r="K446" t="s">
        <v>47</v>
      </c>
      <c r="L446" t="s">
        <v>48</v>
      </c>
      <c r="M446">
        <v>2</v>
      </c>
      <c r="N446" t="s">
        <v>49</v>
      </c>
      <c r="O446" t="s">
        <v>50</v>
      </c>
      <c r="P446" t="s">
        <v>36</v>
      </c>
      <c r="Q446">
        <v>3</v>
      </c>
      <c r="R446" t="s">
        <v>68</v>
      </c>
      <c r="S446">
        <v>30</v>
      </c>
      <c r="T446" t="s">
        <v>98</v>
      </c>
      <c r="U446" t="s">
        <v>36</v>
      </c>
      <c r="V446" t="s">
        <v>38</v>
      </c>
      <c r="W446">
        <v>1</v>
      </c>
      <c r="X446" t="s">
        <v>70</v>
      </c>
      <c r="Y446">
        <v>1</v>
      </c>
      <c r="Z446" t="s">
        <v>40</v>
      </c>
      <c r="AA446" t="s">
        <v>40</v>
      </c>
      <c r="AB446">
        <v>2</v>
      </c>
    </row>
    <row r="447" spans="1:28" x14ac:dyDescent="0.3">
      <c r="A447">
        <v>446</v>
      </c>
      <c r="B447" t="s">
        <v>26</v>
      </c>
      <c r="C447" t="s">
        <v>52</v>
      </c>
      <c r="D447" t="s">
        <v>53</v>
      </c>
      <c r="E447">
        <v>9</v>
      </c>
      <c r="F447" t="s">
        <v>29</v>
      </c>
      <c r="G447" t="s">
        <v>54</v>
      </c>
      <c r="H447">
        <v>1244</v>
      </c>
      <c r="I447" t="s">
        <v>31</v>
      </c>
      <c r="J447" t="s">
        <v>31</v>
      </c>
      <c r="K447" t="s">
        <v>32</v>
      </c>
      <c r="L447" t="s">
        <v>33</v>
      </c>
      <c r="M447">
        <v>4</v>
      </c>
      <c r="N447" t="s">
        <v>49</v>
      </c>
      <c r="O447" t="s">
        <v>50</v>
      </c>
      <c r="P447" t="s">
        <v>36</v>
      </c>
      <c r="Q447">
        <v>4</v>
      </c>
      <c r="R447" t="s">
        <v>60</v>
      </c>
      <c r="S447">
        <v>41</v>
      </c>
      <c r="T447" t="s">
        <v>97</v>
      </c>
      <c r="U447" t="s">
        <v>36</v>
      </c>
      <c r="V447" t="s">
        <v>69</v>
      </c>
      <c r="W447">
        <v>2</v>
      </c>
      <c r="X447" t="s">
        <v>57</v>
      </c>
      <c r="Y447">
        <v>1</v>
      </c>
      <c r="Z447" t="s">
        <v>51</v>
      </c>
      <c r="AA447" t="s">
        <v>40</v>
      </c>
      <c r="AB447">
        <v>1</v>
      </c>
    </row>
    <row r="448" spans="1:28" x14ac:dyDescent="0.3">
      <c r="A448">
        <v>447</v>
      </c>
      <c r="B448" t="s">
        <v>41</v>
      </c>
      <c r="C448" t="s">
        <v>27</v>
      </c>
      <c r="D448" t="s">
        <v>28</v>
      </c>
      <c r="E448">
        <v>36</v>
      </c>
      <c r="F448" t="s">
        <v>44</v>
      </c>
      <c r="G448" t="s">
        <v>63</v>
      </c>
      <c r="H448">
        <v>1842</v>
      </c>
      <c r="I448" t="s">
        <v>45</v>
      </c>
      <c r="J448" t="s">
        <v>46</v>
      </c>
      <c r="K448" t="s">
        <v>76</v>
      </c>
      <c r="L448" t="s">
        <v>77</v>
      </c>
      <c r="M448">
        <v>4</v>
      </c>
      <c r="N448" t="s">
        <v>49</v>
      </c>
      <c r="O448" t="s">
        <v>50</v>
      </c>
      <c r="P448" t="s">
        <v>36</v>
      </c>
      <c r="Q448">
        <v>4</v>
      </c>
      <c r="R448" t="s">
        <v>68</v>
      </c>
      <c r="S448">
        <v>34</v>
      </c>
      <c r="T448" t="s">
        <v>98</v>
      </c>
      <c r="U448" t="s">
        <v>36</v>
      </c>
      <c r="V448" t="s">
        <v>38</v>
      </c>
      <c r="W448">
        <v>1</v>
      </c>
      <c r="X448" t="s">
        <v>39</v>
      </c>
      <c r="Y448">
        <v>1</v>
      </c>
      <c r="Z448" t="s">
        <v>40</v>
      </c>
      <c r="AA448" t="s">
        <v>40</v>
      </c>
      <c r="AB448">
        <v>2</v>
      </c>
    </row>
    <row r="449" spans="1:28" x14ac:dyDescent="0.3">
      <c r="A449">
        <v>448</v>
      </c>
      <c r="B449" t="s">
        <v>26</v>
      </c>
      <c r="C449" t="s">
        <v>42</v>
      </c>
      <c r="D449" t="s">
        <v>43</v>
      </c>
      <c r="E449">
        <v>7</v>
      </c>
      <c r="F449" t="s">
        <v>44</v>
      </c>
      <c r="G449" t="s">
        <v>30</v>
      </c>
      <c r="H449">
        <v>2576</v>
      </c>
      <c r="I449" t="s">
        <v>45</v>
      </c>
      <c r="J449" t="s">
        <v>46</v>
      </c>
      <c r="K449" t="s">
        <v>47</v>
      </c>
      <c r="L449" t="s">
        <v>48</v>
      </c>
      <c r="M449">
        <v>2</v>
      </c>
      <c r="N449" t="s">
        <v>34</v>
      </c>
      <c r="O449" t="s">
        <v>35</v>
      </c>
      <c r="P449" t="s">
        <v>59</v>
      </c>
      <c r="Q449">
        <v>2</v>
      </c>
      <c r="R449" t="s">
        <v>37</v>
      </c>
      <c r="S449">
        <v>35</v>
      </c>
      <c r="T449" t="s">
        <v>98</v>
      </c>
      <c r="U449" t="s">
        <v>36</v>
      </c>
      <c r="V449" t="s">
        <v>38</v>
      </c>
      <c r="W449">
        <v>1</v>
      </c>
      <c r="X449" t="s">
        <v>39</v>
      </c>
      <c r="Y449">
        <v>1</v>
      </c>
      <c r="Z449" t="s">
        <v>51</v>
      </c>
      <c r="AA449" t="s">
        <v>40</v>
      </c>
      <c r="AB449">
        <v>1</v>
      </c>
    </row>
    <row r="450" spans="1:28" x14ac:dyDescent="0.3">
      <c r="A450">
        <v>449</v>
      </c>
      <c r="B450" t="s">
        <v>26</v>
      </c>
      <c r="C450" t="s">
        <v>83</v>
      </c>
      <c r="D450" t="s">
        <v>84</v>
      </c>
      <c r="E450">
        <v>12</v>
      </c>
      <c r="F450" t="s">
        <v>44</v>
      </c>
      <c r="G450" t="s">
        <v>58</v>
      </c>
      <c r="H450">
        <v>1424</v>
      </c>
      <c r="I450" t="s">
        <v>31</v>
      </c>
      <c r="J450" t="s">
        <v>31</v>
      </c>
      <c r="K450" t="s">
        <v>32</v>
      </c>
      <c r="L450" t="s">
        <v>33</v>
      </c>
      <c r="M450">
        <v>3</v>
      </c>
      <c r="N450" t="s">
        <v>49</v>
      </c>
      <c r="O450" t="s">
        <v>50</v>
      </c>
      <c r="P450" t="s">
        <v>36</v>
      </c>
      <c r="Q450">
        <v>4</v>
      </c>
      <c r="R450" t="s">
        <v>37</v>
      </c>
      <c r="S450">
        <v>55</v>
      </c>
      <c r="T450" t="s">
        <v>97</v>
      </c>
      <c r="U450" t="s">
        <v>36</v>
      </c>
      <c r="V450" t="s">
        <v>38</v>
      </c>
      <c r="W450">
        <v>1</v>
      </c>
      <c r="X450" t="s">
        <v>70</v>
      </c>
      <c r="Y450">
        <v>1</v>
      </c>
      <c r="Z450" t="s">
        <v>40</v>
      </c>
      <c r="AA450" t="s">
        <v>40</v>
      </c>
      <c r="AB450">
        <v>1</v>
      </c>
    </row>
    <row r="451" spans="1:28" x14ac:dyDescent="0.3">
      <c r="A451">
        <v>450</v>
      </c>
      <c r="B451" t="s">
        <v>41</v>
      </c>
      <c r="C451" t="s">
        <v>42</v>
      </c>
      <c r="D451" t="s">
        <v>43</v>
      </c>
      <c r="E451">
        <v>15</v>
      </c>
      <c r="F451" t="s">
        <v>62</v>
      </c>
      <c r="G451" t="s">
        <v>89</v>
      </c>
      <c r="H451">
        <v>1512</v>
      </c>
      <c r="I451" t="s">
        <v>71</v>
      </c>
      <c r="J451" t="s">
        <v>72</v>
      </c>
      <c r="K451" t="s">
        <v>47</v>
      </c>
      <c r="L451" t="s">
        <v>48</v>
      </c>
      <c r="M451">
        <v>3</v>
      </c>
      <c r="N451" t="s">
        <v>34</v>
      </c>
      <c r="O451" t="s">
        <v>75</v>
      </c>
      <c r="P451" t="s">
        <v>36</v>
      </c>
      <c r="Q451">
        <v>3</v>
      </c>
      <c r="R451" t="s">
        <v>60</v>
      </c>
      <c r="S451">
        <v>61</v>
      </c>
      <c r="T451" t="s">
        <v>95</v>
      </c>
      <c r="U451" t="s">
        <v>86</v>
      </c>
      <c r="V451" t="s">
        <v>38</v>
      </c>
      <c r="W451">
        <v>2</v>
      </c>
      <c r="X451" t="s">
        <v>39</v>
      </c>
      <c r="Y451">
        <v>1</v>
      </c>
      <c r="Z451" t="s">
        <v>51</v>
      </c>
      <c r="AA451" t="s">
        <v>40</v>
      </c>
      <c r="AB451">
        <v>2</v>
      </c>
    </row>
    <row r="452" spans="1:28" x14ac:dyDescent="0.3">
      <c r="A452">
        <v>451</v>
      </c>
      <c r="B452" t="s">
        <v>26</v>
      </c>
      <c r="C452" t="s">
        <v>52</v>
      </c>
      <c r="D452" t="s">
        <v>53</v>
      </c>
      <c r="E452">
        <v>36</v>
      </c>
      <c r="F452" t="s">
        <v>29</v>
      </c>
      <c r="G452" t="s">
        <v>67</v>
      </c>
      <c r="H452">
        <v>11054</v>
      </c>
      <c r="I452" t="s">
        <v>31</v>
      </c>
      <c r="J452" t="s">
        <v>31</v>
      </c>
      <c r="K452" t="s">
        <v>47</v>
      </c>
      <c r="L452" t="s">
        <v>48</v>
      </c>
      <c r="M452">
        <v>4</v>
      </c>
      <c r="N452" t="s">
        <v>34</v>
      </c>
      <c r="O452" t="s">
        <v>35</v>
      </c>
      <c r="P452" t="s">
        <v>36</v>
      </c>
      <c r="Q452">
        <v>2</v>
      </c>
      <c r="R452" t="s">
        <v>68</v>
      </c>
      <c r="S452">
        <v>30</v>
      </c>
      <c r="T452" t="s">
        <v>98</v>
      </c>
      <c r="U452" t="s">
        <v>36</v>
      </c>
      <c r="V452" t="s">
        <v>38</v>
      </c>
      <c r="W452">
        <v>1</v>
      </c>
      <c r="X452" t="s">
        <v>70</v>
      </c>
      <c r="Y452">
        <v>1</v>
      </c>
      <c r="Z452" t="s">
        <v>40</v>
      </c>
      <c r="AA452" t="s">
        <v>40</v>
      </c>
      <c r="AB452">
        <v>1</v>
      </c>
    </row>
    <row r="453" spans="1:28" x14ac:dyDescent="0.3">
      <c r="A453">
        <v>452</v>
      </c>
      <c r="B453" t="s">
        <v>26</v>
      </c>
      <c r="C453" t="s">
        <v>52</v>
      </c>
      <c r="D453" t="s">
        <v>53</v>
      </c>
      <c r="E453">
        <v>6</v>
      </c>
      <c r="F453" t="s">
        <v>44</v>
      </c>
      <c r="G453" t="s">
        <v>30</v>
      </c>
      <c r="H453">
        <v>518</v>
      </c>
      <c r="I453" t="s">
        <v>45</v>
      </c>
      <c r="J453" t="s">
        <v>46</v>
      </c>
      <c r="K453" t="s">
        <v>47</v>
      </c>
      <c r="L453" t="s">
        <v>48</v>
      </c>
      <c r="M453">
        <v>3</v>
      </c>
      <c r="N453" t="s">
        <v>49</v>
      </c>
      <c r="O453" t="s">
        <v>50</v>
      </c>
      <c r="P453" t="s">
        <v>36</v>
      </c>
      <c r="Q453">
        <v>1</v>
      </c>
      <c r="R453" t="s">
        <v>37</v>
      </c>
      <c r="S453">
        <v>29</v>
      </c>
      <c r="T453" t="s">
        <v>98</v>
      </c>
      <c r="U453" t="s">
        <v>36</v>
      </c>
      <c r="V453" t="s">
        <v>38</v>
      </c>
      <c r="W453">
        <v>1</v>
      </c>
      <c r="X453" t="s">
        <v>39</v>
      </c>
      <c r="Y453">
        <v>1</v>
      </c>
      <c r="Z453" t="s">
        <v>51</v>
      </c>
      <c r="AA453" t="s">
        <v>40</v>
      </c>
      <c r="AB453">
        <v>1</v>
      </c>
    </row>
    <row r="454" spans="1:28" x14ac:dyDescent="0.3">
      <c r="A454">
        <v>453</v>
      </c>
      <c r="B454" t="s">
        <v>26</v>
      </c>
      <c r="C454" t="s">
        <v>52</v>
      </c>
      <c r="D454" t="s">
        <v>53</v>
      </c>
      <c r="E454">
        <v>12</v>
      </c>
      <c r="F454" t="s">
        <v>81</v>
      </c>
      <c r="G454" t="s">
        <v>58</v>
      </c>
      <c r="H454">
        <v>2759</v>
      </c>
      <c r="I454" t="s">
        <v>45</v>
      </c>
      <c r="J454" t="s">
        <v>46</v>
      </c>
      <c r="K454" t="s">
        <v>32</v>
      </c>
      <c r="L454" t="s">
        <v>33</v>
      </c>
      <c r="M454">
        <v>2</v>
      </c>
      <c r="N454" t="s">
        <v>34</v>
      </c>
      <c r="O454" t="s">
        <v>35</v>
      </c>
      <c r="P454" t="s">
        <v>36</v>
      </c>
      <c r="Q454">
        <v>4</v>
      </c>
      <c r="R454" t="s">
        <v>60</v>
      </c>
      <c r="S454">
        <v>34</v>
      </c>
      <c r="T454" t="s">
        <v>98</v>
      </c>
      <c r="U454" t="s">
        <v>36</v>
      </c>
      <c r="V454" t="s">
        <v>38</v>
      </c>
      <c r="W454">
        <v>2</v>
      </c>
      <c r="X454" t="s">
        <v>39</v>
      </c>
      <c r="Y454">
        <v>1</v>
      </c>
      <c r="Z454" t="s">
        <v>51</v>
      </c>
      <c r="AA454" t="s">
        <v>40</v>
      </c>
      <c r="AB454">
        <v>1</v>
      </c>
    </row>
    <row r="455" spans="1:28" x14ac:dyDescent="0.3">
      <c r="A455">
        <v>454</v>
      </c>
      <c r="B455" t="s">
        <v>26</v>
      </c>
      <c r="C455" t="s">
        <v>52</v>
      </c>
      <c r="D455" t="s">
        <v>53</v>
      </c>
      <c r="E455">
        <v>24</v>
      </c>
      <c r="F455" t="s">
        <v>44</v>
      </c>
      <c r="G455" t="s">
        <v>67</v>
      </c>
      <c r="H455">
        <v>2670</v>
      </c>
      <c r="I455" t="s">
        <v>45</v>
      </c>
      <c r="J455" t="s">
        <v>46</v>
      </c>
      <c r="K455" t="s">
        <v>32</v>
      </c>
      <c r="L455" t="s">
        <v>33</v>
      </c>
      <c r="M455">
        <v>4</v>
      </c>
      <c r="N455" t="s">
        <v>34</v>
      </c>
      <c r="O455" t="s">
        <v>35</v>
      </c>
      <c r="P455" t="s">
        <v>36</v>
      </c>
      <c r="Q455">
        <v>4</v>
      </c>
      <c r="R455" t="s">
        <v>68</v>
      </c>
      <c r="S455">
        <v>35</v>
      </c>
      <c r="T455" t="s">
        <v>98</v>
      </c>
      <c r="U455" t="s">
        <v>36</v>
      </c>
      <c r="V455" t="s">
        <v>38</v>
      </c>
      <c r="W455">
        <v>1</v>
      </c>
      <c r="X455" t="s">
        <v>70</v>
      </c>
      <c r="Y455">
        <v>1</v>
      </c>
      <c r="Z455" t="s">
        <v>40</v>
      </c>
      <c r="AA455" t="s">
        <v>40</v>
      </c>
      <c r="AB455">
        <v>1</v>
      </c>
    </row>
    <row r="456" spans="1:28" x14ac:dyDescent="0.3">
      <c r="A456">
        <v>455</v>
      </c>
      <c r="B456" t="s">
        <v>41</v>
      </c>
      <c r="C456" t="s">
        <v>27</v>
      </c>
      <c r="D456" t="s">
        <v>28</v>
      </c>
      <c r="E456">
        <v>24</v>
      </c>
      <c r="F456" t="s">
        <v>44</v>
      </c>
      <c r="G456" t="s">
        <v>63</v>
      </c>
      <c r="H456">
        <v>4817</v>
      </c>
      <c r="I456" t="s">
        <v>45</v>
      </c>
      <c r="J456" t="s">
        <v>46</v>
      </c>
      <c r="K456" t="s">
        <v>55</v>
      </c>
      <c r="L456" t="s">
        <v>56</v>
      </c>
      <c r="M456">
        <v>2</v>
      </c>
      <c r="N456" t="s">
        <v>34</v>
      </c>
      <c r="O456" t="s">
        <v>35</v>
      </c>
      <c r="P456" t="s">
        <v>87</v>
      </c>
      <c r="Q456">
        <v>3</v>
      </c>
      <c r="R456" t="s">
        <v>60</v>
      </c>
      <c r="S456">
        <v>31</v>
      </c>
      <c r="T456" t="s">
        <v>98</v>
      </c>
      <c r="U456" t="s">
        <v>36</v>
      </c>
      <c r="V456" t="s">
        <v>38</v>
      </c>
      <c r="W456">
        <v>1</v>
      </c>
      <c r="X456" t="s">
        <v>39</v>
      </c>
      <c r="Y456">
        <v>1</v>
      </c>
      <c r="Z456" t="s">
        <v>40</v>
      </c>
      <c r="AA456" t="s">
        <v>40</v>
      </c>
      <c r="AB456">
        <v>2</v>
      </c>
    </row>
    <row r="457" spans="1:28" x14ac:dyDescent="0.3">
      <c r="A457">
        <v>456</v>
      </c>
      <c r="B457" t="s">
        <v>26</v>
      </c>
      <c r="C457" t="s">
        <v>52</v>
      </c>
      <c r="D457" t="s">
        <v>53</v>
      </c>
      <c r="E457">
        <v>24</v>
      </c>
      <c r="F457" t="s">
        <v>44</v>
      </c>
      <c r="G457" t="s">
        <v>67</v>
      </c>
      <c r="H457">
        <v>2679</v>
      </c>
      <c r="I457" t="s">
        <v>45</v>
      </c>
      <c r="J457" t="s">
        <v>46</v>
      </c>
      <c r="K457" t="s">
        <v>76</v>
      </c>
      <c r="L457" t="s">
        <v>77</v>
      </c>
      <c r="M457">
        <v>4</v>
      </c>
      <c r="N457" t="s">
        <v>49</v>
      </c>
      <c r="O457" t="s">
        <v>50</v>
      </c>
      <c r="P457" t="s">
        <v>36</v>
      </c>
      <c r="Q457">
        <v>1</v>
      </c>
      <c r="R457" t="s">
        <v>64</v>
      </c>
      <c r="S457">
        <v>29</v>
      </c>
      <c r="T457" t="s">
        <v>98</v>
      </c>
      <c r="U457" t="s">
        <v>36</v>
      </c>
      <c r="V457" t="s">
        <v>38</v>
      </c>
      <c r="W457">
        <v>1</v>
      </c>
      <c r="X457" t="s">
        <v>70</v>
      </c>
      <c r="Y457">
        <v>1</v>
      </c>
      <c r="Z457" t="s">
        <v>40</v>
      </c>
      <c r="AA457" t="s">
        <v>40</v>
      </c>
      <c r="AB457">
        <v>1</v>
      </c>
    </row>
    <row r="458" spans="1:28" x14ac:dyDescent="0.3">
      <c r="A458">
        <v>457</v>
      </c>
      <c r="B458" t="s">
        <v>26</v>
      </c>
      <c r="C458" t="s">
        <v>27</v>
      </c>
      <c r="D458" t="s">
        <v>28</v>
      </c>
      <c r="E458">
        <v>11</v>
      </c>
      <c r="F458" t="s">
        <v>29</v>
      </c>
      <c r="G458" t="s">
        <v>63</v>
      </c>
      <c r="H458">
        <v>3905</v>
      </c>
      <c r="I458" t="s">
        <v>45</v>
      </c>
      <c r="J458" t="s">
        <v>46</v>
      </c>
      <c r="K458" t="s">
        <v>47</v>
      </c>
      <c r="L458" t="s">
        <v>48</v>
      </c>
      <c r="M458">
        <v>2</v>
      </c>
      <c r="N458" t="s">
        <v>34</v>
      </c>
      <c r="O458" t="s">
        <v>35</v>
      </c>
      <c r="P458" t="s">
        <v>36</v>
      </c>
      <c r="Q458">
        <v>2</v>
      </c>
      <c r="R458" t="s">
        <v>37</v>
      </c>
      <c r="S458">
        <v>36</v>
      </c>
      <c r="T458" t="s">
        <v>98</v>
      </c>
      <c r="U458" t="s">
        <v>36</v>
      </c>
      <c r="V458" t="s">
        <v>69</v>
      </c>
      <c r="W458">
        <v>2</v>
      </c>
      <c r="X458" t="s">
        <v>39</v>
      </c>
      <c r="Y458">
        <v>2</v>
      </c>
      <c r="Z458" t="s">
        <v>51</v>
      </c>
      <c r="AA458" t="s">
        <v>40</v>
      </c>
      <c r="AB458">
        <v>1</v>
      </c>
    </row>
    <row r="459" spans="1:28" x14ac:dyDescent="0.3">
      <c r="A459">
        <v>458</v>
      </c>
      <c r="B459" t="s">
        <v>41</v>
      </c>
      <c r="C459" t="s">
        <v>27</v>
      </c>
      <c r="D459" t="s">
        <v>28</v>
      </c>
      <c r="E459">
        <v>12</v>
      </c>
      <c r="F459" t="s">
        <v>44</v>
      </c>
      <c r="G459" t="s">
        <v>67</v>
      </c>
      <c r="H459">
        <v>3386</v>
      </c>
      <c r="I459" t="s">
        <v>45</v>
      </c>
      <c r="J459" t="s">
        <v>46</v>
      </c>
      <c r="K459" t="s">
        <v>32</v>
      </c>
      <c r="L459" t="s">
        <v>33</v>
      </c>
      <c r="M459">
        <v>3</v>
      </c>
      <c r="N459" t="s">
        <v>34</v>
      </c>
      <c r="O459" t="s">
        <v>35</v>
      </c>
      <c r="P459" t="s">
        <v>36</v>
      </c>
      <c r="Q459">
        <v>4</v>
      </c>
      <c r="R459" t="s">
        <v>64</v>
      </c>
      <c r="S459">
        <v>35</v>
      </c>
      <c r="T459" t="s">
        <v>98</v>
      </c>
      <c r="U459" t="s">
        <v>36</v>
      </c>
      <c r="V459" t="s">
        <v>61</v>
      </c>
      <c r="W459">
        <v>1</v>
      </c>
      <c r="X459" t="s">
        <v>39</v>
      </c>
      <c r="Y459">
        <v>1</v>
      </c>
      <c r="Z459" t="s">
        <v>40</v>
      </c>
      <c r="AA459" t="s">
        <v>40</v>
      </c>
      <c r="AB459">
        <v>2</v>
      </c>
    </row>
    <row r="460" spans="1:28" x14ac:dyDescent="0.3">
      <c r="A460">
        <v>459</v>
      </c>
      <c r="B460" t="s">
        <v>26</v>
      </c>
      <c r="C460" t="s">
        <v>27</v>
      </c>
      <c r="D460" t="s">
        <v>28</v>
      </c>
      <c r="E460">
        <v>6</v>
      </c>
      <c r="F460" t="s">
        <v>44</v>
      </c>
      <c r="G460" t="s">
        <v>88</v>
      </c>
      <c r="H460">
        <v>343</v>
      </c>
      <c r="I460" t="s">
        <v>45</v>
      </c>
      <c r="J460" t="s">
        <v>46</v>
      </c>
      <c r="K460" t="s">
        <v>76</v>
      </c>
      <c r="L460" t="s">
        <v>77</v>
      </c>
      <c r="M460">
        <v>4</v>
      </c>
      <c r="N460" t="s">
        <v>49</v>
      </c>
      <c r="O460" t="s">
        <v>50</v>
      </c>
      <c r="P460" t="s">
        <v>36</v>
      </c>
      <c r="Q460">
        <v>1</v>
      </c>
      <c r="R460" t="s">
        <v>37</v>
      </c>
      <c r="S460">
        <v>27</v>
      </c>
      <c r="T460" t="s">
        <v>98</v>
      </c>
      <c r="U460" t="s">
        <v>36</v>
      </c>
      <c r="V460" t="s">
        <v>38</v>
      </c>
      <c r="W460">
        <v>1</v>
      </c>
      <c r="X460" t="s">
        <v>39</v>
      </c>
      <c r="Y460">
        <v>1</v>
      </c>
      <c r="Z460" t="s">
        <v>51</v>
      </c>
      <c r="AA460" t="s">
        <v>40</v>
      </c>
      <c r="AB460">
        <v>1</v>
      </c>
    </row>
    <row r="461" spans="1:28" x14ac:dyDescent="0.3">
      <c r="A461">
        <v>460</v>
      </c>
      <c r="B461" t="s">
        <v>26</v>
      </c>
      <c r="C461" t="s">
        <v>52</v>
      </c>
      <c r="D461" t="s">
        <v>53</v>
      </c>
      <c r="E461">
        <v>18</v>
      </c>
      <c r="F461" t="s">
        <v>44</v>
      </c>
      <c r="G461" t="s">
        <v>30</v>
      </c>
      <c r="H461">
        <v>4594</v>
      </c>
      <c r="I461" t="s">
        <v>45</v>
      </c>
      <c r="J461" t="s">
        <v>46</v>
      </c>
      <c r="K461" t="s">
        <v>76</v>
      </c>
      <c r="L461" t="s">
        <v>77</v>
      </c>
      <c r="M461">
        <v>3</v>
      </c>
      <c r="N461" t="s">
        <v>34</v>
      </c>
      <c r="O461" t="s">
        <v>35</v>
      </c>
      <c r="P461" t="s">
        <v>36</v>
      </c>
      <c r="Q461">
        <v>2</v>
      </c>
      <c r="R461" t="s">
        <v>68</v>
      </c>
      <c r="S461">
        <v>32</v>
      </c>
      <c r="T461" t="s">
        <v>98</v>
      </c>
      <c r="U461" t="s">
        <v>36</v>
      </c>
      <c r="V461" t="s">
        <v>38</v>
      </c>
      <c r="W461">
        <v>1</v>
      </c>
      <c r="X461" t="s">
        <v>39</v>
      </c>
      <c r="Y461">
        <v>1</v>
      </c>
      <c r="Z461" t="s">
        <v>40</v>
      </c>
      <c r="AA461" t="s">
        <v>40</v>
      </c>
      <c r="AB461">
        <v>1</v>
      </c>
    </row>
    <row r="462" spans="1:28" x14ac:dyDescent="0.3">
      <c r="A462">
        <v>461</v>
      </c>
      <c r="B462" t="s">
        <v>26</v>
      </c>
      <c r="C462" t="s">
        <v>27</v>
      </c>
      <c r="D462" t="s">
        <v>28</v>
      </c>
      <c r="E462">
        <v>36</v>
      </c>
      <c r="F462" t="s">
        <v>44</v>
      </c>
      <c r="G462" t="s">
        <v>58</v>
      </c>
      <c r="H462">
        <v>3620</v>
      </c>
      <c r="I462" t="s">
        <v>45</v>
      </c>
      <c r="J462" t="s">
        <v>46</v>
      </c>
      <c r="K462" t="s">
        <v>47</v>
      </c>
      <c r="L462" t="s">
        <v>48</v>
      </c>
      <c r="M462">
        <v>1</v>
      </c>
      <c r="N462" t="s">
        <v>34</v>
      </c>
      <c r="O462" t="s">
        <v>35</v>
      </c>
      <c r="P462" t="s">
        <v>59</v>
      </c>
      <c r="Q462">
        <v>2</v>
      </c>
      <c r="R462" t="s">
        <v>60</v>
      </c>
      <c r="S462">
        <v>37</v>
      </c>
      <c r="T462" t="s">
        <v>98</v>
      </c>
      <c r="U462" t="s">
        <v>36</v>
      </c>
      <c r="V462" t="s">
        <v>38</v>
      </c>
      <c r="W462">
        <v>1</v>
      </c>
      <c r="X462" t="s">
        <v>39</v>
      </c>
      <c r="Y462">
        <v>2</v>
      </c>
      <c r="Z462" t="s">
        <v>51</v>
      </c>
      <c r="AA462" t="s">
        <v>40</v>
      </c>
      <c r="AB462">
        <v>1</v>
      </c>
    </row>
    <row r="463" spans="1:28" x14ac:dyDescent="0.3">
      <c r="A463">
        <v>462</v>
      </c>
      <c r="B463" t="s">
        <v>26</v>
      </c>
      <c r="C463" t="s">
        <v>27</v>
      </c>
      <c r="D463" t="s">
        <v>28</v>
      </c>
      <c r="E463">
        <v>15</v>
      </c>
      <c r="F463" t="s">
        <v>44</v>
      </c>
      <c r="G463" t="s">
        <v>63</v>
      </c>
      <c r="H463">
        <v>1721</v>
      </c>
      <c r="I463" t="s">
        <v>45</v>
      </c>
      <c r="J463" t="s">
        <v>46</v>
      </c>
      <c r="K463" t="s">
        <v>76</v>
      </c>
      <c r="L463" t="s">
        <v>77</v>
      </c>
      <c r="M463">
        <v>2</v>
      </c>
      <c r="N463" t="s">
        <v>34</v>
      </c>
      <c r="O463" t="s">
        <v>35</v>
      </c>
      <c r="P463" t="s">
        <v>36</v>
      </c>
      <c r="Q463">
        <v>3</v>
      </c>
      <c r="R463" t="s">
        <v>37</v>
      </c>
      <c r="S463">
        <v>36</v>
      </c>
      <c r="T463" t="s">
        <v>98</v>
      </c>
      <c r="U463" t="s">
        <v>36</v>
      </c>
      <c r="V463" t="s">
        <v>38</v>
      </c>
      <c r="W463">
        <v>1</v>
      </c>
      <c r="X463" t="s">
        <v>39</v>
      </c>
      <c r="Y463">
        <v>1</v>
      </c>
      <c r="Z463" t="s">
        <v>51</v>
      </c>
      <c r="AA463" t="s">
        <v>40</v>
      </c>
      <c r="AB463">
        <v>1</v>
      </c>
    </row>
    <row r="464" spans="1:28" x14ac:dyDescent="0.3">
      <c r="A464">
        <v>463</v>
      </c>
      <c r="B464" t="s">
        <v>26</v>
      </c>
      <c r="C464" t="s">
        <v>42</v>
      </c>
      <c r="D464" t="s">
        <v>43</v>
      </c>
      <c r="E464">
        <v>12</v>
      </c>
      <c r="F464" t="s">
        <v>44</v>
      </c>
      <c r="G464" t="s">
        <v>58</v>
      </c>
      <c r="H464">
        <v>3017</v>
      </c>
      <c r="I464" t="s">
        <v>45</v>
      </c>
      <c r="J464" t="s">
        <v>46</v>
      </c>
      <c r="K464" t="s">
        <v>76</v>
      </c>
      <c r="L464" t="s">
        <v>77</v>
      </c>
      <c r="M464">
        <v>3</v>
      </c>
      <c r="N464" t="s">
        <v>49</v>
      </c>
      <c r="O464" t="s">
        <v>50</v>
      </c>
      <c r="P464" t="s">
        <v>36</v>
      </c>
      <c r="Q464">
        <v>1</v>
      </c>
      <c r="R464" t="s">
        <v>37</v>
      </c>
      <c r="S464">
        <v>34</v>
      </c>
      <c r="T464" t="s">
        <v>98</v>
      </c>
      <c r="U464" t="s">
        <v>36</v>
      </c>
      <c r="V464" t="s">
        <v>69</v>
      </c>
      <c r="W464">
        <v>1</v>
      </c>
      <c r="X464" t="s">
        <v>70</v>
      </c>
      <c r="Y464">
        <v>1</v>
      </c>
      <c r="Z464" t="s">
        <v>51</v>
      </c>
      <c r="AA464" t="s">
        <v>40</v>
      </c>
      <c r="AB464">
        <v>1</v>
      </c>
    </row>
    <row r="465" spans="1:28" x14ac:dyDescent="0.3">
      <c r="A465">
        <v>464</v>
      </c>
      <c r="B465" t="s">
        <v>26</v>
      </c>
      <c r="C465" t="s">
        <v>42</v>
      </c>
      <c r="D465" t="s">
        <v>43</v>
      </c>
      <c r="E465">
        <v>12</v>
      </c>
      <c r="F465" t="s">
        <v>44</v>
      </c>
      <c r="G465" t="s">
        <v>92</v>
      </c>
      <c r="H465">
        <v>754</v>
      </c>
      <c r="I465" t="s">
        <v>31</v>
      </c>
      <c r="J465" t="s">
        <v>31</v>
      </c>
      <c r="K465" t="s">
        <v>32</v>
      </c>
      <c r="L465" t="s">
        <v>33</v>
      </c>
      <c r="M465">
        <v>4</v>
      </c>
      <c r="N465" t="s">
        <v>34</v>
      </c>
      <c r="O465" t="s">
        <v>35</v>
      </c>
      <c r="P465" t="s">
        <v>36</v>
      </c>
      <c r="Q465">
        <v>4</v>
      </c>
      <c r="R465" t="s">
        <v>60</v>
      </c>
      <c r="S465">
        <v>38</v>
      </c>
      <c r="T465" t="s">
        <v>98</v>
      </c>
      <c r="U465" t="s">
        <v>36</v>
      </c>
      <c r="V465" t="s">
        <v>38</v>
      </c>
      <c r="W465">
        <v>2</v>
      </c>
      <c r="X465" t="s">
        <v>39</v>
      </c>
      <c r="Y465">
        <v>1</v>
      </c>
      <c r="Z465" t="s">
        <v>51</v>
      </c>
      <c r="AA465" t="s">
        <v>40</v>
      </c>
      <c r="AB465">
        <v>1</v>
      </c>
    </row>
    <row r="466" spans="1:28" x14ac:dyDescent="0.3">
      <c r="A466">
        <v>465</v>
      </c>
      <c r="B466" t="s">
        <v>26</v>
      </c>
      <c r="C466" t="s">
        <v>52</v>
      </c>
      <c r="D466" t="s">
        <v>53</v>
      </c>
      <c r="E466">
        <v>18</v>
      </c>
      <c r="F466" t="s">
        <v>44</v>
      </c>
      <c r="G466" t="s">
        <v>78</v>
      </c>
      <c r="H466">
        <v>1950</v>
      </c>
      <c r="I466" t="s">
        <v>45</v>
      </c>
      <c r="J466" t="s">
        <v>46</v>
      </c>
      <c r="K466" t="s">
        <v>55</v>
      </c>
      <c r="L466" t="s">
        <v>56</v>
      </c>
      <c r="M466">
        <v>4</v>
      </c>
      <c r="N466" t="s">
        <v>34</v>
      </c>
      <c r="O466" t="s">
        <v>35</v>
      </c>
      <c r="P466" t="s">
        <v>36</v>
      </c>
      <c r="Q466">
        <v>1</v>
      </c>
      <c r="R466" t="s">
        <v>68</v>
      </c>
      <c r="S466">
        <v>34</v>
      </c>
      <c r="T466" t="s">
        <v>98</v>
      </c>
      <c r="U466" t="s">
        <v>86</v>
      </c>
      <c r="V466" t="s">
        <v>38</v>
      </c>
      <c r="W466">
        <v>2</v>
      </c>
      <c r="X466" t="s">
        <v>39</v>
      </c>
      <c r="Y466">
        <v>1</v>
      </c>
      <c r="Z466" t="s">
        <v>40</v>
      </c>
      <c r="AA466" t="s">
        <v>40</v>
      </c>
      <c r="AB466">
        <v>1</v>
      </c>
    </row>
    <row r="467" spans="1:28" x14ac:dyDescent="0.3">
      <c r="A467">
        <v>466</v>
      </c>
      <c r="B467" t="s">
        <v>26</v>
      </c>
      <c r="C467" t="s">
        <v>27</v>
      </c>
      <c r="D467" t="s">
        <v>28</v>
      </c>
      <c r="E467">
        <v>24</v>
      </c>
      <c r="F467" t="s">
        <v>44</v>
      </c>
      <c r="G467" t="s">
        <v>67</v>
      </c>
      <c r="H467">
        <v>2924</v>
      </c>
      <c r="I467" t="s">
        <v>45</v>
      </c>
      <c r="J467" t="s">
        <v>46</v>
      </c>
      <c r="K467" t="s">
        <v>47</v>
      </c>
      <c r="L467" t="s">
        <v>48</v>
      </c>
      <c r="M467">
        <v>3</v>
      </c>
      <c r="N467" t="s">
        <v>34</v>
      </c>
      <c r="O467" t="s">
        <v>35</v>
      </c>
      <c r="P467" t="s">
        <v>59</v>
      </c>
      <c r="Q467">
        <v>4</v>
      </c>
      <c r="R467" t="s">
        <v>64</v>
      </c>
      <c r="S467">
        <v>63</v>
      </c>
      <c r="T467" t="s">
        <v>95</v>
      </c>
      <c r="U467" t="s">
        <v>82</v>
      </c>
      <c r="V467" t="s">
        <v>38</v>
      </c>
      <c r="W467">
        <v>1</v>
      </c>
      <c r="X467" t="s">
        <v>39</v>
      </c>
      <c r="Y467">
        <v>2</v>
      </c>
      <c r="Z467" t="s">
        <v>40</v>
      </c>
      <c r="AA467" t="s">
        <v>40</v>
      </c>
      <c r="AB467">
        <v>1</v>
      </c>
    </row>
    <row r="468" spans="1:28" x14ac:dyDescent="0.3">
      <c r="A468">
        <v>467</v>
      </c>
      <c r="B468" t="s">
        <v>41</v>
      </c>
      <c r="C468" t="s">
        <v>27</v>
      </c>
      <c r="D468" t="s">
        <v>28</v>
      </c>
      <c r="E468">
        <v>24</v>
      </c>
      <c r="F468" t="s">
        <v>62</v>
      </c>
      <c r="G468" t="s">
        <v>30</v>
      </c>
      <c r="H468">
        <v>1659</v>
      </c>
      <c r="I468" t="s">
        <v>45</v>
      </c>
      <c r="J468" t="s">
        <v>46</v>
      </c>
      <c r="K468" t="s">
        <v>76</v>
      </c>
      <c r="L468" t="s">
        <v>77</v>
      </c>
      <c r="M468">
        <v>4</v>
      </c>
      <c r="N468" t="s">
        <v>49</v>
      </c>
      <c r="O468" t="s">
        <v>50</v>
      </c>
      <c r="P468" t="s">
        <v>36</v>
      </c>
      <c r="Q468">
        <v>2</v>
      </c>
      <c r="R468" t="s">
        <v>68</v>
      </c>
      <c r="S468">
        <v>29</v>
      </c>
      <c r="T468" t="s">
        <v>98</v>
      </c>
      <c r="U468" t="s">
        <v>36</v>
      </c>
      <c r="V468" t="s">
        <v>69</v>
      </c>
      <c r="W468">
        <v>1</v>
      </c>
      <c r="X468" t="s">
        <v>57</v>
      </c>
      <c r="Y468">
        <v>1</v>
      </c>
      <c r="Z468" t="s">
        <v>40</v>
      </c>
      <c r="AA468" t="s">
        <v>40</v>
      </c>
      <c r="AB468">
        <v>2</v>
      </c>
    </row>
    <row r="469" spans="1:28" x14ac:dyDescent="0.3">
      <c r="A469">
        <v>468</v>
      </c>
      <c r="B469" t="s">
        <v>26</v>
      </c>
      <c r="C469" t="s">
        <v>52</v>
      </c>
      <c r="D469" t="s">
        <v>53</v>
      </c>
      <c r="E469">
        <v>48</v>
      </c>
      <c r="F469" t="s">
        <v>62</v>
      </c>
      <c r="G469" t="s">
        <v>30</v>
      </c>
      <c r="H469">
        <v>7238</v>
      </c>
      <c r="I469" t="s">
        <v>31</v>
      </c>
      <c r="J469" t="s">
        <v>31</v>
      </c>
      <c r="K469" t="s">
        <v>32</v>
      </c>
      <c r="L469" t="s">
        <v>33</v>
      </c>
      <c r="M469">
        <v>3</v>
      </c>
      <c r="N469" t="s">
        <v>34</v>
      </c>
      <c r="O469" t="s">
        <v>35</v>
      </c>
      <c r="P469" t="s">
        <v>36</v>
      </c>
      <c r="Q469">
        <v>3</v>
      </c>
      <c r="R469" t="s">
        <v>68</v>
      </c>
      <c r="S469">
        <v>32</v>
      </c>
      <c r="T469" t="s">
        <v>98</v>
      </c>
      <c r="U469" t="s">
        <v>82</v>
      </c>
      <c r="V469" t="s">
        <v>38</v>
      </c>
      <c r="W469">
        <v>2</v>
      </c>
      <c r="X469" t="s">
        <v>39</v>
      </c>
      <c r="Y469">
        <v>2</v>
      </c>
      <c r="Z469" t="s">
        <v>51</v>
      </c>
      <c r="AA469" t="s">
        <v>40</v>
      </c>
      <c r="AB469">
        <v>1</v>
      </c>
    </row>
    <row r="470" spans="1:28" x14ac:dyDescent="0.3">
      <c r="A470">
        <v>469</v>
      </c>
      <c r="B470" t="s">
        <v>26</v>
      </c>
      <c r="C470" t="s">
        <v>52</v>
      </c>
      <c r="D470" t="s">
        <v>53</v>
      </c>
      <c r="E470">
        <v>33</v>
      </c>
      <c r="F470" t="s">
        <v>62</v>
      </c>
      <c r="G470" t="s">
        <v>78</v>
      </c>
      <c r="H470">
        <v>2764</v>
      </c>
      <c r="I470" t="s">
        <v>45</v>
      </c>
      <c r="J470" t="s">
        <v>46</v>
      </c>
      <c r="K470" t="s">
        <v>47</v>
      </c>
      <c r="L470" t="s">
        <v>48</v>
      </c>
      <c r="M470">
        <v>2</v>
      </c>
      <c r="N470" t="s">
        <v>49</v>
      </c>
      <c r="O470" t="s">
        <v>50</v>
      </c>
      <c r="P470" t="s">
        <v>36</v>
      </c>
      <c r="Q470">
        <v>2</v>
      </c>
      <c r="R470" t="s">
        <v>68</v>
      </c>
      <c r="S470">
        <v>26</v>
      </c>
      <c r="T470" t="s">
        <v>98</v>
      </c>
      <c r="U470" t="s">
        <v>36</v>
      </c>
      <c r="V470" t="s">
        <v>38</v>
      </c>
      <c r="W470">
        <v>2</v>
      </c>
      <c r="X470" t="s">
        <v>39</v>
      </c>
      <c r="Y470">
        <v>1</v>
      </c>
      <c r="Z470" t="s">
        <v>40</v>
      </c>
      <c r="AA470" t="s">
        <v>40</v>
      </c>
      <c r="AB470">
        <v>1</v>
      </c>
    </row>
    <row r="471" spans="1:28" x14ac:dyDescent="0.3">
      <c r="A471">
        <v>470</v>
      </c>
      <c r="B471" t="s">
        <v>26</v>
      </c>
      <c r="C471" t="s">
        <v>52</v>
      </c>
      <c r="D471" t="s">
        <v>53</v>
      </c>
      <c r="E471">
        <v>24</v>
      </c>
      <c r="F471" t="s">
        <v>62</v>
      </c>
      <c r="G471" t="s">
        <v>67</v>
      </c>
      <c r="H471">
        <v>4679</v>
      </c>
      <c r="I471" t="s">
        <v>45</v>
      </c>
      <c r="J471" t="s">
        <v>46</v>
      </c>
      <c r="K471" t="s">
        <v>55</v>
      </c>
      <c r="L471" t="s">
        <v>56</v>
      </c>
      <c r="M471">
        <v>3</v>
      </c>
      <c r="N471" t="s">
        <v>34</v>
      </c>
      <c r="O471" t="s">
        <v>35</v>
      </c>
      <c r="P471" t="s">
        <v>36</v>
      </c>
      <c r="Q471">
        <v>3</v>
      </c>
      <c r="R471" t="s">
        <v>68</v>
      </c>
      <c r="S471">
        <v>35</v>
      </c>
      <c r="T471" t="s">
        <v>98</v>
      </c>
      <c r="U471" t="s">
        <v>36</v>
      </c>
      <c r="V471" t="s">
        <v>38</v>
      </c>
      <c r="W471">
        <v>2</v>
      </c>
      <c r="X471" t="s">
        <v>57</v>
      </c>
      <c r="Y471">
        <v>1</v>
      </c>
      <c r="Z471" t="s">
        <v>40</v>
      </c>
      <c r="AA471" t="s">
        <v>40</v>
      </c>
      <c r="AB471">
        <v>1</v>
      </c>
    </row>
    <row r="472" spans="1:28" x14ac:dyDescent="0.3">
      <c r="A472">
        <v>471</v>
      </c>
      <c r="B472" t="s">
        <v>41</v>
      </c>
      <c r="C472" t="s">
        <v>42</v>
      </c>
      <c r="D472" t="s">
        <v>43</v>
      </c>
      <c r="E472">
        <v>24</v>
      </c>
      <c r="F472" t="s">
        <v>44</v>
      </c>
      <c r="G472" t="s">
        <v>30</v>
      </c>
      <c r="H472">
        <v>3092</v>
      </c>
      <c r="I472" t="s">
        <v>79</v>
      </c>
      <c r="J472" t="s">
        <v>80</v>
      </c>
      <c r="K472" t="s">
        <v>76</v>
      </c>
      <c r="L472" t="s">
        <v>77</v>
      </c>
      <c r="M472">
        <v>3</v>
      </c>
      <c r="N472" t="s">
        <v>34</v>
      </c>
      <c r="O472" t="s">
        <v>75</v>
      </c>
      <c r="P472" t="s">
        <v>36</v>
      </c>
      <c r="Q472">
        <v>2</v>
      </c>
      <c r="R472" t="s">
        <v>68</v>
      </c>
      <c r="S472">
        <v>22</v>
      </c>
      <c r="T472" t="s">
        <v>96</v>
      </c>
      <c r="U472" t="s">
        <v>36</v>
      </c>
      <c r="V472" t="s">
        <v>69</v>
      </c>
      <c r="W472">
        <v>1</v>
      </c>
      <c r="X472" t="s">
        <v>39</v>
      </c>
      <c r="Y472">
        <v>1</v>
      </c>
      <c r="Z472" t="s">
        <v>40</v>
      </c>
      <c r="AA472" t="s">
        <v>40</v>
      </c>
      <c r="AB472">
        <v>2</v>
      </c>
    </row>
    <row r="473" spans="1:28" x14ac:dyDescent="0.3">
      <c r="A473">
        <v>472</v>
      </c>
      <c r="B473" t="s">
        <v>41</v>
      </c>
      <c r="C473" t="s">
        <v>27</v>
      </c>
      <c r="D473" t="s">
        <v>28</v>
      </c>
      <c r="E473">
        <v>6</v>
      </c>
      <c r="F473" t="s">
        <v>44</v>
      </c>
      <c r="G473" t="s">
        <v>54</v>
      </c>
      <c r="H473">
        <v>448</v>
      </c>
      <c r="I473" t="s">
        <v>45</v>
      </c>
      <c r="J473" t="s">
        <v>46</v>
      </c>
      <c r="K473" t="s">
        <v>76</v>
      </c>
      <c r="L473" t="s">
        <v>77</v>
      </c>
      <c r="M473">
        <v>4</v>
      </c>
      <c r="N473" t="s">
        <v>49</v>
      </c>
      <c r="O473" t="s">
        <v>50</v>
      </c>
      <c r="P473" t="s">
        <v>36</v>
      </c>
      <c r="Q473">
        <v>4</v>
      </c>
      <c r="R473" t="s">
        <v>60</v>
      </c>
      <c r="S473">
        <v>23</v>
      </c>
      <c r="T473" t="s">
        <v>96</v>
      </c>
      <c r="U473" t="s">
        <v>36</v>
      </c>
      <c r="V473" t="s">
        <v>38</v>
      </c>
      <c r="W473">
        <v>1</v>
      </c>
      <c r="X473" t="s">
        <v>39</v>
      </c>
      <c r="Y473">
        <v>1</v>
      </c>
      <c r="Z473" t="s">
        <v>51</v>
      </c>
      <c r="AA473" t="s">
        <v>40</v>
      </c>
      <c r="AB473">
        <v>2</v>
      </c>
    </row>
    <row r="474" spans="1:28" x14ac:dyDescent="0.3">
      <c r="A474">
        <v>473</v>
      </c>
      <c r="B474" t="s">
        <v>41</v>
      </c>
      <c r="C474" t="s">
        <v>27</v>
      </c>
      <c r="D474" t="s">
        <v>28</v>
      </c>
      <c r="E474">
        <v>9</v>
      </c>
      <c r="F474" t="s">
        <v>44</v>
      </c>
      <c r="G474" t="s">
        <v>63</v>
      </c>
      <c r="H474">
        <v>654</v>
      </c>
      <c r="I474" t="s">
        <v>45</v>
      </c>
      <c r="J474" t="s">
        <v>46</v>
      </c>
      <c r="K474" t="s">
        <v>47</v>
      </c>
      <c r="L474" t="s">
        <v>48</v>
      </c>
      <c r="M474">
        <v>4</v>
      </c>
      <c r="N474" t="s">
        <v>34</v>
      </c>
      <c r="O474" t="s">
        <v>35</v>
      </c>
      <c r="P474" t="s">
        <v>36</v>
      </c>
      <c r="Q474">
        <v>3</v>
      </c>
      <c r="R474" t="s">
        <v>68</v>
      </c>
      <c r="S474">
        <v>28</v>
      </c>
      <c r="T474" t="s">
        <v>98</v>
      </c>
      <c r="U474" t="s">
        <v>36</v>
      </c>
      <c r="V474" t="s">
        <v>38</v>
      </c>
      <c r="W474">
        <v>1</v>
      </c>
      <c r="X474" t="s">
        <v>57</v>
      </c>
      <c r="Y474">
        <v>1</v>
      </c>
      <c r="Z474" t="s">
        <v>51</v>
      </c>
      <c r="AA474" t="s">
        <v>40</v>
      </c>
      <c r="AB474">
        <v>2</v>
      </c>
    </row>
    <row r="475" spans="1:28" x14ac:dyDescent="0.3">
      <c r="A475">
        <v>474</v>
      </c>
      <c r="B475" t="s">
        <v>26</v>
      </c>
      <c r="C475" t="s">
        <v>52</v>
      </c>
      <c r="D475" t="s">
        <v>53</v>
      </c>
      <c r="E475">
        <v>6</v>
      </c>
      <c r="F475" t="s">
        <v>44</v>
      </c>
      <c r="G475" t="s">
        <v>92</v>
      </c>
      <c r="H475">
        <v>1238</v>
      </c>
      <c r="I475" t="s">
        <v>31</v>
      </c>
      <c r="J475" t="s">
        <v>31</v>
      </c>
      <c r="K475" t="s">
        <v>74</v>
      </c>
      <c r="L475" t="s">
        <v>74</v>
      </c>
      <c r="M475">
        <v>4</v>
      </c>
      <c r="N475" t="s">
        <v>34</v>
      </c>
      <c r="O475" t="s">
        <v>35</v>
      </c>
      <c r="P475" t="s">
        <v>36</v>
      </c>
      <c r="Q475">
        <v>4</v>
      </c>
      <c r="R475" t="s">
        <v>60</v>
      </c>
      <c r="S475">
        <v>36</v>
      </c>
      <c r="T475" t="s">
        <v>98</v>
      </c>
      <c r="U475" t="s">
        <v>36</v>
      </c>
      <c r="V475" t="s">
        <v>38</v>
      </c>
      <c r="W475">
        <v>1</v>
      </c>
      <c r="X475" t="s">
        <v>70</v>
      </c>
      <c r="Y475">
        <v>2</v>
      </c>
      <c r="Z475" t="s">
        <v>40</v>
      </c>
      <c r="AA475" t="s">
        <v>40</v>
      </c>
      <c r="AB475">
        <v>1</v>
      </c>
    </row>
    <row r="476" spans="1:28" x14ac:dyDescent="0.3">
      <c r="A476">
        <v>475</v>
      </c>
      <c r="B476" t="s">
        <v>41</v>
      </c>
      <c r="C476" t="s">
        <v>42</v>
      </c>
      <c r="D476" t="s">
        <v>43</v>
      </c>
      <c r="E476">
        <v>18</v>
      </c>
      <c r="F476" t="s">
        <v>29</v>
      </c>
      <c r="G476" t="s">
        <v>30</v>
      </c>
      <c r="H476">
        <v>1245</v>
      </c>
      <c r="I476" t="s">
        <v>45</v>
      </c>
      <c r="J476" t="s">
        <v>46</v>
      </c>
      <c r="K476" t="s">
        <v>47</v>
      </c>
      <c r="L476" t="s">
        <v>48</v>
      </c>
      <c r="M476">
        <v>4</v>
      </c>
      <c r="N476" t="s">
        <v>34</v>
      </c>
      <c r="O476" t="s">
        <v>75</v>
      </c>
      <c r="P476" t="s">
        <v>36</v>
      </c>
      <c r="Q476">
        <v>2</v>
      </c>
      <c r="R476" t="s">
        <v>68</v>
      </c>
      <c r="S476">
        <v>33</v>
      </c>
      <c r="T476" t="s">
        <v>98</v>
      </c>
      <c r="U476" t="s">
        <v>36</v>
      </c>
      <c r="V476" t="s">
        <v>38</v>
      </c>
      <c r="W476">
        <v>1</v>
      </c>
      <c r="X476" t="s">
        <v>39</v>
      </c>
      <c r="Y476">
        <v>1</v>
      </c>
      <c r="Z476" t="s">
        <v>51</v>
      </c>
      <c r="AA476" t="s">
        <v>40</v>
      </c>
      <c r="AB476">
        <v>2</v>
      </c>
    </row>
    <row r="477" spans="1:28" x14ac:dyDescent="0.3">
      <c r="A477">
        <v>476</v>
      </c>
      <c r="B477" t="s">
        <v>41</v>
      </c>
      <c r="C477" t="s">
        <v>27</v>
      </c>
      <c r="D477" t="s">
        <v>28</v>
      </c>
      <c r="E477">
        <v>18</v>
      </c>
      <c r="F477" t="s">
        <v>81</v>
      </c>
      <c r="G477" t="s">
        <v>58</v>
      </c>
      <c r="H477">
        <v>3114</v>
      </c>
      <c r="I477" t="s">
        <v>45</v>
      </c>
      <c r="J477" t="s">
        <v>46</v>
      </c>
      <c r="K477" t="s">
        <v>76</v>
      </c>
      <c r="L477" t="s">
        <v>77</v>
      </c>
      <c r="M477">
        <v>1</v>
      </c>
      <c r="N477" t="s">
        <v>49</v>
      </c>
      <c r="O477" t="s">
        <v>50</v>
      </c>
      <c r="P477" t="s">
        <v>36</v>
      </c>
      <c r="Q477">
        <v>4</v>
      </c>
      <c r="R477" t="s">
        <v>60</v>
      </c>
      <c r="S477">
        <v>26</v>
      </c>
      <c r="T477" t="s">
        <v>98</v>
      </c>
      <c r="U477" t="s">
        <v>36</v>
      </c>
      <c r="V477" t="s">
        <v>69</v>
      </c>
      <c r="W477">
        <v>1</v>
      </c>
      <c r="X477" t="s">
        <v>39</v>
      </c>
      <c r="Y477">
        <v>1</v>
      </c>
      <c r="Z477" t="s">
        <v>51</v>
      </c>
      <c r="AA477" t="s">
        <v>40</v>
      </c>
      <c r="AB477">
        <v>2</v>
      </c>
    </row>
    <row r="478" spans="1:28" x14ac:dyDescent="0.3">
      <c r="A478">
        <v>477</v>
      </c>
      <c r="B478" t="s">
        <v>26</v>
      </c>
      <c r="C478" t="s">
        <v>52</v>
      </c>
      <c r="D478" t="s">
        <v>53</v>
      </c>
      <c r="E478">
        <v>39</v>
      </c>
      <c r="F478" t="s">
        <v>44</v>
      </c>
      <c r="G478" t="s">
        <v>67</v>
      </c>
      <c r="H478">
        <v>2569</v>
      </c>
      <c r="I478" t="s">
        <v>65</v>
      </c>
      <c r="J478" t="s">
        <v>66</v>
      </c>
      <c r="K478" t="s">
        <v>47</v>
      </c>
      <c r="L478" t="s">
        <v>48</v>
      </c>
      <c r="M478">
        <v>4</v>
      </c>
      <c r="N478" t="s">
        <v>34</v>
      </c>
      <c r="O478" t="s">
        <v>35</v>
      </c>
      <c r="P478" t="s">
        <v>36</v>
      </c>
      <c r="Q478">
        <v>4</v>
      </c>
      <c r="R478" t="s">
        <v>68</v>
      </c>
      <c r="S478">
        <v>24</v>
      </c>
      <c r="T478" t="s">
        <v>96</v>
      </c>
      <c r="U478" t="s">
        <v>36</v>
      </c>
      <c r="V478" t="s">
        <v>38</v>
      </c>
      <c r="W478">
        <v>1</v>
      </c>
      <c r="X478" t="s">
        <v>39</v>
      </c>
      <c r="Y478">
        <v>1</v>
      </c>
      <c r="Z478" t="s">
        <v>51</v>
      </c>
      <c r="AA478" t="s">
        <v>40</v>
      </c>
      <c r="AB478">
        <v>1</v>
      </c>
    </row>
    <row r="479" spans="1:28" x14ac:dyDescent="0.3">
      <c r="A479">
        <v>478</v>
      </c>
      <c r="B479" t="s">
        <v>26</v>
      </c>
      <c r="C479" t="s">
        <v>83</v>
      </c>
      <c r="D479" t="s">
        <v>84</v>
      </c>
      <c r="E479">
        <v>24</v>
      </c>
      <c r="F479" t="s">
        <v>44</v>
      </c>
      <c r="G479" t="s">
        <v>30</v>
      </c>
      <c r="H479">
        <v>5152</v>
      </c>
      <c r="I479" t="s">
        <v>45</v>
      </c>
      <c r="J479" t="s">
        <v>46</v>
      </c>
      <c r="K479" t="s">
        <v>55</v>
      </c>
      <c r="L479" t="s">
        <v>56</v>
      </c>
      <c r="M479">
        <v>4</v>
      </c>
      <c r="N479" t="s">
        <v>34</v>
      </c>
      <c r="O479" t="s">
        <v>35</v>
      </c>
      <c r="P479" t="s">
        <v>36</v>
      </c>
      <c r="Q479">
        <v>2</v>
      </c>
      <c r="R479" t="s">
        <v>68</v>
      </c>
      <c r="S479">
        <v>25</v>
      </c>
      <c r="T479" t="s">
        <v>98</v>
      </c>
      <c r="U479" t="s">
        <v>82</v>
      </c>
      <c r="V479" t="s">
        <v>38</v>
      </c>
      <c r="W479">
        <v>1</v>
      </c>
      <c r="X479" t="s">
        <v>39</v>
      </c>
      <c r="Y479">
        <v>1</v>
      </c>
      <c r="Z479" t="s">
        <v>51</v>
      </c>
      <c r="AA479" t="s">
        <v>40</v>
      </c>
      <c r="AB479">
        <v>1</v>
      </c>
    </row>
    <row r="480" spans="1:28" x14ac:dyDescent="0.3">
      <c r="A480">
        <v>479</v>
      </c>
      <c r="B480" t="s">
        <v>26</v>
      </c>
      <c r="C480" t="s">
        <v>42</v>
      </c>
      <c r="D480" t="s">
        <v>43</v>
      </c>
      <c r="E480">
        <v>12</v>
      </c>
      <c r="F480" t="s">
        <v>44</v>
      </c>
      <c r="G480" t="s">
        <v>78</v>
      </c>
      <c r="H480">
        <v>1037</v>
      </c>
      <c r="I480" t="s">
        <v>79</v>
      </c>
      <c r="J480" t="s">
        <v>80</v>
      </c>
      <c r="K480" t="s">
        <v>55</v>
      </c>
      <c r="L480" t="s">
        <v>56</v>
      </c>
      <c r="M480">
        <v>3</v>
      </c>
      <c r="N480" t="s">
        <v>34</v>
      </c>
      <c r="O480" t="s">
        <v>35</v>
      </c>
      <c r="P480" t="s">
        <v>36</v>
      </c>
      <c r="Q480">
        <v>4</v>
      </c>
      <c r="R480" t="s">
        <v>37</v>
      </c>
      <c r="S480">
        <v>39</v>
      </c>
      <c r="T480" t="s">
        <v>98</v>
      </c>
      <c r="U480" t="s">
        <v>36</v>
      </c>
      <c r="V480" t="s">
        <v>38</v>
      </c>
      <c r="W480">
        <v>1</v>
      </c>
      <c r="X480" t="s">
        <v>57</v>
      </c>
      <c r="Y480">
        <v>1</v>
      </c>
      <c r="Z480" t="s">
        <v>51</v>
      </c>
      <c r="AA480" t="s">
        <v>40</v>
      </c>
      <c r="AB480">
        <v>1</v>
      </c>
    </row>
    <row r="481" spans="1:28" x14ac:dyDescent="0.3">
      <c r="A481">
        <v>480</v>
      </c>
      <c r="B481" t="s">
        <v>26</v>
      </c>
      <c r="C481" t="s">
        <v>27</v>
      </c>
      <c r="D481" t="s">
        <v>28</v>
      </c>
      <c r="E481">
        <v>15</v>
      </c>
      <c r="F481" t="s">
        <v>29</v>
      </c>
      <c r="G481" t="s">
        <v>58</v>
      </c>
      <c r="H481">
        <v>1478</v>
      </c>
      <c r="I481" t="s">
        <v>45</v>
      </c>
      <c r="J481" t="s">
        <v>46</v>
      </c>
      <c r="K481" t="s">
        <v>32</v>
      </c>
      <c r="L481" t="s">
        <v>33</v>
      </c>
      <c r="M481">
        <v>4</v>
      </c>
      <c r="N481" t="s">
        <v>34</v>
      </c>
      <c r="O481" t="s">
        <v>35</v>
      </c>
      <c r="P481" t="s">
        <v>36</v>
      </c>
      <c r="Q481">
        <v>4</v>
      </c>
      <c r="R481" t="s">
        <v>68</v>
      </c>
      <c r="S481">
        <v>44</v>
      </c>
      <c r="T481" t="s">
        <v>97</v>
      </c>
      <c r="U481" t="s">
        <v>36</v>
      </c>
      <c r="V481" t="s">
        <v>38</v>
      </c>
      <c r="W481">
        <v>2</v>
      </c>
      <c r="X481" t="s">
        <v>39</v>
      </c>
      <c r="Y481">
        <v>2</v>
      </c>
      <c r="Z481" t="s">
        <v>40</v>
      </c>
      <c r="AA481" t="s">
        <v>40</v>
      </c>
      <c r="AB481">
        <v>1</v>
      </c>
    </row>
    <row r="482" spans="1:28" x14ac:dyDescent="0.3">
      <c r="A482">
        <v>481</v>
      </c>
      <c r="B482" t="s">
        <v>26</v>
      </c>
      <c r="C482" t="s">
        <v>42</v>
      </c>
      <c r="D482" t="s">
        <v>43</v>
      </c>
      <c r="E482">
        <v>12</v>
      </c>
      <c r="F482" t="s">
        <v>29</v>
      </c>
      <c r="G482" t="s">
        <v>30</v>
      </c>
      <c r="H482">
        <v>3573</v>
      </c>
      <c r="I482" t="s">
        <v>45</v>
      </c>
      <c r="J482" t="s">
        <v>46</v>
      </c>
      <c r="K482" t="s">
        <v>47</v>
      </c>
      <c r="L482" t="s">
        <v>48</v>
      </c>
      <c r="M482">
        <v>1</v>
      </c>
      <c r="N482" t="s">
        <v>49</v>
      </c>
      <c r="O482" t="s">
        <v>50</v>
      </c>
      <c r="P482" t="s">
        <v>36</v>
      </c>
      <c r="Q482">
        <v>1</v>
      </c>
      <c r="R482" t="s">
        <v>37</v>
      </c>
      <c r="S482">
        <v>23</v>
      </c>
      <c r="T482" t="s">
        <v>96</v>
      </c>
      <c r="U482" t="s">
        <v>36</v>
      </c>
      <c r="V482" t="s">
        <v>38</v>
      </c>
      <c r="W482">
        <v>1</v>
      </c>
      <c r="X482" t="s">
        <v>57</v>
      </c>
      <c r="Y482">
        <v>1</v>
      </c>
      <c r="Z482" t="s">
        <v>51</v>
      </c>
      <c r="AA482" t="s">
        <v>40</v>
      </c>
      <c r="AB482">
        <v>1</v>
      </c>
    </row>
    <row r="483" spans="1:28" x14ac:dyDescent="0.3">
      <c r="A483">
        <v>482</v>
      </c>
      <c r="B483" t="s">
        <v>26</v>
      </c>
      <c r="C483" t="s">
        <v>42</v>
      </c>
      <c r="D483" t="s">
        <v>43</v>
      </c>
      <c r="E483">
        <v>24</v>
      </c>
      <c r="F483" t="s">
        <v>44</v>
      </c>
      <c r="G483" t="s">
        <v>63</v>
      </c>
      <c r="H483">
        <v>1201</v>
      </c>
      <c r="I483" t="s">
        <v>45</v>
      </c>
      <c r="J483" t="s">
        <v>46</v>
      </c>
      <c r="K483" t="s">
        <v>76</v>
      </c>
      <c r="L483" t="s">
        <v>77</v>
      </c>
      <c r="M483">
        <v>4</v>
      </c>
      <c r="N483" t="s">
        <v>34</v>
      </c>
      <c r="O483" t="s">
        <v>35</v>
      </c>
      <c r="P483" t="s">
        <v>36</v>
      </c>
      <c r="Q483">
        <v>1</v>
      </c>
      <c r="R483" t="s">
        <v>60</v>
      </c>
      <c r="S483">
        <v>26</v>
      </c>
      <c r="T483" t="s">
        <v>98</v>
      </c>
      <c r="U483" t="s">
        <v>36</v>
      </c>
      <c r="V483" t="s">
        <v>38</v>
      </c>
      <c r="W483">
        <v>1</v>
      </c>
      <c r="X483" t="s">
        <v>39</v>
      </c>
      <c r="Y483">
        <v>1</v>
      </c>
      <c r="Z483" t="s">
        <v>51</v>
      </c>
      <c r="AA483" t="s">
        <v>40</v>
      </c>
      <c r="AB483">
        <v>1</v>
      </c>
    </row>
    <row r="484" spans="1:28" x14ac:dyDescent="0.3">
      <c r="A484">
        <v>483</v>
      </c>
      <c r="B484" t="s">
        <v>26</v>
      </c>
      <c r="C484" t="s">
        <v>27</v>
      </c>
      <c r="D484" t="s">
        <v>28</v>
      </c>
      <c r="E484">
        <v>30</v>
      </c>
      <c r="F484" t="s">
        <v>44</v>
      </c>
      <c r="G484" t="s">
        <v>58</v>
      </c>
      <c r="H484">
        <v>3622</v>
      </c>
      <c r="I484" t="s">
        <v>71</v>
      </c>
      <c r="J484" t="s">
        <v>72</v>
      </c>
      <c r="K484" t="s">
        <v>32</v>
      </c>
      <c r="L484" t="s">
        <v>33</v>
      </c>
      <c r="M484">
        <v>4</v>
      </c>
      <c r="N484" t="s">
        <v>49</v>
      </c>
      <c r="O484" t="s">
        <v>50</v>
      </c>
      <c r="P484" t="s">
        <v>36</v>
      </c>
      <c r="Q484">
        <v>4</v>
      </c>
      <c r="R484" t="s">
        <v>60</v>
      </c>
      <c r="S484">
        <v>57</v>
      </c>
      <c r="T484" t="s">
        <v>97</v>
      </c>
      <c r="U484" t="s">
        <v>36</v>
      </c>
      <c r="V484" t="s">
        <v>69</v>
      </c>
      <c r="W484">
        <v>2</v>
      </c>
      <c r="X484" t="s">
        <v>39</v>
      </c>
      <c r="Y484">
        <v>1</v>
      </c>
      <c r="Z484" t="s">
        <v>40</v>
      </c>
      <c r="AA484" t="s">
        <v>40</v>
      </c>
      <c r="AB484">
        <v>1</v>
      </c>
    </row>
    <row r="485" spans="1:28" x14ac:dyDescent="0.3">
      <c r="A485">
        <v>484</v>
      </c>
      <c r="B485" t="s">
        <v>26</v>
      </c>
      <c r="C485" t="s">
        <v>52</v>
      </c>
      <c r="D485" t="s">
        <v>53</v>
      </c>
      <c r="E485">
        <v>15</v>
      </c>
      <c r="F485" t="s">
        <v>62</v>
      </c>
      <c r="G485" t="s">
        <v>58</v>
      </c>
      <c r="H485">
        <v>960</v>
      </c>
      <c r="I485" t="s">
        <v>71</v>
      </c>
      <c r="J485" t="s">
        <v>72</v>
      </c>
      <c r="K485" t="s">
        <v>55</v>
      </c>
      <c r="L485" t="s">
        <v>56</v>
      </c>
      <c r="M485">
        <v>3</v>
      </c>
      <c r="N485" t="s">
        <v>49</v>
      </c>
      <c r="O485" t="s">
        <v>50</v>
      </c>
      <c r="P485" t="s">
        <v>36</v>
      </c>
      <c r="Q485">
        <v>2</v>
      </c>
      <c r="R485" t="s">
        <v>60</v>
      </c>
      <c r="S485">
        <v>30</v>
      </c>
      <c r="T485" t="s">
        <v>98</v>
      </c>
      <c r="U485" t="s">
        <v>36</v>
      </c>
      <c r="V485" t="s">
        <v>38</v>
      </c>
      <c r="W485">
        <v>2</v>
      </c>
      <c r="X485" t="s">
        <v>39</v>
      </c>
      <c r="Y485">
        <v>1</v>
      </c>
      <c r="Z485" t="s">
        <v>51</v>
      </c>
      <c r="AA485" t="s">
        <v>40</v>
      </c>
      <c r="AB485">
        <v>1</v>
      </c>
    </row>
    <row r="486" spans="1:28" x14ac:dyDescent="0.3">
      <c r="A486">
        <v>485</v>
      </c>
      <c r="B486" t="s">
        <v>26</v>
      </c>
      <c r="C486" t="s">
        <v>52</v>
      </c>
      <c r="D486" t="s">
        <v>53</v>
      </c>
      <c r="E486">
        <v>12</v>
      </c>
      <c r="F486" t="s">
        <v>29</v>
      </c>
      <c r="G486" t="s">
        <v>63</v>
      </c>
      <c r="H486">
        <v>1163</v>
      </c>
      <c r="I486" t="s">
        <v>65</v>
      </c>
      <c r="J486" t="s">
        <v>66</v>
      </c>
      <c r="K486" t="s">
        <v>47</v>
      </c>
      <c r="L486" t="s">
        <v>48</v>
      </c>
      <c r="M486">
        <v>4</v>
      </c>
      <c r="N486" t="s">
        <v>34</v>
      </c>
      <c r="O486" t="s">
        <v>35</v>
      </c>
      <c r="P486" t="s">
        <v>36</v>
      </c>
      <c r="Q486">
        <v>4</v>
      </c>
      <c r="R486" t="s">
        <v>37</v>
      </c>
      <c r="S486">
        <v>44</v>
      </c>
      <c r="T486" t="s">
        <v>97</v>
      </c>
      <c r="U486" t="s">
        <v>36</v>
      </c>
      <c r="V486" t="s">
        <v>38</v>
      </c>
      <c r="W486">
        <v>1</v>
      </c>
      <c r="X486" t="s">
        <v>39</v>
      </c>
      <c r="Y486">
        <v>1</v>
      </c>
      <c r="Z486" t="s">
        <v>40</v>
      </c>
      <c r="AA486" t="s">
        <v>40</v>
      </c>
      <c r="AB486">
        <v>1</v>
      </c>
    </row>
    <row r="487" spans="1:28" x14ac:dyDescent="0.3">
      <c r="A487">
        <v>486</v>
      </c>
      <c r="B487" t="s">
        <v>41</v>
      </c>
      <c r="C487" t="s">
        <v>42</v>
      </c>
      <c r="D487" t="s">
        <v>43</v>
      </c>
      <c r="E487">
        <v>6</v>
      </c>
      <c r="F487" t="s">
        <v>62</v>
      </c>
      <c r="G487" t="s">
        <v>63</v>
      </c>
      <c r="H487">
        <v>1209</v>
      </c>
      <c r="I487" t="s">
        <v>45</v>
      </c>
      <c r="J487" t="s">
        <v>46</v>
      </c>
      <c r="K487" t="s">
        <v>74</v>
      </c>
      <c r="L487" t="s">
        <v>74</v>
      </c>
      <c r="M487">
        <v>4</v>
      </c>
      <c r="N487" t="s">
        <v>34</v>
      </c>
      <c r="O487" t="s">
        <v>35</v>
      </c>
      <c r="P487" t="s">
        <v>36</v>
      </c>
      <c r="Q487">
        <v>4</v>
      </c>
      <c r="R487" t="s">
        <v>60</v>
      </c>
      <c r="S487">
        <v>47</v>
      </c>
      <c r="T487" t="s">
        <v>97</v>
      </c>
      <c r="U487" t="s">
        <v>36</v>
      </c>
      <c r="V487" t="s">
        <v>38</v>
      </c>
      <c r="W487">
        <v>1</v>
      </c>
      <c r="X487" t="s">
        <v>70</v>
      </c>
      <c r="Y487">
        <v>1</v>
      </c>
      <c r="Z487" t="s">
        <v>40</v>
      </c>
      <c r="AA487" t="s">
        <v>40</v>
      </c>
      <c r="AB487">
        <v>2</v>
      </c>
    </row>
    <row r="488" spans="1:28" x14ac:dyDescent="0.3">
      <c r="A488">
        <v>487</v>
      </c>
      <c r="B488" t="s">
        <v>26</v>
      </c>
      <c r="C488" t="s">
        <v>52</v>
      </c>
      <c r="D488" t="s">
        <v>53</v>
      </c>
      <c r="E488">
        <v>12</v>
      </c>
      <c r="F488" t="s">
        <v>44</v>
      </c>
      <c r="G488" t="s">
        <v>30</v>
      </c>
      <c r="H488">
        <v>3077</v>
      </c>
      <c r="I488" t="s">
        <v>45</v>
      </c>
      <c r="J488" t="s">
        <v>46</v>
      </c>
      <c r="K488" t="s">
        <v>47</v>
      </c>
      <c r="L488" t="s">
        <v>48</v>
      </c>
      <c r="M488">
        <v>2</v>
      </c>
      <c r="N488" t="s">
        <v>34</v>
      </c>
      <c r="O488" t="s">
        <v>35</v>
      </c>
      <c r="P488" t="s">
        <v>36</v>
      </c>
      <c r="Q488">
        <v>4</v>
      </c>
      <c r="R488" t="s">
        <v>68</v>
      </c>
      <c r="S488">
        <v>52</v>
      </c>
      <c r="T488" t="s">
        <v>97</v>
      </c>
      <c r="U488" t="s">
        <v>36</v>
      </c>
      <c r="V488" t="s">
        <v>38</v>
      </c>
      <c r="W488">
        <v>1</v>
      </c>
      <c r="X488" t="s">
        <v>39</v>
      </c>
      <c r="Y488">
        <v>1</v>
      </c>
      <c r="Z488" t="s">
        <v>40</v>
      </c>
      <c r="AA488" t="s">
        <v>40</v>
      </c>
      <c r="AB488">
        <v>1</v>
      </c>
    </row>
    <row r="489" spans="1:28" x14ac:dyDescent="0.3">
      <c r="A489">
        <v>488</v>
      </c>
      <c r="B489" t="s">
        <v>26</v>
      </c>
      <c r="C489" t="s">
        <v>52</v>
      </c>
      <c r="D489" t="s">
        <v>53</v>
      </c>
      <c r="E489">
        <v>24</v>
      </c>
      <c r="F489" t="s">
        <v>44</v>
      </c>
      <c r="G489" t="s">
        <v>63</v>
      </c>
      <c r="H489">
        <v>3757</v>
      </c>
      <c r="I489" t="s">
        <v>45</v>
      </c>
      <c r="J489" t="s">
        <v>46</v>
      </c>
      <c r="K489" t="s">
        <v>32</v>
      </c>
      <c r="L489" t="s">
        <v>33</v>
      </c>
      <c r="M489">
        <v>4</v>
      </c>
      <c r="N489" t="s">
        <v>49</v>
      </c>
      <c r="O489" t="s">
        <v>50</v>
      </c>
      <c r="P489" t="s">
        <v>87</v>
      </c>
      <c r="Q489">
        <v>4</v>
      </c>
      <c r="R489" t="s">
        <v>64</v>
      </c>
      <c r="S489">
        <v>62</v>
      </c>
      <c r="T489" t="s">
        <v>95</v>
      </c>
      <c r="U489" t="s">
        <v>36</v>
      </c>
      <c r="V489" t="s">
        <v>61</v>
      </c>
      <c r="W489">
        <v>1</v>
      </c>
      <c r="X489" t="s">
        <v>39</v>
      </c>
      <c r="Y489">
        <v>1</v>
      </c>
      <c r="Z489" t="s">
        <v>40</v>
      </c>
      <c r="AA489" t="s">
        <v>40</v>
      </c>
      <c r="AB489">
        <v>1</v>
      </c>
    </row>
    <row r="490" spans="1:28" x14ac:dyDescent="0.3">
      <c r="A490">
        <v>489</v>
      </c>
      <c r="B490" t="s">
        <v>26</v>
      </c>
      <c r="C490" t="s">
        <v>52</v>
      </c>
      <c r="D490" t="s">
        <v>53</v>
      </c>
      <c r="E490">
        <v>10</v>
      </c>
      <c r="F490" t="s">
        <v>44</v>
      </c>
      <c r="G490" t="s">
        <v>63</v>
      </c>
      <c r="H490">
        <v>1418</v>
      </c>
      <c r="I490" t="s">
        <v>79</v>
      </c>
      <c r="J490" t="s">
        <v>80</v>
      </c>
      <c r="K490" t="s">
        <v>47</v>
      </c>
      <c r="L490" t="s">
        <v>48</v>
      </c>
      <c r="M490">
        <v>3</v>
      </c>
      <c r="N490" t="s">
        <v>34</v>
      </c>
      <c r="O490" t="s">
        <v>35</v>
      </c>
      <c r="P490" t="s">
        <v>36</v>
      </c>
      <c r="Q490">
        <v>2</v>
      </c>
      <c r="R490" t="s">
        <v>37</v>
      </c>
      <c r="S490">
        <v>35</v>
      </c>
      <c r="T490" t="s">
        <v>98</v>
      </c>
      <c r="U490" t="s">
        <v>36</v>
      </c>
      <c r="V490" t="s">
        <v>69</v>
      </c>
      <c r="W490">
        <v>1</v>
      </c>
      <c r="X490" t="s">
        <v>57</v>
      </c>
      <c r="Y490">
        <v>1</v>
      </c>
      <c r="Z490" t="s">
        <v>51</v>
      </c>
      <c r="AA490" t="s">
        <v>51</v>
      </c>
      <c r="AB490">
        <v>1</v>
      </c>
    </row>
    <row r="491" spans="1:28" x14ac:dyDescent="0.3">
      <c r="A491">
        <v>490</v>
      </c>
      <c r="B491" t="s">
        <v>26</v>
      </c>
      <c r="C491" t="s">
        <v>52</v>
      </c>
      <c r="D491" t="s">
        <v>53</v>
      </c>
      <c r="E491">
        <v>6</v>
      </c>
      <c r="F491" t="s">
        <v>44</v>
      </c>
      <c r="G491" t="s">
        <v>63</v>
      </c>
      <c r="H491">
        <v>3518</v>
      </c>
      <c r="I491" t="s">
        <v>45</v>
      </c>
      <c r="J491" t="s">
        <v>46</v>
      </c>
      <c r="K491" t="s">
        <v>47</v>
      </c>
      <c r="L491" t="s">
        <v>48</v>
      </c>
      <c r="M491">
        <v>2</v>
      </c>
      <c r="N491" t="s">
        <v>34</v>
      </c>
      <c r="O491" t="s">
        <v>35</v>
      </c>
      <c r="P491" t="s">
        <v>59</v>
      </c>
      <c r="Q491">
        <v>3</v>
      </c>
      <c r="R491" t="s">
        <v>60</v>
      </c>
      <c r="S491">
        <v>26</v>
      </c>
      <c r="T491" t="s">
        <v>98</v>
      </c>
      <c r="U491" t="s">
        <v>36</v>
      </c>
      <c r="V491" t="s">
        <v>69</v>
      </c>
      <c r="W491">
        <v>1</v>
      </c>
      <c r="X491" t="s">
        <v>39</v>
      </c>
      <c r="Y491">
        <v>1</v>
      </c>
      <c r="Z491" t="s">
        <v>51</v>
      </c>
      <c r="AA491" t="s">
        <v>40</v>
      </c>
      <c r="AB491">
        <v>1</v>
      </c>
    </row>
    <row r="492" spans="1:28" x14ac:dyDescent="0.3">
      <c r="A492">
        <v>491</v>
      </c>
      <c r="B492" t="s">
        <v>26</v>
      </c>
      <c r="C492" t="s">
        <v>52</v>
      </c>
      <c r="D492" t="s">
        <v>53</v>
      </c>
      <c r="E492">
        <v>12</v>
      </c>
      <c r="F492" t="s">
        <v>29</v>
      </c>
      <c r="G492" t="s">
        <v>30</v>
      </c>
      <c r="H492">
        <v>1934</v>
      </c>
      <c r="I492" t="s">
        <v>45</v>
      </c>
      <c r="J492" t="s">
        <v>46</v>
      </c>
      <c r="K492" t="s">
        <v>32</v>
      </c>
      <c r="L492" t="s">
        <v>33</v>
      </c>
      <c r="M492">
        <v>2</v>
      </c>
      <c r="N492" t="s">
        <v>34</v>
      </c>
      <c r="O492" t="s">
        <v>35</v>
      </c>
      <c r="P492" t="s">
        <v>36</v>
      </c>
      <c r="Q492">
        <v>2</v>
      </c>
      <c r="R492" t="s">
        <v>64</v>
      </c>
      <c r="S492">
        <v>26</v>
      </c>
      <c r="T492" t="s">
        <v>98</v>
      </c>
      <c r="U492" t="s">
        <v>36</v>
      </c>
      <c r="V492" t="s">
        <v>38</v>
      </c>
      <c r="W492">
        <v>2</v>
      </c>
      <c r="X492" t="s">
        <v>39</v>
      </c>
      <c r="Y492">
        <v>1</v>
      </c>
      <c r="Z492" t="s">
        <v>51</v>
      </c>
      <c r="AA492" t="s">
        <v>40</v>
      </c>
      <c r="AB492">
        <v>1</v>
      </c>
    </row>
    <row r="493" spans="1:28" x14ac:dyDescent="0.3">
      <c r="A493">
        <v>492</v>
      </c>
      <c r="B493" t="s">
        <v>41</v>
      </c>
      <c r="C493" t="s">
        <v>42</v>
      </c>
      <c r="D493" t="s">
        <v>43</v>
      </c>
      <c r="E493">
        <v>27</v>
      </c>
      <c r="F493" t="s">
        <v>81</v>
      </c>
      <c r="G493" t="s">
        <v>78</v>
      </c>
      <c r="H493">
        <v>8318</v>
      </c>
      <c r="I493" t="s">
        <v>45</v>
      </c>
      <c r="J493" t="s">
        <v>46</v>
      </c>
      <c r="K493" t="s">
        <v>32</v>
      </c>
      <c r="L493" t="s">
        <v>33</v>
      </c>
      <c r="M493">
        <v>2</v>
      </c>
      <c r="N493" t="s">
        <v>49</v>
      </c>
      <c r="O493" t="s">
        <v>50</v>
      </c>
      <c r="P493" t="s">
        <v>36</v>
      </c>
      <c r="Q493">
        <v>4</v>
      </c>
      <c r="R493" t="s">
        <v>64</v>
      </c>
      <c r="S493">
        <v>42</v>
      </c>
      <c r="T493" t="s">
        <v>97</v>
      </c>
      <c r="U493" t="s">
        <v>36</v>
      </c>
      <c r="V493" t="s">
        <v>61</v>
      </c>
      <c r="W493">
        <v>2</v>
      </c>
      <c r="X493" t="s">
        <v>70</v>
      </c>
      <c r="Y493">
        <v>1</v>
      </c>
      <c r="Z493" t="s">
        <v>40</v>
      </c>
      <c r="AA493" t="s">
        <v>40</v>
      </c>
      <c r="AB493">
        <v>2</v>
      </c>
    </row>
    <row r="494" spans="1:28" x14ac:dyDescent="0.3">
      <c r="A494">
        <v>493</v>
      </c>
      <c r="B494" t="s">
        <v>26</v>
      </c>
      <c r="C494" t="s">
        <v>52</v>
      </c>
      <c r="D494" t="s">
        <v>53</v>
      </c>
      <c r="E494">
        <v>6</v>
      </c>
      <c r="F494" t="s">
        <v>29</v>
      </c>
      <c r="G494" t="s">
        <v>30</v>
      </c>
      <c r="H494">
        <v>1237</v>
      </c>
      <c r="I494" t="s">
        <v>79</v>
      </c>
      <c r="J494" t="s">
        <v>80</v>
      </c>
      <c r="K494" t="s">
        <v>47</v>
      </c>
      <c r="L494" t="s">
        <v>48</v>
      </c>
      <c r="M494">
        <v>1</v>
      </c>
      <c r="N494" t="s">
        <v>49</v>
      </c>
      <c r="O494" t="s">
        <v>50</v>
      </c>
      <c r="P494" t="s">
        <v>36</v>
      </c>
      <c r="Q494">
        <v>1</v>
      </c>
      <c r="R494" t="s">
        <v>60</v>
      </c>
      <c r="S494">
        <v>27</v>
      </c>
      <c r="T494" t="s">
        <v>98</v>
      </c>
      <c r="U494" t="s">
        <v>36</v>
      </c>
      <c r="V494" t="s">
        <v>38</v>
      </c>
      <c r="W494">
        <v>2</v>
      </c>
      <c r="X494" t="s">
        <v>39</v>
      </c>
      <c r="Y494">
        <v>1</v>
      </c>
      <c r="Z494" t="s">
        <v>51</v>
      </c>
      <c r="AA494" t="s">
        <v>40</v>
      </c>
      <c r="AB494">
        <v>1</v>
      </c>
    </row>
    <row r="495" spans="1:28" x14ac:dyDescent="0.3">
      <c r="A495">
        <v>494</v>
      </c>
      <c r="B495" t="s">
        <v>26</v>
      </c>
      <c r="C495" t="s">
        <v>42</v>
      </c>
      <c r="D495" t="s">
        <v>43</v>
      </c>
      <c r="E495">
        <v>6</v>
      </c>
      <c r="F495" t="s">
        <v>44</v>
      </c>
      <c r="G495" t="s">
        <v>30</v>
      </c>
      <c r="H495">
        <v>368</v>
      </c>
      <c r="I495" t="s">
        <v>31</v>
      </c>
      <c r="J495" t="s">
        <v>31</v>
      </c>
      <c r="K495" t="s">
        <v>32</v>
      </c>
      <c r="L495" t="s">
        <v>33</v>
      </c>
      <c r="M495">
        <v>4</v>
      </c>
      <c r="N495" t="s">
        <v>34</v>
      </c>
      <c r="O495" t="s">
        <v>35</v>
      </c>
      <c r="P495" t="s">
        <v>36</v>
      </c>
      <c r="Q495">
        <v>4</v>
      </c>
      <c r="R495" t="s">
        <v>60</v>
      </c>
      <c r="S495">
        <v>38</v>
      </c>
      <c r="T495" t="s">
        <v>98</v>
      </c>
      <c r="U495" t="s">
        <v>36</v>
      </c>
      <c r="V495" t="s">
        <v>38</v>
      </c>
      <c r="W495">
        <v>1</v>
      </c>
      <c r="X495" t="s">
        <v>39</v>
      </c>
      <c r="Y495">
        <v>1</v>
      </c>
      <c r="Z495" t="s">
        <v>51</v>
      </c>
      <c r="AA495" t="s">
        <v>40</v>
      </c>
      <c r="AB495">
        <v>1</v>
      </c>
    </row>
    <row r="496" spans="1:28" x14ac:dyDescent="0.3">
      <c r="A496">
        <v>495</v>
      </c>
      <c r="B496" t="s">
        <v>26</v>
      </c>
      <c r="C496" t="s">
        <v>27</v>
      </c>
      <c r="D496" t="s">
        <v>28</v>
      </c>
      <c r="E496">
        <v>12</v>
      </c>
      <c r="F496" t="s">
        <v>29</v>
      </c>
      <c r="G496" t="s">
        <v>63</v>
      </c>
      <c r="H496">
        <v>2122</v>
      </c>
      <c r="I496" t="s">
        <v>45</v>
      </c>
      <c r="J496" t="s">
        <v>46</v>
      </c>
      <c r="K496" t="s">
        <v>47</v>
      </c>
      <c r="L496" t="s">
        <v>48</v>
      </c>
      <c r="M496">
        <v>3</v>
      </c>
      <c r="N496" t="s">
        <v>34</v>
      </c>
      <c r="O496" t="s">
        <v>35</v>
      </c>
      <c r="P496" t="s">
        <v>36</v>
      </c>
      <c r="Q496">
        <v>2</v>
      </c>
      <c r="R496" t="s">
        <v>37</v>
      </c>
      <c r="S496">
        <v>39</v>
      </c>
      <c r="T496" t="s">
        <v>98</v>
      </c>
      <c r="U496" t="s">
        <v>36</v>
      </c>
      <c r="V496" t="s">
        <v>69</v>
      </c>
      <c r="W496">
        <v>2</v>
      </c>
      <c r="X496" t="s">
        <v>57</v>
      </c>
      <c r="Y496">
        <v>2</v>
      </c>
      <c r="Z496" t="s">
        <v>51</v>
      </c>
      <c r="AA496" t="s">
        <v>51</v>
      </c>
      <c r="AB496">
        <v>1</v>
      </c>
    </row>
    <row r="497" spans="1:28" x14ac:dyDescent="0.3">
      <c r="A497">
        <v>496</v>
      </c>
      <c r="B497" t="s">
        <v>41</v>
      </c>
      <c r="C497" t="s">
        <v>27</v>
      </c>
      <c r="D497" t="s">
        <v>28</v>
      </c>
      <c r="E497">
        <v>24</v>
      </c>
      <c r="F497" t="s">
        <v>44</v>
      </c>
      <c r="G497" t="s">
        <v>58</v>
      </c>
      <c r="H497">
        <v>2996</v>
      </c>
      <c r="I497" t="s">
        <v>31</v>
      </c>
      <c r="J497" t="s">
        <v>31</v>
      </c>
      <c r="K497" t="s">
        <v>47</v>
      </c>
      <c r="L497" t="s">
        <v>48</v>
      </c>
      <c r="M497">
        <v>2</v>
      </c>
      <c r="N497" t="s">
        <v>34</v>
      </c>
      <c r="O497" t="s">
        <v>75</v>
      </c>
      <c r="P497" t="s">
        <v>36</v>
      </c>
      <c r="Q497">
        <v>4</v>
      </c>
      <c r="R497" t="s">
        <v>68</v>
      </c>
      <c r="S497">
        <v>20</v>
      </c>
      <c r="T497" t="s">
        <v>96</v>
      </c>
      <c r="U497" t="s">
        <v>36</v>
      </c>
      <c r="V497" t="s">
        <v>38</v>
      </c>
      <c r="W497">
        <v>1</v>
      </c>
      <c r="X497" t="s">
        <v>39</v>
      </c>
      <c r="Y497">
        <v>1</v>
      </c>
      <c r="Z497" t="s">
        <v>51</v>
      </c>
      <c r="AA497" t="s">
        <v>40</v>
      </c>
      <c r="AB497">
        <v>2</v>
      </c>
    </row>
    <row r="498" spans="1:28" x14ac:dyDescent="0.3">
      <c r="A498">
        <v>497</v>
      </c>
      <c r="B498" t="s">
        <v>41</v>
      </c>
      <c r="C498" t="s">
        <v>42</v>
      </c>
      <c r="D498" t="s">
        <v>43</v>
      </c>
      <c r="E498">
        <v>36</v>
      </c>
      <c r="F498" t="s">
        <v>44</v>
      </c>
      <c r="G498" t="s">
        <v>58</v>
      </c>
      <c r="H498">
        <v>9034</v>
      </c>
      <c r="I498" t="s">
        <v>79</v>
      </c>
      <c r="J498" t="s">
        <v>80</v>
      </c>
      <c r="K498" t="s">
        <v>76</v>
      </c>
      <c r="L498" t="s">
        <v>77</v>
      </c>
      <c r="M498">
        <v>4</v>
      </c>
      <c r="N498" t="s">
        <v>34</v>
      </c>
      <c r="O498" t="s">
        <v>35</v>
      </c>
      <c r="P498" t="s">
        <v>87</v>
      </c>
      <c r="Q498">
        <v>1</v>
      </c>
      <c r="R498" t="s">
        <v>64</v>
      </c>
      <c r="S498">
        <v>29</v>
      </c>
      <c r="T498" t="s">
        <v>98</v>
      </c>
      <c r="U498" t="s">
        <v>36</v>
      </c>
      <c r="V498" t="s">
        <v>69</v>
      </c>
      <c r="W498">
        <v>1</v>
      </c>
      <c r="X498" t="s">
        <v>70</v>
      </c>
      <c r="Y498">
        <v>1</v>
      </c>
      <c r="Z498" t="s">
        <v>40</v>
      </c>
      <c r="AA498" t="s">
        <v>40</v>
      </c>
      <c r="AB498">
        <v>2</v>
      </c>
    </row>
    <row r="499" spans="1:28" x14ac:dyDescent="0.3">
      <c r="A499">
        <v>498</v>
      </c>
      <c r="B499" t="s">
        <v>26</v>
      </c>
      <c r="C499" t="s">
        <v>52</v>
      </c>
      <c r="D499" t="s">
        <v>53</v>
      </c>
      <c r="E499">
        <v>24</v>
      </c>
      <c r="F499" t="s">
        <v>29</v>
      </c>
      <c r="G499" t="s">
        <v>58</v>
      </c>
      <c r="H499">
        <v>1585</v>
      </c>
      <c r="I499" t="s">
        <v>45</v>
      </c>
      <c r="J499" t="s">
        <v>46</v>
      </c>
      <c r="K499" t="s">
        <v>55</v>
      </c>
      <c r="L499" t="s">
        <v>56</v>
      </c>
      <c r="M499">
        <v>4</v>
      </c>
      <c r="N499" t="s">
        <v>34</v>
      </c>
      <c r="O499" t="s">
        <v>35</v>
      </c>
      <c r="P499" t="s">
        <v>36</v>
      </c>
      <c r="Q499">
        <v>3</v>
      </c>
      <c r="R499" t="s">
        <v>60</v>
      </c>
      <c r="S499">
        <v>40</v>
      </c>
      <c r="T499" t="s">
        <v>97</v>
      </c>
      <c r="U499" t="s">
        <v>36</v>
      </c>
      <c r="V499" t="s">
        <v>38</v>
      </c>
      <c r="W499">
        <v>2</v>
      </c>
      <c r="X499" t="s">
        <v>39</v>
      </c>
      <c r="Y499">
        <v>1</v>
      </c>
      <c r="Z499" t="s">
        <v>51</v>
      </c>
      <c r="AA499" t="s">
        <v>40</v>
      </c>
      <c r="AB499">
        <v>1</v>
      </c>
    </row>
    <row r="500" spans="1:28" x14ac:dyDescent="0.3">
      <c r="A500">
        <v>499</v>
      </c>
      <c r="B500" t="s">
        <v>26</v>
      </c>
      <c r="C500" t="s">
        <v>42</v>
      </c>
      <c r="D500" t="s">
        <v>43</v>
      </c>
      <c r="E500">
        <v>18</v>
      </c>
      <c r="F500" t="s">
        <v>44</v>
      </c>
      <c r="G500" t="s">
        <v>30</v>
      </c>
      <c r="H500">
        <v>1301</v>
      </c>
      <c r="I500" t="s">
        <v>45</v>
      </c>
      <c r="J500" t="s">
        <v>46</v>
      </c>
      <c r="K500" t="s">
        <v>32</v>
      </c>
      <c r="L500" t="s">
        <v>33</v>
      </c>
      <c r="M500">
        <v>4</v>
      </c>
      <c r="N500" t="s">
        <v>34</v>
      </c>
      <c r="O500" t="s">
        <v>75</v>
      </c>
      <c r="P500" t="s">
        <v>59</v>
      </c>
      <c r="Q500">
        <v>2</v>
      </c>
      <c r="R500" t="s">
        <v>37</v>
      </c>
      <c r="S500">
        <v>32</v>
      </c>
      <c r="T500" t="s">
        <v>98</v>
      </c>
      <c r="U500" t="s">
        <v>36</v>
      </c>
      <c r="V500" t="s">
        <v>38</v>
      </c>
      <c r="W500">
        <v>1</v>
      </c>
      <c r="X500" t="s">
        <v>57</v>
      </c>
      <c r="Y500">
        <v>1</v>
      </c>
      <c r="Z500" t="s">
        <v>51</v>
      </c>
      <c r="AA500" t="s">
        <v>40</v>
      </c>
      <c r="AB500">
        <v>1</v>
      </c>
    </row>
    <row r="501" spans="1:28" x14ac:dyDescent="0.3">
      <c r="A501">
        <v>500</v>
      </c>
      <c r="B501" t="s">
        <v>26</v>
      </c>
      <c r="C501" t="s">
        <v>83</v>
      </c>
      <c r="D501" t="s">
        <v>84</v>
      </c>
      <c r="E501">
        <v>6</v>
      </c>
      <c r="F501" t="s">
        <v>29</v>
      </c>
      <c r="G501" t="s">
        <v>63</v>
      </c>
      <c r="H501">
        <v>1323</v>
      </c>
      <c r="I501" t="s">
        <v>79</v>
      </c>
      <c r="J501" t="s">
        <v>80</v>
      </c>
      <c r="K501" t="s">
        <v>32</v>
      </c>
      <c r="L501" t="s">
        <v>33</v>
      </c>
      <c r="M501">
        <v>2</v>
      </c>
      <c r="N501" t="s">
        <v>34</v>
      </c>
      <c r="O501" t="s">
        <v>73</v>
      </c>
      <c r="P501" t="s">
        <v>36</v>
      </c>
      <c r="Q501">
        <v>4</v>
      </c>
      <c r="R501" t="s">
        <v>68</v>
      </c>
      <c r="S501">
        <v>28</v>
      </c>
      <c r="T501" t="s">
        <v>98</v>
      </c>
      <c r="U501" t="s">
        <v>36</v>
      </c>
      <c r="V501" t="s">
        <v>38</v>
      </c>
      <c r="W501">
        <v>2</v>
      </c>
      <c r="X501" t="s">
        <v>39</v>
      </c>
      <c r="Y501">
        <v>2</v>
      </c>
      <c r="Z501" t="s">
        <v>40</v>
      </c>
      <c r="AA501" t="s">
        <v>40</v>
      </c>
      <c r="AB501">
        <v>1</v>
      </c>
    </row>
    <row r="502" spans="1:28" x14ac:dyDescent="0.3">
      <c r="A502">
        <v>501</v>
      </c>
      <c r="B502" t="s">
        <v>41</v>
      </c>
      <c r="C502" t="s">
        <v>27</v>
      </c>
      <c r="D502" t="s">
        <v>28</v>
      </c>
      <c r="E502">
        <v>24</v>
      </c>
      <c r="F502" t="s">
        <v>44</v>
      </c>
      <c r="G502" t="s">
        <v>63</v>
      </c>
      <c r="H502">
        <v>3123</v>
      </c>
      <c r="I502" t="s">
        <v>45</v>
      </c>
      <c r="J502" t="s">
        <v>46</v>
      </c>
      <c r="K502" t="s">
        <v>76</v>
      </c>
      <c r="L502" t="s">
        <v>77</v>
      </c>
      <c r="M502">
        <v>4</v>
      </c>
      <c r="N502" t="s">
        <v>49</v>
      </c>
      <c r="O502" t="s">
        <v>50</v>
      </c>
      <c r="P502" t="s">
        <v>36</v>
      </c>
      <c r="Q502">
        <v>1</v>
      </c>
      <c r="R502" t="s">
        <v>60</v>
      </c>
      <c r="S502">
        <v>27</v>
      </c>
      <c r="T502" t="s">
        <v>98</v>
      </c>
      <c r="U502" t="s">
        <v>36</v>
      </c>
      <c r="V502" t="s">
        <v>38</v>
      </c>
      <c r="W502">
        <v>1</v>
      </c>
      <c r="X502" t="s">
        <v>39</v>
      </c>
      <c r="Y502">
        <v>1</v>
      </c>
      <c r="Z502" t="s">
        <v>51</v>
      </c>
      <c r="AA502" t="s">
        <v>40</v>
      </c>
      <c r="AB502">
        <v>2</v>
      </c>
    </row>
    <row r="503" spans="1:28" x14ac:dyDescent="0.3">
      <c r="A503">
        <v>502</v>
      </c>
      <c r="B503" t="s">
        <v>26</v>
      </c>
      <c r="C503" t="s">
        <v>27</v>
      </c>
      <c r="D503" t="s">
        <v>28</v>
      </c>
      <c r="E503">
        <v>36</v>
      </c>
      <c r="F503" t="s">
        <v>44</v>
      </c>
      <c r="G503" t="s">
        <v>67</v>
      </c>
      <c r="H503">
        <v>5493</v>
      </c>
      <c r="I503" t="s">
        <v>45</v>
      </c>
      <c r="J503" t="s">
        <v>46</v>
      </c>
      <c r="K503" t="s">
        <v>32</v>
      </c>
      <c r="L503" t="s">
        <v>33</v>
      </c>
      <c r="M503">
        <v>2</v>
      </c>
      <c r="N503" t="s">
        <v>34</v>
      </c>
      <c r="O503" t="s">
        <v>35</v>
      </c>
      <c r="P503" t="s">
        <v>36</v>
      </c>
      <c r="Q503">
        <v>4</v>
      </c>
      <c r="R503" t="s">
        <v>64</v>
      </c>
      <c r="S503">
        <v>42</v>
      </c>
      <c r="T503" t="s">
        <v>97</v>
      </c>
      <c r="U503" t="s">
        <v>36</v>
      </c>
      <c r="V503" t="s">
        <v>61</v>
      </c>
      <c r="W503">
        <v>1</v>
      </c>
      <c r="X503" t="s">
        <v>39</v>
      </c>
      <c r="Y503">
        <v>2</v>
      </c>
      <c r="Z503" t="s">
        <v>51</v>
      </c>
      <c r="AA503" t="s">
        <v>40</v>
      </c>
      <c r="AB503">
        <v>1</v>
      </c>
    </row>
    <row r="504" spans="1:28" x14ac:dyDescent="0.3">
      <c r="A504">
        <v>503</v>
      </c>
      <c r="B504" t="s">
        <v>26</v>
      </c>
      <c r="C504" t="s">
        <v>83</v>
      </c>
      <c r="D504" t="s">
        <v>84</v>
      </c>
      <c r="E504">
        <v>9</v>
      </c>
      <c r="F504" t="s">
        <v>44</v>
      </c>
      <c r="G504" t="s">
        <v>30</v>
      </c>
      <c r="H504">
        <v>1126</v>
      </c>
      <c r="I504" t="s">
        <v>79</v>
      </c>
      <c r="J504" t="s">
        <v>80</v>
      </c>
      <c r="K504" t="s">
        <v>32</v>
      </c>
      <c r="L504" t="s">
        <v>33</v>
      </c>
      <c r="M504">
        <v>2</v>
      </c>
      <c r="N504" t="s">
        <v>34</v>
      </c>
      <c r="O504" t="s">
        <v>73</v>
      </c>
      <c r="P504" t="s">
        <v>36</v>
      </c>
      <c r="Q504">
        <v>4</v>
      </c>
      <c r="R504" t="s">
        <v>37</v>
      </c>
      <c r="S504">
        <v>49</v>
      </c>
      <c r="T504" t="s">
        <v>97</v>
      </c>
      <c r="U504" t="s">
        <v>36</v>
      </c>
      <c r="V504" t="s">
        <v>38</v>
      </c>
      <c r="W504">
        <v>1</v>
      </c>
      <c r="X504" t="s">
        <v>39</v>
      </c>
      <c r="Y504">
        <v>1</v>
      </c>
      <c r="Z504" t="s">
        <v>51</v>
      </c>
      <c r="AA504" t="s">
        <v>40</v>
      </c>
      <c r="AB504">
        <v>1</v>
      </c>
    </row>
    <row r="505" spans="1:28" x14ac:dyDescent="0.3">
      <c r="A505">
        <v>504</v>
      </c>
      <c r="B505" t="s">
        <v>41</v>
      </c>
      <c r="C505" t="s">
        <v>42</v>
      </c>
      <c r="D505" t="s">
        <v>43</v>
      </c>
      <c r="E505">
        <v>24</v>
      </c>
      <c r="F505" t="s">
        <v>29</v>
      </c>
      <c r="G505" t="s">
        <v>30</v>
      </c>
      <c r="H505">
        <v>1216</v>
      </c>
      <c r="I505" t="s">
        <v>79</v>
      </c>
      <c r="J505" t="s">
        <v>80</v>
      </c>
      <c r="K505" t="s">
        <v>76</v>
      </c>
      <c r="L505" t="s">
        <v>77</v>
      </c>
      <c r="M505">
        <v>4</v>
      </c>
      <c r="N505" t="s">
        <v>34</v>
      </c>
      <c r="O505" t="s">
        <v>35</v>
      </c>
      <c r="P505" t="s">
        <v>36</v>
      </c>
      <c r="Q505">
        <v>4</v>
      </c>
      <c r="R505" t="s">
        <v>64</v>
      </c>
      <c r="S505">
        <v>38</v>
      </c>
      <c r="T505" t="s">
        <v>98</v>
      </c>
      <c r="U505" t="s">
        <v>82</v>
      </c>
      <c r="V505" t="s">
        <v>38</v>
      </c>
      <c r="W505">
        <v>2</v>
      </c>
      <c r="X505" t="s">
        <v>39</v>
      </c>
      <c r="Y505">
        <v>2</v>
      </c>
      <c r="Z505" t="s">
        <v>51</v>
      </c>
      <c r="AA505" t="s">
        <v>40</v>
      </c>
      <c r="AB505">
        <v>2</v>
      </c>
    </row>
    <row r="506" spans="1:28" x14ac:dyDescent="0.3">
      <c r="A506">
        <v>505</v>
      </c>
      <c r="B506" t="s">
        <v>41</v>
      </c>
      <c r="C506" t="s">
        <v>27</v>
      </c>
      <c r="D506" t="s">
        <v>28</v>
      </c>
      <c r="E506">
        <v>24</v>
      </c>
      <c r="F506" t="s">
        <v>44</v>
      </c>
      <c r="G506" t="s">
        <v>63</v>
      </c>
      <c r="H506">
        <v>1207</v>
      </c>
      <c r="I506" t="s">
        <v>45</v>
      </c>
      <c r="J506" t="s">
        <v>46</v>
      </c>
      <c r="K506" t="s">
        <v>76</v>
      </c>
      <c r="L506" t="s">
        <v>77</v>
      </c>
      <c r="M506">
        <v>4</v>
      </c>
      <c r="N506" t="s">
        <v>49</v>
      </c>
      <c r="O506" t="s">
        <v>50</v>
      </c>
      <c r="P506" t="s">
        <v>36</v>
      </c>
      <c r="Q506">
        <v>4</v>
      </c>
      <c r="R506" t="s">
        <v>60</v>
      </c>
      <c r="S506">
        <v>24</v>
      </c>
      <c r="T506" t="s">
        <v>96</v>
      </c>
      <c r="U506" t="s">
        <v>36</v>
      </c>
      <c r="V506" t="s">
        <v>69</v>
      </c>
      <c r="W506">
        <v>1</v>
      </c>
      <c r="X506" t="s">
        <v>39</v>
      </c>
      <c r="Y506">
        <v>1</v>
      </c>
      <c r="Z506" t="s">
        <v>51</v>
      </c>
      <c r="AA506" t="s">
        <v>40</v>
      </c>
      <c r="AB506">
        <v>2</v>
      </c>
    </row>
    <row r="507" spans="1:28" x14ac:dyDescent="0.3">
      <c r="A507">
        <v>506</v>
      </c>
      <c r="B507" t="s">
        <v>41</v>
      </c>
      <c r="C507" t="s">
        <v>52</v>
      </c>
      <c r="D507" t="s">
        <v>53</v>
      </c>
      <c r="E507">
        <v>10</v>
      </c>
      <c r="F507" t="s">
        <v>44</v>
      </c>
      <c r="G507" t="s">
        <v>63</v>
      </c>
      <c r="H507">
        <v>1309</v>
      </c>
      <c r="I507" t="s">
        <v>31</v>
      </c>
      <c r="J507" t="s">
        <v>31</v>
      </c>
      <c r="K507" t="s">
        <v>47</v>
      </c>
      <c r="L507" t="s">
        <v>48</v>
      </c>
      <c r="M507">
        <v>4</v>
      </c>
      <c r="N507" t="s">
        <v>34</v>
      </c>
      <c r="O507" t="s">
        <v>35</v>
      </c>
      <c r="P507" t="s">
        <v>59</v>
      </c>
      <c r="Q507">
        <v>4</v>
      </c>
      <c r="R507" t="s">
        <v>60</v>
      </c>
      <c r="S507">
        <v>27</v>
      </c>
      <c r="T507" t="s">
        <v>98</v>
      </c>
      <c r="U507" t="s">
        <v>36</v>
      </c>
      <c r="V507" t="s">
        <v>38</v>
      </c>
      <c r="W507">
        <v>1</v>
      </c>
      <c r="X507" t="s">
        <v>57</v>
      </c>
      <c r="Y507">
        <v>1</v>
      </c>
      <c r="Z507" t="s">
        <v>51</v>
      </c>
      <c r="AA507" t="s">
        <v>40</v>
      </c>
      <c r="AB507">
        <v>2</v>
      </c>
    </row>
    <row r="508" spans="1:28" x14ac:dyDescent="0.3">
      <c r="A508">
        <v>507</v>
      </c>
      <c r="B508" t="s">
        <v>26</v>
      </c>
      <c r="C508" t="s">
        <v>83</v>
      </c>
      <c r="D508" t="s">
        <v>84</v>
      </c>
      <c r="E508">
        <v>15</v>
      </c>
      <c r="F508" t="s">
        <v>29</v>
      </c>
      <c r="G508" t="s">
        <v>67</v>
      </c>
      <c r="H508">
        <v>2360</v>
      </c>
      <c r="I508" t="s">
        <v>65</v>
      </c>
      <c r="J508" t="s">
        <v>66</v>
      </c>
      <c r="K508" t="s">
        <v>47</v>
      </c>
      <c r="L508" t="s">
        <v>48</v>
      </c>
      <c r="M508">
        <v>2</v>
      </c>
      <c r="N508" t="s">
        <v>34</v>
      </c>
      <c r="O508" t="s">
        <v>35</v>
      </c>
      <c r="P508" t="s">
        <v>36</v>
      </c>
      <c r="Q508">
        <v>2</v>
      </c>
      <c r="R508" t="s">
        <v>68</v>
      </c>
      <c r="S508">
        <v>36</v>
      </c>
      <c r="T508" t="s">
        <v>98</v>
      </c>
      <c r="U508" t="s">
        <v>36</v>
      </c>
      <c r="V508" t="s">
        <v>38</v>
      </c>
      <c r="W508">
        <v>1</v>
      </c>
      <c r="X508" t="s">
        <v>39</v>
      </c>
      <c r="Y508">
        <v>1</v>
      </c>
      <c r="Z508" t="s">
        <v>40</v>
      </c>
      <c r="AA508" t="s">
        <v>40</v>
      </c>
      <c r="AB508">
        <v>1</v>
      </c>
    </row>
    <row r="509" spans="1:28" x14ac:dyDescent="0.3">
      <c r="A509">
        <v>508</v>
      </c>
      <c r="B509" t="s">
        <v>41</v>
      </c>
      <c r="C509" t="s">
        <v>42</v>
      </c>
      <c r="D509" t="s">
        <v>43</v>
      </c>
      <c r="E509">
        <v>15</v>
      </c>
      <c r="F509" t="s">
        <v>85</v>
      </c>
      <c r="G509" t="s">
        <v>63</v>
      </c>
      <c r="H509">
        <v>6850</v>
      </c>
      <c r="I509" t="s">
        <v>79</v>
      </c>
      <c r="J509" t="s">
        <v>80</v>
      </c>
      <c r="K509" t="s">
        <v>74</v>
      </c>
      <c r="L509" t="s">
        <v>74</v>
      </c>
      <c r="M509">
        <v>1</v>
      </c>
      <c r="N509" t="s">
        <v>34</v>
      </c>
      <c r="O509" t="s">
        <v>35</v>
      </c>
      <c r="P509" t="s">
        <v>36</v>
      </c>
      <c r="Q509">
        <v>2</v>
      </c>
      <c r="R509" t="s">
        <v>60</v>
      </c>
      <c r="S509">
        <v>34</v>
      </c>
      <c r="T509" t="s">
        <v>98</v>
      </c>
      <c r="U509" t="s">
        <v>36</v>
      </c>
      <c r="V509" t="s">
        <v>38</v>
      </c>
      <c r="W509">
        <v>1</v>
      </c>
      <c r="X509" t="s">
        <v>70</v>
      </c>
      <c r="Y509">
        <v>2</v>
      </c>
      <c r="Z509" t="s">
        <v>40</v>
      </c>
      <c r="AA509" t="s">
        <v>40</v>
      </c>
      <c r="AB509">
        <v>2</v>
      </c>
    </row>
    <row r="510" spans="1:28" x14ac:dyDescent="0.3">
      <c r="A510">
        <v>509</v>
      </c>
      <c r="B510" t="s">
        <v>26</v>
      </c>
      <c r="C510" t="s">
        <v>52</v>
      </c>
      <c r="D510" t="s">
        <v>53</v>
      </c>
      <c r="E510">
        <v>24</v>
      </c>
      <c r="F510" t="s">
        <v>44</v>
      </c>
      <c r="G510" t="s">
        <v>30</v>
      </c>
      <c r="H510">
        <v>1413</v>
      </c>
      <c r="I510" t="s">
        <v>45</v>
      </c>
      <c r="J510" t="s">
        <v>46</v>
      </c>
      <c r="K510" t="s">
        <v>47</v>
      </c>
      <c r="L510" t="s">
        <v>48</v>
      </c>
      <c r="M510">
        <v>4</v>
      </c>
      <c r="N510" t="s">
        <v>34</v>
      </c>
      <c r="O510" t="s">
        <v>75</v>
      </c>
      <c r="P510" t="s">
        <v>36</v>
      </c>
      <c r="Q510">
        <v>2</v>
      </c>
      <c r="R510" t="s">
        <v>60</v>
      </c>
      <c r="S510">
        <v>28</v>
      </c>
      <c r="T510" t="s">
        <v>98</v>
      </c>
      <c r="U510" t="s">
        <v>36</v>
      </c>
      <c r="V510" t="s">
        <v>38</v>
      </c>
      <c r="W510">
        <v>1</v>
      </c>
      <c r="X510" t="s">
        <v>39</v>
      </c>
      <c r="Y510">
        <v>1</v>
      </c>
      <c r="Z510" t="s">
        <v>51</v>
      </c>
      <c r="AA510" t="s">
        <v>40</v>
      </c>
      <c r="AB510">
        <v>1</v>
      </c>
    </row>
    <row r="511" spans="1:28" x14ac:dyDescent="0.3">
      <c r="A511">
        <v>510</v>
      </c>
      <c r="B511" t="s">
        <v>26</v>
      </c>
      <c r="C511" t="s">
        <v>52</v>
      </c>
      <c r="D511" t="s">
        <v>53</v>
      </c>
      <c r="E511">
        <v>39</v>
      </c>
      <c r="F511" t="s">
        <v>44</v>
      </c>
      <c r="G511" t="s">
        <v>67</v>
      </c>
      <c r="H511">
        <v>8588</v>
      </c>
      <c r="I511" t="s">
        <v>79</v>
      </c>
      <c r="J511" t="s">
        <v>80</v>
      </c>
      <c r="K511" t="s">
        <v>32</v>
      </c>
      <c r="L511" t="s">
        <v>33</v>
      </c>
      <c r="M511">
        <v>4</v>
      </c>
      <c r="N511" t="s">
        <v>34</v>
      </c>
      <c r="O511" t="s">
        <v>35</v>
      </c>
      <c r="P511" t="s">
        <v>36</v>
      </c>
      <c r="Q511">
        <v>2</v>
      </c>
      <c r="R511" t="s">
        <v>68</v>
      </c>
      <c r="S511">
        <v>45</v>
      </c>
      <c r="T511" t="s">
        <v>97</v>
      </c>
      <c r="U511" t="s">
        <v>36</v>
      </c>
      <c r="V511" t="s">
        <v>38</v>
      </c>
      <c r="W511">
        <v>1</v>
      </c>
      <c r="X511" t="s">
        <v>70</v>
      </c>
      <c r="Y511">
        <v>1</v>
      </c>
      <c r="Z511" t="s">
        <v>40</v>
      </c>
      <c r="AA511" t="s">
        <v>40</v>
      </c>
      <c r="AB511">
        <v>1</v>
      </c>
    </row>
    <row r="512" spans="1:28" x14ac:dyDescent="0.3">
      <c r="A512">
        <v>511</v>
      </c>
      <c r="B512" t="s">
        <v>41</v>
      </c>
      <c r="C512" t="s">
        <v>27</v>
      </c>
      <c r="D512" t="s">
        <v>28</v>
      </c>
      <c r="E512">
        <v>12</v>
      </c>
      <c r="F512" t="s">
        <v>44</v>
      </c>
      <c r="G512" t="s">
        <v>63</v>
      </c>
      <c r="H512">
        <v>759</v>
      </c>
      <c r="I512" t="s">
        <v>45</v>
      </c>
      <c r="J512" t="s">
        <v>46</v>
      </c>
      <c r="K512" t="s">
        <v>55</v>
      </c>
      <c r="L512" t="s">
        <v>56</v>
      </c>
      <c r="M512">
        <v>4</v>
      </c>
      <c r="N512" t="s">
        <v>34</v>
      </c>
      <c r="O512" t="s">
        <v>35</v>
      </c>
      <c r="P512" t="s">
        <v>36</v>
      </c>
      <c r="Q512">
        <v>2</v>
      </c>
      <c r="R512" t="s">
        <v>37</v>
      </c>
      <c r="S512">
        <v>26</v>
      </c>
      <c r="T512" t="s">
        <v>98</v>
      </c>
      <c r="U512" t="s">
        <v>36</v>
      </c>
      <c r="V512" t="s">
        <v>38</v>
      </c>
      <c r="W512">
        <v>1</v>
      </c>
      <c r="X512" t="s">
        <v>39</v>
      </c>
      <c r="Y512">
        <v>1</v>
      </c>
      <c r="Z512" t="s">
        <v>51</v>
      </c>
      <c r="AA512" t="s">
        <v>40</v>
      </c>
      <c r="AB512">
        <v>2</v>
      </c>
    </row>
    <row r="513" spans="1:28" x14ac:dyDescent="0.3">
      <c r="A513">
        <v>512</v>
      </c>
      <c r="B513" t="s">
        <v>26</v>
      </c>
      <c r="C513" t="s">
        <v>52</v>
      </c>
      <c r="D513" t="s">
        <v>53</v>
      </c>
      <c r="E513">
        <v>36</v>
      </c>
      <c r="F513" t="s">
        <v>44</v>
      </c>
      <c r="G513" t="s">
        <v>67</v>
      </c>
      <c r="H513">
        <v>4686</v>
      </c>
      <c r="I513" t="s">
        <v>45</v>
      </c>
      <c r="J513" t="s">
        <v>46</v>
      </c>
      <c r="K513" t="s">
        <v>47</v>
      </c>
      <c r="L513" t="s">
        <v>48</v>
      </c>
      <c r="M513">
        <v>2</v>
      </c>
      <c r="N513" t="s">
        <v>34</v>
      </c>
      <c r="O513" t="s">
        <v>35</v>
      </c>
      <c r="P513" t="s">
        <v>36</v>
      </c>
      <c r="Q513">
        <v>2</v>
      </c>
      <c r="R513" t="s">
        <v>64</v>
      </c>
      <c r="S513">
        <v>32</v>
      </c>
      <c r="T513" t="s">
        <v>98</v>
      </c>
      <c r="U513" t="s">
        <v>36</v>
      </c>
      <c r="V513" t="s">
        <v>61</v>
      </c>
      <c r="W513">
        <v>1</v>
      </c>
      <c r="X513" t="s">
        <v>70</v>
      </c>
      <c r="Y513">
        <v>1</v>
      </c>
      <c r="Z513" t="s">
        <v>40</v>
      </c>
      <c r="AA513" t="s">
        <v>40</v>
      </c>
      <c r="AB513">
        <v>1</v>
      </c>
    </row>
    <row r="514" spans="1:28" x14ac:dyDescent="0.3">
      <c r="A514">
        <v>513</v>
      </c>
      <c r="B514" t="s">
        <v>26</v>
      </c>
      <c r="C514" t="s">
        <v>83</v>
      </c>
      <c r="D514" t="s">
        <v>84</v>
      </c>
      <c r="E514">
        <v>15</v>
      </c>
      <c r="F514" t="s">
        <v>44</v>
      </c>
      <c r="G514" t="s">
        <v>78</v>
      </c>
      <c r="H514">
        <v>2687</v>
      </c>
      <c r="I514" t="s">
        <v>45</v>
      </c>
      <c r="J514" t="s">
        <v>46</v>
      </c>
      <c r="K514" t="s">
        <v>55</v>
      </c>
      <c r="L514" t="s">
        <v>56</v>
      </c>
      <c r="M514">
        <v>2</v>
      </c>
      <c r="N514" t="s">
        <v>34</v>
      </c>
      <c r="O514" t="s">
        <v>35</v>
      </c>
      <c r="P514" t="s">
        <v>36</v>
      </c>
      <c r="Q514">
        <v>4</v>
      </c>
      <c r="R514" t="s">
        <v>60</v>
      </c>
      <c r="S514">
        <v>26</v>
      </c>
      <c r="T514" t="s">
        <v>98</v>
      </c>
      <c r="U514" t="s">
        <v>36</v>
      </c>
      <c r="V514" t="s">
        <v>69</v>
      </c>
      <c r="W514">
        <v>1</v>
      </c>
      <c r="X514" t="s">
        <v>39</v>
      </c>
      <c r="Y514">
        <v>1</v>
      </c>
      <c r="Z514" t="s">
        <v>40</v>
      </c>
      <c r="AA514" t="s">
        <v>40</v>
      </c>
      <c r="AB514">
        <v>1</v>
      </c>
    </row>
    <row r="515" spans="1:28" x14ac:dyDescent="0.3">
      <c r="A515">
        <v>514</v>
      </c>
      <c r="B515" t="s">
        <v>26</v>
      </c>
      <c r="C515" t="s">
        <v>42</v>
      </c>
      <c r="D515" t="s">
        <v>43</v>
      </c>
      <c r="E515">
        <v>12</v>
      </c>
      <c r="F515" t="s">
        <v>62</v>
      </c>
      <c r="G515" t="s">
        <v>30</v>
      </c>
      <c r="H515">
        <v>585</v>
      </c>
      <c r="I515" t="s">
        <v>45</v>
      </c>
      <c r="J515" t="s">
        <v>46</v>
      </c>
      <c r="K515" t="s">
        <v>47</v>
      </c>
      <c r="L515" t="s">
        <v>48</v>
      </c>
      <c r="M515">
        <v>4</v>
      </c>
      <c r="N515" t="s">
        <v>34</v>
      </c>
      <c r="O515" t="s">
        <v>75</v>
      </c>
      <c r="P515" t="s">
        <v>87</v>
      </c>
      <c r="Q515">
        <v>4</v>
      </c>
      <c r="R515" t="s">
        <v>37</v>
      </c>
      <c r="S515">
        <v>20</v>
      </c>
      <c r="T515" t="s">
        <v>96</v>
      </c>
      <c r="U515" t="s">
        <v>36</v>
      </c>
      <c r="V515" t="s">
        <v>69</v>
      </c>
      <c r="W515">
        <v>2</v>
      </c>
      <c r="X515" t="s">
        <v>39</v>
      </c>
      <c r="Y515">
        <v>1</v>
      </c>
      <c r="Z515" t="s">
        <v>51</v>
      </c>
      <c r="AA515" t="s">
        <v>40</v>
      </c>
      <c r="AB515">
        <v>1</v>
      </c>
    </row>
    <row r="516" spans="1:28" x14ac:dyDescent="0.3">
      <c r="A516">
        <v>515</v>
      </c>
      <c r="B516" t="s">
        <v>26</v>
      </c>
      <c r="C516" t="s">
        <v>52</v>
      </c>
      <c r="D516" t="s">
        <v>53</v>
      </c>
      <c r="E516">
        <v>24</v>
      </c>
      <c r="F516" t="s">
        <v>44</v>
      </c>
      <c r="G516" t="s">
        <v>63</v>
      </c>
      <c r="H516">
        <v>2255</v>
      </c>
      <c r="I516" t="s">
        <v>31</v>
      </c>
      <c r="J516" t="s">
        <v>31</v>
      </c>
      <c r="K516" t="s">
        <v>76</v>
      </c>
      <c r="L516" t="s">
        <v>77</v>
      </c>
      <c r="M516">
        <v>4</v>
      </c>
      <c r="N516" t="s">
        <v>34</v>
      </c>
      <c r="O516" t="s">
        <v>35</v>
      </c>
      <c r="P516" t="s">
        <v>36</v>
      </c>
      <c r="Q516">
        <v>1</v>
      </c>
      <c r="R516" t="s">
        <v>60</v>
      </c>
      <c r="S516">
        <v>54</v>
      </c>
      <c r="T516" t="s">
        <v>97</v>
      </c>
      <c r="U516" t="s">
        <v>36</v>
      </c>
      <c r="V516" t="s">
        <v>38</v>
      </c>
      <c r="W516">
        <v>1</v>
      </c>
      <c r="X516" t="s">
        <v>39</v>
      </c>
      <c r="Y516">
        <v>1</v>
      </c>
      <c r="Z516" t="s">
        <v>51</v>
      </c>
      <c r="AA516" t="s">
        <v>40</v>
      </c>
      <c r="AB516">
        <v>1</v>
      </c>
    </row>
    <row r="517" spans="1:28" x14ac:dyDescent="0.3">
      <c r="A517">
        <v>516</v>
      </c>
      <c r="B517" t="s">
        <v>26</v>
      </c>
      <c r="C517" t="s">
        <v>27</v>
      </c>
      <c r="D517" t="s">
        <v>28</v>
      </c>
      <c r="E517">
        <v>6</v>
      </c>
      <c r="F517" t="s">
        <v>29</v>
      </c>
      <c r="G517" t="s">
        <v>63</v>
      </c>
      <c r="H517">
        <v>609</v>
      </c>
      <c r="I517" t="s">
        <v>45</v>
      </c>
      <c r="J517" t="s">
        <v>46</v>
      </c>
      <c r="K517" t="s">
        <v>55</v>
      </c>
      <c r="L517" t="s">
        <v>56</v>
      </c>
      <c r="M517">
        <v>4</v>
      </c>
      <c r="N517" t="s">
        <v>49</v>
      </c>
      <c r="O517" t="s">
        <v>50</v>
      </c>
      <c r="P517" t="s">
        <v>36</v>
      </c>
      <c r="Q517">
        <v>3</v>
      </c>
      <c r="R517" t="s">
        <v>60</v>
      </c>
      <c r="S517">
        <v>37</v>
      </c>
      <c r="T517" t="s">
        <v>98</v>
      </c>
      <c r="U517" t="s">
        <v>36</v>
      </c>
      <c r="V517" t="s">
        <v>38</v>
      </c>
      <c r="W517">
        <v>2</v>
      </c>
      <c r="X517" t="s">
        <v>39</v>
      </c>
      <c r="Y517">
        <v>1</v>
      </c>
      <c r="Z517" t="s">
        <v>51</v>
      </c>
      <c r="AA517" t="s">
        <v>51</v>
      </c>
      <c r="AB517">
        <v>1</v>
      </c>
    </row>
    <row r="518" spans="1:28" x14ac:dyDescent="0.3">
      <c r="A518">
        <v>517</v>
      </c>
      <c r="B518" t="s">
        <v>26</v>
      </c>
      <c r="C518" t="s">
        <v>27</v>
      </c>
      <c r="D518" t="s">
        <v>28</v>
      </c>
      <c r="E518">
        <v>6</v>
      </c>
      <c r="F518" t="s">
        <v>29</v>
      </c>
      <c r="G518" t="s">
        <v>63</v>
      </c>
      <c r="H518">
        <v>1361</v>
      </c>
      <c r="I518" t="s">
        <v>45</v>
      </c>
      <c r="J518" t="s">
        <v>46</v>
      </c>
      <c r="K518" t="s">
        <v>76</v>
      </c>
      <c r="L518" t="s">
        <v>77</v>
      </c>
      <c r="M518">
        <v>2</v>
      </c>
      <c r="N518" t="s">
        <v>34</v>
      </c>
      <c r="O518" t="s">
        <v>35</v>
      </c>
      <c r="P518" t="s">
        <v>36</v>
      </c>
      <c r="Q518">
        <v>4</v>
      </c>
      <c r="R518" t="s">
        <v>37</v>
      </c>
      <c r="S518">
        <v>40</v>
      </c>
      <c r="T518" t="s">
        <v>97</v>
      </c>
      <c r="U518" t="s">
        <v>36</v>
      </c>
      <c r="V518" t="s">
        <v>38</v>
      </c>
      <c r="W518">
        <v>1</v>
      </c>
      <c r="X518" t="s">
        <v>57</v>
      </c>
      <c r="Y518">
        <v>2</v>
      </c>
      <c r="Z518" t="s">
        <v>51</v>
      </c>
      <c r="AA518" t="s">
        <v>51</v>
      </c>
      <c r="AB518">
        <v>1</v>
      </c>
    </row>
    <row r="519" spans="1:28" x14ac:dyDescent="0.3">
      <c r="A519">
        <v>518</v>
      </c>
      <c r="B519" t="s">
        <v>41</v>
      </c>
      <c r="C519" t="s">
        <v>52</v>
      </c>
      <c r="D519" t="s">
        <v>53</v>
      </c>
      <c r="E519">
        <v>36</v>
      </c>
      <c r="F519" t="s">
        <v>29</v>
      </c>
      <c r="G519" t="s">
        <v>58</v>
      </c>
      <c r="H519">
        <v>7127</v>
      </c>
      <c r="I519" t="s">
        <v>45</v>
      </c>
      <c r="J519" t="s">
        <v>46</v>
      </c>
      <c r="K519" t="s">
        <v>76</v>
      </c>
      <c r="L519" t="s">
        <v>77</v>
      </c>
      <c r="M519">
        <v>2</v>
      </c>
      <c r="N519" t="s">
        <v>49</v>
      </c>
      <c r="O519" t="s">
        <v>50</v>
      </c>
      <c r="P519" t="s">
        <v>36</v>
      </c>
      <c r="Q519">
        <v>4</v>
      </c>
      <c r="R519" t="s">
        <v>60</v>
      </c>
      <c r="S519">
        <v>23</v>
      </c>
      <c r="T519" t="s">
        <v>96</v>
      </c>
      <c r="U519" t="s">
        <v>36</v>
      </c>
      <c r="V519" t="s">
        <v>69</v>
      </c>
      <c r="W519">
        <v>2</v>
      </c>
      <c r="X519" t="s">
        <v>39</v>
      </c>
      <c r="Y519">
        <v>1</v>
      </c>
      <c r="Z519" t="s">
        <v>40</v>
      </c>
      <c r="AA519" t="s">
        <v>40</v>
      </c>
      <c r="AB519">
        <v>2</v>
      </c>
    </row>
    <row r="520" spans="1:28" x14ac:dyDescent="0.3">
      <c r="A520">
        <v>519</v>
      </c>
      <c r="B520" t="s">
        <v>26</v>
      </c>
      <c r="C520" t="s">
        <v>27</v>
      </c>
      <c r="D520" t="s">
        <v>28</v>
      </c>
      <c r="E520">
        <v>6</v>
      </c>
      <c r="F520" t="s">
        <v>44</v>
      </c>
      <c r="G520" t="s">
        <v>63</v>
      </c>
      <c r="H520">
        <v>1203</v>
      </c>
      <c r="I520" t="s">
        <v>79</v>
      </c>
      <c r="J520" t="s">
        <v>80</v>
      </c>
      <c r="K520" t="s">
        <v>32</v>
      </c>
      <c r="L520" t="s">
        <v>33</v>
      </c>
      <c r="M520">
        <v>3</v>
      </c>
      <c r="N520" t="s">
        <v>34</v>
      </c>
      <c r="O520" t="s">
        <v>35</v>
      </c>
      <c r="P520" t="s">
        <v>36</v>
      </c>
      <c r="Q520">
        <v>2</v>
      </c>
      <c r="R520" t="s">
        <v>60</v>
      </c>
      <c r="S520">
        <v>43</v>
      </c>
      <c r="T520" t="s">
        <v>97</v>
      </c>
      <c r="U520" t="s">
        <v>36</v>
      </c>
      <c r="V520" t="s">
        <v>38</v>
      </c>
      <c r="W520">
        <v>1</v>
      </c>
      <c r="X520" t="s">
        <v>39</v>
      </c>
      <c r="Y520">
        <v>1</v>
      </c>
      <c r="Z520" t="s">
        <v>40</v>
      </c>
      <c r="AA520" t="s">
        <v>40</v>
      </c>
      <c r="AB520">
        <v>1</v>
      </c>
    </row>
    <row r="521" spans="1:28" x14ac:dyDescent="0.3">
      <c r="A521">
        <v>520</v>
      </c>
      <c r="B521" t="s">
        <v>26</v>
      </c>
      <c r="C521" t="s">
        <v>52</v>
      </c>
      <c r="D521" t="s">
        <v>53</v>
      </c>
      <c r="E521">
        <v>6</v>
      </c>
      <c r="F521" t="s">
        <v>29</v>
      </c>
      <c r="G521" t="s">
        <v>30</v>
      </c>
      <c r="H521">
        <v>700</v>
      </c>
      <c r="I521" t="s">
        <v>31</v>
      </c>
      <c r="J521" t="s">
        <v>31</v>
      </c>
      <c r="K521" t="s">
        <v>32</v>
      </c>
      <c r="L521" t="s">
        <v>33</v>
      </c>
      <c r="M521">
        <v>4</v>
      </c>
      <c r="N521" t="s">
        <v>34</v>
      </c>
      <c r="O521" t="s">
        <v>35</v>
      </c>
      <c r="P521" t="s">
        <v>36</v>
      </c>
      <c r="Q521">
        <v>4</v>
      </c>
      <c r="R521" t="s">
        <v>64</v>
      </c>
      <c r="S521">
        <v>36</v>
      </c>
      <c r="T521" t="s">
        <v>98</v>
      </c>
      <c r="U521" t="s">
        <v>36</v>
      </c>
      <c r="V521" t="s">
        <v>61</v>
      </c>
      <c r="W521">
        <v>2</v>
      </c>
      <c r="X521" t="s">
        <v>39</v>
      </c>
      <c r="Y521">
        <v>1</v>
      </c>
      <c r="Z521" t="s">
        <v>51</v>
      </c>
      <c r="AA521" t="s">
        <v>40</v>
      </c>
      <c r="AB521">
        <v>1</v>
      </c>
    </row>
    <row r="522" spans="1:28" x14ac:dyDescent="0.3">
      <c r="A522">
        <v>521</v>
      </c>
      <c r="B522" t="s">
        <v>26</v>
      </c>
      <c r="C522" t="s">
        <v>52</v>
      </c>
      <c r="D522" t="s">
        <v>53</v>
      </c>
      <c r="E522">
        <v>24</v>
      </c>
      <c r="F522" t="s">
        <v>29</v>
      </c>
      <c r="G522" t="s">
        <v>89</v>
      </c>
      <c r="H522">
        <v>5507</v>
      </c>
      <c r="I522" t="s">
        <v>45</v>
      </c>
      <c r="J522" t="s">
        <v>46</v>
      </c>
      <c r="K522" t="s">
        <v>32</v>
      </c>
      <c r="L522" t="s">
        <v>33</v>
      </c>
      <c r="M522">
        <v>3</v>
      </c>
      <c r="N522" t="s">
        <v>34</v>
      </c>
      <c r="O522" t="s">
        <v>35</v>
      </c>
      <c r="P522" t="s">
        <v>36</v>
      </c>
      <c r="Q522">
        <v>4</v>
      </c>
      <c r="R522" t="s">
        <v>64</v>
      </c>
      <c r="S522">
        <v>44</v>
      </c>
      <c r="T522" t="s">
        <v>97</v>
      </c>
      <c r="U522" t="s">
        <v>36</v>
      </c>
      <c r="V522" t="s">
        <v>61</v>
      </c>
      <c r="W522">
        <v>2</v>
      </c>
      <c r="X522" t="s">
        <v>39</v>
      </c>
      <c r="Y522">
        <v>1</v>
      </c>
      <c r="Z522" t="s">
        <v>51</v>
      </c>
      <c r="AA522" t="s">
        <v>40</v>
      </c>
      <c r="AB522">
        <v>1</v>
      </c>
    </row>
    <row r="523" spans="1:28" x14ac:dyDescent="0.3">
      <c r="A523">
        <v>522</v>
      </c>
      <c r="B523" t="s">
        <v>41</v>
      </c>
      <c r="C523" t="s">
        <v>27</v>
      </c>
      <c r="D523" t="s">
        <v>28</v>
      </c>
      <c r="E523">
        <v>18</v>
      </c>
      <c r="F523" t="s">
        <v>44</v>
      </c>
      <c r="G523" t="s">
        <v>30</v>
      </c>
      <c r="H523">
        <v>3190</v>
      </c>
      <c r="I523" t="s">
        <v>45</v>
      </c>
      <c r="J523" t="s">
        <v>46</v>
      </c>
      <c r="K523" t="s">
        <v>47</v>
      </c>
      <c r="L523" t="s">
        <v>48</v>
      </c>
      <c r="M523">
        <v>2</v>
      </c>
      <c r="N523" t="s">
        <v>49</v>
      </c>
      <c r="O523" t="s">
        <v>50</v>
      </c>
      <c r="P523" t="s">
        <v>36</v>
      </c>
      <c r="Q523">
        <v>2</v>
      </c>
      <c r="R523" t="s">
        <v>37</v>
      </c>
      <c r="S523">
        <v>24</v>
      </c>
      <c r="T523" t="s">
        <v>96</v>
      </c>
      <c r="U523" t="s">
        <v>36</v>
      </c>
      <c r="V523" t="s">
        <v>38</v>
      </c>
      <c r="W523">
        <v>1</v>
      </c>
      <c r="X523" t="s">
        <v>39</v>
      </c>
      <c r="Y523">
        <v>1</v>
      </c>
      <c r="Z523" t="s">
        <v>51</v>
      </c>
      <c r="AA523" t="s">
        <v>40</v>
      </c>
      <c r="AB523">
        <v>2</v>
      </c>
    </row>
    <row r="524" spans="1:28" x14ac:dyDescent="0.3">
      <c r="A524">
        <v>523</v>
      </c>
      <c r="B524" t="s">
        <v>41</v>
      </c>
      <c r="C524" t="s">
        <v>27</v>
      </c>
      <c r="D524" t="s">
        <v>28</v>
      </c>
      <c r="E524">
        <v>48</v>
      </c>
      <c r="F524" t="s">
        <v>81</v>
      </c>
      <c r="G524" t="s">
        <v>58</v>
      </c>
      <c r="H524">
        <v>7119</v>
      </c>
      <c r="I524" t="s">
        <v>45</v>
      </c>
      <c r="J524" t="s">
        <v>46</v>
      </c>
      <c r="K524" t="s">
        <v>47</v>
      </c>
      <c r="L524" t="s">
        <v>48</v>
      </c>
      <c r="M524">
        <v>3</v>
      </c>
      <c r="N524" t="s">
        <v>34</v>
      </c>
      <c r="O524" t="s">
        <v>35</v>
      </c>
      <c r="P524" t="s">
        <v>36</v>
      </c>
      <c r="Q524">
        <v>4</v>
      </c>
      <c r="R524" t="s">
        <v>64</v>
      </c>
      <c r="S524">
        <v>53</v>
      </c>
      <c r="T524" t="s">
        <v>97</v>
      </c>
      <c r="U524" t="s">
        <v>36</v>
      </c>
      <c r="V524" t="s">
        <v>61</v>
      </c>
      <c r="W524">
        <v>2</v>
      </c>
      <c r="X524" t="s">
        <v>39</v>
      </c>
      <c r="Y524">
        <v>2</v>
      </c>
      <c r="Z524" t="s">
        <v>51</v>
      </c>
      <c r="AA524" t="s">
        <v>40</v>
      </c>
      <c r="AB524">
        <v>2</v>
      </c>
    </row>
    <row r="525" spans="1:28" x14ac:dyDescent="0.3">
      <c r="A525">
        <v>524</v>
      </c>
      <c r="B525" t="s">
        <v>26</v>
      </c>
      <c r="C525" t="s">
        <v>52</v>
      </c>
      <c r="D525" t="s">
        <v>53</v>
      </c>
      <c r="E525">
        <v>24</v>
      </c>
      <c r="F525" t="s">
        <v>44</v>
      </c>
      <c r="G525" t="s">
        <v>67</v>
      </c>
      <c r="H525">
        <v>3488</v>
      </c>
      <c r="I525" t="s">
        <v>79</v>
      </c>
      <c r="J525" t="s">
        <v>80</v>
      </c>
      <c r="K525" t="s">
        <v>55</v>
      </c>
      <c r="L525" t="s">
        <v>56</v>
      </c>
      <c r="M525">
        <v>3</v>
      </c>
      <c r="N525" t="s">
        <v>49</v>
      </c>
      <c r="O525" t="s">
        <v>50</v>
      </c>
      <c r="P525" t="s">
        <v>36</v>
      </c>
      <c r="Q525">
        <v>4</v>
      </c>
      <c r="R525" t="s">
        <v>68</v>
      </c>
      <c r="S525">
        <v>23</v>
      </c>
      <c r="T525" t="s">
        <v>96</v>
      </c>
      <c r="U525" t="s">
        <v>36</v>
      </c>
      <c r="V525" t="s">
        <v>38</v>
      </c>
      <c r="W525">
        <v>1</v>
      </c>
      <c r="X525" t="s">
        <v>39</v>
      </c>
      <c r="Y525">
        <v>1</v>
      </c>
      <c r="Z525" t="s">
        <v>51</v>
      </c>
      <c r="AA525" t="s">
        <v>40</v>
      </c>
      <c r="AB525">
        <v>1</v>
      </c>
    </row>
    <row r="526" spans="1:28" x14ac:dyDescent="0.3">
      <c r="A526">
        <v>525</v>
      </c>
      <c r="B526" t="s">
        <v>26</v>
      </c>
      <c r="C526" t="s">
        <v>42</v>
      </c>
      <c r="D526" t="s">
        <v>43</v>
      </c>
      <c r="E526">
        <v>18</v>
      </c>
      <c r="F526" t="s">
        <v>44</v>
      </c>
      <c r="G526" t="s">
        <v>30</v>
      </c>
      <c r="H526">
        <v>1113</v>
      </c>
      <c r="I526" t="s">
        <v>45</v>
      </c>
      <c r="J526" t="s">
        <v>46</v>
      </c>
      <c r="K526" t="s">
        <v>47</v>
      </c>
      <c r="L526" t="s">
        <v>48</v>
      </c>
      <c r="M526">
        <v>4</v>
      </c>
      <c r="N526" t="s">
        <v>49</v>
      </c>
      <c r="O526" t="s">
        <v>50</v>
      </c>
      <c r="P526" t="s">
        <v>59</v>
      </c>
      <c r="Q526">
        <v>4</v>
      </c>
      <c r="R526" t="s">
        <v>37</v>
      </c>
      <c r="S526">
        <v>26</v>
      </c>
      <c r="T526" t="s">
        <v>98</v>
      </c>
      <c r="U526" t="s">
        <v>36</v>
      </c>
      <c r="V526" t="s">
        <v>38</v>
      </c>
      <c r="W526">
        <v>1</v>
      </c>
      <c r="X526" t="s">
        <v>57</v>
      </c>
      <c r="Y526">
        <v>2</v>
      </c>
      <c r="Z526" t="s">
        <v>51</v>
      </c>
      <c r="AA526" t="s">
        <v>40</v>
      </c>
      <c r="AB526">
        <v>1</v>
      </c>
    </row>
    <row r="527" spans="1:28" x14ac:dyDescent="0.3">
      <c r="A527">
        <v>526</v>
      </c>
      <c r="B527" t="s">
        <v>26</v>
      </c>
      <c r="C527" t="s">
        <v>42</v>
      </c>
      <c r="D527" t="s">
        <v>43</v>
      </c>
      <c r="E527">
        <v>26</v>
      </c>
      <c r="F527" t="s">
        <v>44</v>
      </c>
      <c r="G527" t="s">
        <v>67</v>
      </c>
      <c r="H527">
        <v>7966</v>
      </c>
      <c r="I527" t="s">
        <v>45</v>
      </c>
      <c r="J527" t="s">
        <v>46</v>
      </c>
      <c r="K527" t="s">
        <v>76</v>
      </c>
      <c r="L527" t="s">
        <v>77</v>
      </c>
      <c r="M527">
        <v>2</v>
      </c>
      <c r="N527" t="s">
        <v>34</v>
      </c>
      <c r="O527" t="s">
        <v>35</v>
      </c>
      <c r="P527" t="s">
        <v>36</v>
      </c>
      <c r="Q527">
        <v>3</v>
      </c>
      <c r="R527" t="s">
        <v>68</v>
      </c>
      <c r="S527">
        <v>30</v>
      </c>
      <c r="T527" t="s">
        <v>98</v>
      </c>
      <c r="U527" t="s">
        <v>36</v>
      </c>
      <c r="V527" t="s">
        <v>38</v>
      </c>
      <c r="W527">
        <v>2</v>
      </c>
      <c r="X527" t="s">
        <v>39</v>
      </c>
      <c r="Y527">
        <v>1</v>
      </c>
      <c r="Z527" t="s">
        <v>51</v>
      </c>
      <c r="AA527" t="s">
        <v>40</v>
      </c>
      <c r="AB527">
        <v>1</v>
      </c>
    </row>
    <row r="528" spans="1:28" x14ac:dyDescent="0.3">
      <c r="A528">
        <v>527</v>
      </c>
      <c r="B528" t="s">
        <v>26</v>
      </c>
      <c r="C528" t="s">
        <v>52</v>
      </c>
      <c r="D528" t="s">
        <v>53</v>
      </c>
      <c r="E528">
        <v>15</v>
      </c>
      <c r="F528" t="s">
        <v>29</v>
      </c>
      <c r="G528" t="s">
        <v>54</v>
      </c>
      <c r="H528">
        <v>1532</v>
      </c>
      <c r="I528" t="s">
        <v>79</v>
      </c>
      <c r="J528" t="s">
        <v>80</v>
      </c>
      <c r="K528" t="s">
        <v>47</v>
      </c>
      <c r="L528" t="s">
        <v>48</v>
      </c>
      <c r="M528">
        <v>4</v>
      </c>
      <c r="N528" t="s">
        <v>49</v>
      </c>
      <c r="O528" t="s">
        <v>50</v>
      </c>
      <c r="P528" t="s">
        <v>36</v>
      </c>
      <c r="Q528">
        <v>3</v>
      </c>
      <c r="R528" t="s">
        <v>68</v>
      </c>
      <c r="S528">
        <v>31</v>
      </c>
      <c r="T528" t="s">
        <v>98</v>
      </c>
      <c r="U528" t="s">
        <v>36</v>
      </c>
      <c r="V528" t="s">
        <v>38</v>
      </c>
      <c r="W528">
        <v>1</v>
      </c>
      <c r="X528" t="s">
        <v>39</v>
      </c>
      <c r="Y528">
        <v>1</v>
      </c>
      <c r="Z528" t="s">
        <v>51</v>
      </c>
      <c r="AA528" t="s">
        <v>40</v>
      </c>
      <c r="AB528">
        <v>1</v>
      </c>
    </row>
    <row r="529" spans="1:28" x14ac:dyDescent="0.3">
      <c r="A529">
        <v>528</v>
      </c>
      <c r="B529" t="s">
        <v>26</v>
      </c>
      <c r="C529" t="s">
        <v>52</v>
      </c>
      <c r="D529" t="s">
        <v>53</v>
      </c>
      <c r="E529">
        <v>4</v>
      </c>
      <c r="F529" t="s">
        <v>29</v>
      </c>
      <c r="G529" t="s">
        <v>30</v>
      </c>
      <c r="H529">
        <v>1503</v>
      </c>
      <c r="I529" t="s">
        <v>45</v>
      </c>
      <c r="J529" t="s">
        <v>46</v>
      </c>
      <c r="K529" t="s">
        <v>55</v>
      </c>
      <c r="L529" t="s">
        <v>56</v>
      </c>
      <c r="M529">
        <v>2</v>
      </c>
      <c r="N529" t="s">
        <v>34</v>
      </c>
      <c r="O529" t="s">
        <v>35</v>
      </c>
      <c r="P529" t="s">
        <v>36</v>
      </c>
      <c r="Q529">
        <v>1</v>
      </c>
      <c r="R529" t="s">
        <v>37</v>
      </c>
      <c r="S529">
        <v>42</v>
      </c>
      <c r="T529" t="s">
        <v>97</v>
      </c>
      <c r="U529" t="s">
        <v>36</v>
      </c>
      <c r="V529" t="s">
        <v>38</v>
      </c>
      <c r="W529">
        <v>2</v>
      </c>
      <c r="X529" t="s">
        <v>57</v>
      </c>
      <c r="Y529">
        <v>2</v>
      </c>
      <c r="Z529" t="s">
        <v>51</v>
      </c>
      <c r="AA529" t="s">
        <v>40</v>
      </c>
      <c r="AB529">
        <v>1</v>
      </c>
    </row>
    <row r="530" spans="1:28" x14ac:dyDescent="0.3">
      <c r="A530">
        <v>529</v>
      </c>
      <c r="B530" t="s">
        <v>41</v>
      </c>
      <c r="C530" t="s">
        <v>27</v>
      </c>
      <c r="D530" t="s">
        <v>28</v>
      </c>
      <c r="E530">
        <v>36</v>
      </c>
      <c r="F530" t="s">
        <v>44</v>
      </c>
      <c r="G530" t="s">
        <v>30</v>
      </c>
      <c r="H530">
        <v>2302</v>
      </c>
      <c r="I530" t="s">
        <v>45</v>
      </c>
      <c r="J530" t="s">
        <v>46</v>
      </c>
      <c r="K530" t="s">
        <v>47</v>
      </c>
      <c r="L530" t="s">
        <v>48</v>
      </c>
      <c r="M530">
        <v>4</v>
      </c>
      <c r="N530" t="s">
        <v>34</v>
      </c>
      <c r="O530" t="s">
        <v>73</v>
      </c>
      <c r="P530" t="s">
        <v>36</v>
      </c>
      <c r="Q530">
        <v>4</v>
      </c>
      <c r="R530" t="s">
        <v>68</v>
      </c>
      <c r="S530">
        <v>31</v>
      </c>
      <c r="T530" t="s">
        <v>98</v>
      </c>
      <c r="U530" t="s">
        <v>36</v>
      </c>
      <c r="V530" t="s">
        <v>69</v>
      </c>
      <c r="W530">
        <v>1</v>
      </c>
      <c r="X530" t="s">
        <v>39</v>
      </c>
      <c r="Y530">
        <v>1</v>
      </c>
      <c r="Z530" t="s">
        <v>51</v>
      </c>
      <c r="AA530" t="s">
        <v>40</v>
      </c>
      <c r="AB530">
        <v>2</v>
      </c>
    </row>
    <row r="531" spans="1:28" x14ac:dyDescent="0.3">
      <c r="A531">
        <v>530</v>
      </c>
      <c r="B531" t="s">
        <v>26</v>
      </c>
      <c r="C531" t="s">
        <v>27</v>
      </c>
      <c r="D531" t="s">
        <v>28</v>
      </c>
      <c r="E531">
        <v>6</v>
      </c>
      <c r="F531" t="s">
        <v>44</v>
      </c>
      <c r="G531" t="s">
        <v>63</v>
      </c>
      <c r="H531">
        <v>662</v>
      </c>
      <c r="I531" t="s">
        <v>45</v>
      </c>
      <c r="J531" t="s">
        <v>46</v>
      </c>
      <c r="K531" t="s">
        <v>76</v>
      </c>
      <c r="L531" t="s">
        <v>77</v>
      </c>
      <c r="M531">
        <v>3</v>
      </c>
      <c r="N531" t="s">
        <v>34</v>
      </c>
      <c r="O531" t="s">
        <v>35</v>
      </c>
      <c r="P531" t="s">
        <v>36</v>
      </c>
      <c r="Q531">
        <v>4</v>
      </c>
      <c r="R531" t="s">
        <v>37</v>
      </c>
      <c r="S531">
        <v>41</v>
      </c>
      <c r="T531" t="s">
        <v>97</v>
      </c>
      <c r="U531" t="s">
        <v>36</v>
      </c>
      <c r="V531" t="s">
        <v>38</v>
      </c>
      <c r="W531">
        <v>1</v>
      </c>
      <c r="X531" t="s">
        <v>57</v>
      </c>
      <c r="Y531">
        <v>2</v>
      </c>
      <c r="Z531" t="s">
        <v>40</v>
      </c>
      <c r="AA531" t="s">
        <v>40</v>
      </c>
      <c r="AB531">
        <v>1</v>
      </c>
    </row>
    <row r="532" spans="1:28" x14ac:dyDescent="0.3">
      <c r="A532">
        <v>531</v>
      </c>
      <c r="B532" t="s">
        <v>26</v>
      </c>
      <c r="C532" t="s">
        <v>42</v>
      </c>
      <c r="D532" t="s">
        <v>43</v>
      </c>
      <c r="E532">
        <v>36</v>
      </c>
      <c r="F532" t="s">
        <v>44</v>
      </c>
      <c r="G532" t="s">
        <v>54</v>
      </c>
      <c r="H532">
        <v>2273</v>
      </c>
      <c r="I532" t="s">
        <v>45</v>
      </c>
      <c r="J532" t="s">
        <v>46</v>
      </c>
      <c r="K532" t="s">
        <v>55</v>
      </c>
      <c r="L532" t="s">
        <v>56</v>
      </c>
      <c r="M532">
        <v>3</v>
      </c>
      <c r="N532" t="s">
        <v>34</v>
      </c>
      <c r="O532" t="s">
        <v>35</v>
      </c>
      <c r="P532" t="s">
        <v>36</v>
      </c>
      <c r="Q532">
        <v>1</v>
      </c>
      <c r="R532" t="s">
        <v>68</v>
      </c>
      <c r="S532">
        <v>32</v>
      </c>
      <c r="T532" t="s">
        <v>98</v>
      </c>
      <c r="U532" t="s">
        <v>36</v>
      </c>
      <c r="V532" t="s">
        <v>38</v>
      </c>
      <c r="W532">
        <v>2</v>
      </c>
      <c r="X532" t="s">
        <v>39</v>
      </c>
      <c r="Y532">
        <v>2</v>
      </c>
      <c r="Z532" t="s">
        <v>51</v>
      </c>
      <c r="AA532" t="s">
        <v>40</v>
      </c>
      <c r="AB532">
        <v>1</v>
      </c>
    </row>
    <row r="533" spans="1:28" x14ac:dyDescent="0.3">
      <c r="A533">
        <v>532</v>
      </c>
      <c r="B533" t="s">
        <v>41</v>
      </c>
      <c r="C533" t="s">
        <v>42</v>
      </c>
      <c r="D533" t="s">
        <v>43</v>
      </c>
      <c r="E533">
        <v>15</v>
      </c>
      <c r="F533" t="s">
        <v>44</v>
      </c>
      <c r="G533" t="s">
        <v>63</v>
      </c>
      <c r="H533">
        <v>2631</v>
      </c>
      <c r="I533" t="s">
        <v>79</v>
      </c>
      <c r="J533" t="s">
        <v>80</v>
      </c>
      <c r="K533" t="s">
        <v>47</v>
      </c>
      <c r="L533" t="s">
        <v>48</v>
      </c>
      <c r="M533">
        <v>2</v>
      </c>
      <c r="N533" t="s">
        <v>49</v>
      </c>
      <c r="O533" t="s">
        <v>50</v>
      </c>
      <c r="P533" t="s">
        <v>36</v>
      </c>
      <c r="Q533">
        <v>4</v>
      </c>
      <c r="R533" t="s">
        <v>68</v>
      </c>
      <c r="S533">
        <v>28</v>
      </c>
      <c r="T533" t="s">
        <v>98</v>
      </c>
      <c r="U533" t="s">
        <v>36</v>
      </c>
      <c r="V533" t="s">
        <v>69</v>
      </c>
      <c r="W533">
        <v>2</v>
      </c>
      <c r="X533" t="s">
        <v>39</v>
      </c>
      <c r="Y533">
        <v>1</v>
      </c>
      <c r="Z533" t="s">
        <v>40</v>
      </c>
      <c r="AA533" t="s">
        <v>40</v>
      </c>
      <c r="AB533">
        <v>2</v>
      </c>
    </row>
    <row r="534" spans="1:28" x14ac:dyDescent="0.3">
      <c r="A534">
        <v>533</v>
      </c>
      <c r="B534" t="s">
        <v>26</v>
      </c>
      <c r="C534" t="s">
        <v>52</v>
      </c>
      <c r="D534" t="s">
        <v>53</v>
      </c>
      <c r="E534">
        <v>12</v>
      </c>
      <c r="F534" t="s">
        <v>62</v>
      </c>
      <c r="G534" t="s">
        <v>67</v>
      </c>
      <c r="H534">
        <v>1503</v>
      </c>
      <c r="I534" t="s">
        <v>45</v>
      </c>
      <c r="J534" t="s">
        <v>46</v>
      </c>
      <c r="K534" t="s">
        <v>47</v>
      </c>
      <c r="L534" t="s">
        <v>48</v>
      </c>
      <c r="M534">
        <v>4</v>
      </c>
      <c r="N534" t="s">
        <v>34</v>
      </c>
      <c r="O534" t="s">
        <v>75</v>
      </c>
      <c r="P534" t="s">
        <v>36</v>
      </c>
      <c r="Q534">
        <v>4</v>
      </c>
      <c r="R534" t="s">
        <v>37</v>
      </c>
      <c r="S534">
        <v>41</v>
      </c>
      <c r="T534" t="s">
        <v>97</v>
      </c>
      <c r="U534" t="s">
        <v>36</v>
      </c>
      <c r="V534" t="s">
        <v>69</v>
      </c>
      <c r="W534">
        <v>1</v>
      </c>
      <c r="X534" t="s">
        <v>39</v>
      </c>
      <c r="Y534">
        <v>1</v>
      </c>
      <c r="Z534" t="s">
        <v>51</v>
      </c>
      <c r="AA534" t="s">
        <v>40</v>
      </c>
      <c r="AB534">
        <v>1</v>
      </c>
    </row>
    <row r="535" spans="1:28" x14ac:dyDescent="0.3">
      <c r="A535">
        <v>534</v>
      </c>
      <c r="B535" t="s">
        <v>26</v>
      </c>
      <c r="C535" t="s">
        <v>52</v>
      </c>
      <c r="D535" t="s">
        <v>53</v>
      </c>
      <c r="E535">
        <v>24</v>
      </c>
      <c r="F535" t="s">
        <v>44</v>
      </c>
      <c r="G535" t="s">
        <v>30</v>
      </c>
      <c r="H535">
        <v>1311</v>
      </c>
      <c r="I535" t="s">
        <v>79</v>
      </c>
      <c r="J535" t="s">
        <v>80</v>
      </c>
      <c r="K535" t="s">
        <v>55</v>
      </c>
      <c r="L535" t="s">
        <v>56</v>
      </c>
      <c r="M535">
        <v>4</v>
      </c>
      <c r="N535" t="s">
        <v>34</v>
      </c>
      <c r="O535" t="s">
        <v>75</v>
      </c>
      <c r="P535" t="s">
        <v>36</v>
      </c>
      <c r="Q535">
        <v>3</v>
      </c>
      <c r="R535" t="s">
        <v>60</v>
      </c>
      <c r="S535">
        <v>26</v>
      </c>
      <c r="T535" t="s">
        <v>98</v>
      </c>
      <c r="U535" t="s">
        <v>36</v>
      </c>
      <c r="V535" t="s">
        <v>38</v>
      </c>
      <c r="W535">
        <v>1</v>
      </c>
      <c r="X535" t="s">
        <v>39</v>
      </c>
      <c r="Y535">
        <v>1</v>
      </c>
      <c r="Z535" t="s">
        <v>40</v>
      </c>
      <c r="AA535" t="s">
        <v>40</v>
      </c>
      <c r="AB535">
        <v>1</v>
      </c>
    </row>
    <row r="536" spans="1:28" x14ac:dyDescent="0.3">
      <c r="A536">
        <v>535</v>
      </c>
      <c r="B536" t="s">
        <v>26</v>
      </c>
      <c r="C536" t="s">
        <v>52</v>
      </c>
      <c r="D536" t="s">
        <v>53</v>
      </c>
      <c r="E536">
        <v>24</v>
      </c>
      <c r="F536" t="s">
        <v>44</v>
      </c>
      <c r="G536" t="s">
        <v>30</v>
      </c>
      <c r="H536">
        <v>3105</v>
      </c>
      <c r="I536" t="s">
        <v>31</v>
      </c>
      <c r="J536" t="s">
        <v>31</v>
      </c>
      <c r="K536" t="s">
        <v>76</v>
      </c>
      <c r="L536" t="s">
        <v>77</v>
      </c>
      <c r="M536">
        <v>4</v>
      </c>
      <c r="N536" t="s">
        <v>34</v>
      </c>
      <c r="O536" t="s">
        <v>35</v>
      </c>
      <c r="P536" t="s">
        <v>36</v>
      </c>
      <c r="Q536">
        <v>2</v>
      </c>
      <c r="R536" t="s">
        <v>68</v>
      </c>
      <c r="S536">
        <v>25</v>
      </c>
      <c r="T536" t="s">
        <v>98</v>
      </c>
      <c r="U536" t="s">
        <v>36</v>
      </c>
      <c r="V536" t="s">
        <v>38</v>
      </c>
      <c r="W536">
        <v>2</v>
      </c>
      <c r="X536" t="s">
        <v>39</v>
      </c>
      <c r="Y536">
        <v>1</v>
      </c>
      <c r="Z536" t="s">
        <v>51</v>
      </c>
      <c r="AA536" t="s">
        <v>40</v>
      </c>
      <c r="AB536">
        <v>1</v>
      </c>
    </row>
    <row r="537" spans="1:28" x14ac:dyDescent="0.3">
      <c r="A537">
        <v>536</v>
      </c>
      <c r="B537" t="s">
        <v>41</v>
      </c>
      <c r="C537" t="s">
        <v>83</v>
      </c>
      <c r="D537" t="s">
        <v>84</v>
      </c>
      <c r="E537">
        <v>21</v>
      </c>
      <c r="F537" t="s">
        <v>29</v>
      </c>
      <c r="G537" t="s">
        <v>54</v>
      </c>
      <c r="H537">
        <v>2319</v>
      </c>
      <c r="I537" t="s">
        <v>45</v>
      </c>
      <c r="J537" t="s">
        <v>46</v>
      </c>
      <c r="K537" t="s">
        <v>76</v>
      </c>
      <c r="L537" t="s">
        <v>77</v>
      </c>
      <c r="M537">
        <v>2</v>
      </c>
      <c r="N537" t="s">
        <v>34</v>
      </c>
      <c r="O537" t="s">
        <v>73</v>
      </c>
      <c r="P537" t="s">
        <v>36</v>
      </c>
      <c r="Q537">
        <v>1</v>
      </c>
      <c r="R537" t="s">
        <v>68</v>
      </c>
      <c r="S537">
        <v>33</v>
      </c>
      <c r="T537" t="s">
        <v>98</v>
      </c>
      <c r="U537" t="s">
        <v>36</v>
      </c>
      <c r="V537" t="s">
        <v>69</v>
      </c>
      <c r="W537">
        <v>1</v>
      </c>
      <c r="X537" t="s">
        <v>39</v>
      </c>
      <c r="Y537">
        <v>1</v>
      </c>
      <c r="Z537" t="s">
        <v>51</v>
      </c>
      <c r="AA537" t="s">
        <v>40</v>
      </c>
      <c r="AB537">
        <v>2</v>
      </c>
    </row>
    <row r="538" spans="1:28" x14ac:dyDescent="0.3">
      <c r="A538">
        <v>537</v>
      </c>
      <c r="B538" t="s">
        <v>26</v>
      </c>
      <c r="C538" t="s">
        <v>27</v>
      </c>
      <c r="D538" t="s">
        <v>28</v>
      </c>
      <c r="E538">
        <v>6</v>
      </c>
      <c r="F538" t="s">
        <v>44</v>
      </c>
      <c r="G538" t="s">
        <v>63</v>
      </c>
      <c r="H538">
        <v>1374</v>
      </c>
      <c r="I538" t="s">
        <v>31</v>
      </c>
      <c r="J538" t="s">
        <v>31</v>
      </c>
      <c r="K538" t="s">
        <v>74</v>
      </c>
      <c r="L538" t="s">
        <v>74</v>
      </c>
      <c r="M538">
        <v>4</v>
      </c>
      <c r="N538" t="s">
        <v>49</v>
      </c>
      <c r="O538" t="s">
        <v>50</v>
      </c>
      <c r="P538" t="s">
        <v>36</v>
      </c>
      <c r="Q538">
        <v>3</v>
      </c>
      <c r="R538" t="s">
        <v>60</v>
      </c>
      <c r="S538">
        <v>75</v>
      </c>
      <c r="T538" t="s">
        <v>95</v>
      </c>
      <c r="U538" t="s">
        <v>36</v>
      </c>
      <c r="V538" t="s">
        <v>38</v>
      </c>
      <c r="W538">
        <v>1</v>
      </c>
      <c r="X538" t="s">
        <v>70</v>
      </c>
      <c r="Y538">
        <v>1</v>
      </c>
      <c r="Z538" t="s">
        <v>40</v>
      </c>
      <c r="AA538" t="s">
        <v>40</v>
      </c>
      <c r="AB538">
        <v>1</v>
      </c>
    </row>
    <row r="539" spans="1:28" x14ac:dyDescent="0.3">
      <c r="A539">
        <v>538</v>
      </c>
      <c r="B539" t="s">
        <v>26</v>
      </c>
      <c r="C539" t="s">
        <v>42</v>
      </c>
      <c r="D539" t="s">
        <v>43</v>
      </c>
      <c r="E539">
        <v>18</v>
      </c>
      <c r="F539" t="s">
        <v>29</v>
      </c>
      <c r="G539" t="s">
        <v>58</v>
      </c>
      <c r="H539">
        <v>3612</v>
      </c>
      <c r="I539" t="s">
        <v>45</v>
      </c>
      <c r="J539" t="s">
        <v>46</v>
      </c>
      <c r="K539" t="s">
        <v>32</v>
      </c>
      <c r="L539" t="s">
        <v>33</v>
      </c>
      <c r="M539">
        <v>3</v>
      </c>
      <c r="N539" t="s">
        <v>49</v>
      </c>
      <c r="O539" t="s">
        <v>50</v>
      </c>
      <c r="P539" t="s">
        <v>36</v>
      </c>
      <c r="Q539">
        <v>4</v>
      </c>
      <c r="R539" t="s">
        <v>60</v>
      </c>
      <c r="S539">
        <v>37</v>
      </c>
      <c r="T539" t="s">
        <v>98</v>
      </c>
      <c r="U539" t="s">
        <v>36</v>
      </c>
      <c r="V539" t="s">
        <v>38</v>
      </c>
      <c r="W539">
        <v>1</v>
      </c>
      <c r="X539" t="s">
        <v>39</v>
      </c>
      <c r="Y539">
        <v>1</v>
      </c>
      <c r="Z539" t="s">
        <v>40</v>
      </c>
      <c r="AA539" t="s">
        <v>40</v>
      </c>
      <c r="AB539">
        <v>1</v>
      </c>
    </row>
    <row r="540" spans="1:28" x14ac:dyDescent="0.3">
      <c r="A540">
        <v>539</v>
      </c>
      <c r="B540" t="s">
        <v>41</v>
      </c>
      <c r="C540" t="s">
        <v>27</v>
      </c>
      <c r="D540" t="s">
        <v>28</v>
      </c>
      <c r="E540">
        <v>48</v>
      </c>
      <c r="F540" t="s">
        <v>44</v>
      </c>
      <c r="G540" t="s">
        <v>63</v>
      </c>
      <c r="H540">
        <v>7763</v>
      </c>
      <c r="I540" t="s">
        <v>45</v>
      </c>
      <c r="J540" t="s">
        <v>46</v>
      </c>
      <c r="K540" t="s">
        <v>32</v>
      </c>
      <c r="L540" t="s">
        <v>33</v>
      </c>
      <c r="M540">
        <v>4</v>
      </c>
      <c r="N540" t="s">
        <v>34</v>
      </c>
      <c r="O540" t="s">
        <v>35</v>
      </c>
      <c r="P540" t="s">
        <v>36</v>
      </c>
      <c r="Q540">
        <v>4</v>
      </c>
      <c r="R540" t="s">
        <v>64</v>
      </c>
      <c r="S540">
        <v>42</v>
      </c>
      <c r="T540" t="s">
        <v>97</v>
      </c>
      <c r="U540" t="s">
        <v>82</v>
      </c>
      <c r="V540" t="s">
        <v>61</v>
      </c>
      <c r="W540">
        <v>1</v>
      </c>
      <c r="X540" t="s">
        <v>70</v>
      </c>
      <c r="Y540">
        <v>1</v>
      </c>
      <c r="Z540" t="s">
        <v>51</v>
      </c>
      <c r="AA540" t="s">
        <v>40</v>
      </c>
      <c r="AB540">
        <v>2</v>
      </c>
    </row>
    <row r="541" spans="1:28" x14ac:dyDescent="0.3">
      <c r="A541">
        <v>540</v>
      </c>
      <c r="B541" t="s">
        <v>26</v>
      </c>
      <c r="C541" t="s">
        <v>83</v>
      </c>
      <c r="D541" t="s">
        <v>84</v>
      </c>
      <c r="E541">
        <v>18</v>
      </c>
      <c r="F541" t="s">
        <v>44</v>
      </c>
      <c r="G541" t="s">
        <v>58</v>
      </c>
      <c r="H541">
        <v>3049</v>
      </c>
      <c r="I541" t="s">
        <v>45</v>
      </c>
      <c r="J541" t="s">
        <v>46</v>
      </c>
      <c r="K541" t="s">
        <v>76</v>
      </c>
      <c r="L541" t="s">
        <v>77</v>
      </c>
      <c r="M541">
        <v>1</v>
      </c>
      <c r="N541" t="s">
        <v>49</v>
      </c>
      <c r="O541" t="s">
        <v>50</v>
      </c>
      <c r="P541" t="s">
        <v>36</v>
      </c>
      <c r="Q541">
        <v>1</v>
      </c>
      <c r="R541" t="s">
        <v>60</v>
      </c>
      <c r="S541">
        <v>45</v>
      </c>
      <c r="T541" t="s">
        <v>97</v>
      </c>
      <c r="U541" t="s">
        <v>86</v>
      </c>
      <c r="V541" t="s">
        <v>38</v>
      </c>
      <c r="W541">
        <v>1</v>
      </c>
      <c r="X541" t="s">
        <v>57</v>
      </c>
      <c r="Y541">
        <v>1</v>
      </c>
      <c r="Z541" t="s">
        <v>51</v>
      </c>
      <c r="AA541" t="s">
        <v>40</v>
      </c>
      <c r="AB541">
        <v>1</v>
      </c>
    </row>
    <row r="542" spans="1:28" x14ac:dyDescent="0.3">
      <c r="A542">
        <v>541</v>
      </c>
      <c r="B542" t="s">
        <v>41</v>
      </c>
      <c r="C542" t="s">
        <v>42</v>
      </c>
      <c r="D542" t="s">
        <v>43</v>
      </c>
      <c r="E542">
        <v>12</v>
      </c>
      <c r="F542" t="s">
        <v>44</v>
      </c>
      <c r="G542" t="s">
        <v>30</v>
      </c>
      <c r="H542">
        <v>1534</v>
      </c>
      <c r="I542" t="s">
        <v>45</v>
      </c>
      <c r="J542" t="s">
        <v>46</v>
      </c>
      <c r="K542" t="s">
        <v>76</v>
      </c>
      <c r="L542" t="s">
        <v>77</v>
      </c>
      <c r="M542">
        <v>1</v>
      </c>
      <c r="N542" t="s">
        <v>34</v>
      </c>
      <c r="O542" t="s">
        <v>75</v>
      </c>
      <c r="P542" t="s">
        <v>36</v>
      </c>
      <c r="Q542">
        <v>1</v>
      </c>
      <c r="R542" t="s">
        <v>37</v>
      </c>
      <c r="S542">
        <v>23</v>
      </c>
      <c r="T542" t="s">
        <v>96</v>
      </c>
      <c r="U542" t="s">
        <v>36</v>
      </c>
      <c r="V542" t="s">
        <v>69</v>
      </c>
      <c r="W542">
        <v>1</v>
      </c>
      <c r="X542" t="s">
        <v>39</v>
      </c>
      <c r="Y542">
        <v>1</v>
      </c>
      <c r="Z542" t="s">
        <v>51</v>
      </c>
      <c r="AA542" t="s">
        <v>40</v>
      </c>
      <c r="AB542">
        <v>2</v>
      </c>
    </row>
    <row r="543" spans="1:28" x14ac:dyDescent="0.3">
      <c r="A543">
        <v>542</v>
      </c>
      <c r="B543" t="s">
        <v>26</v>
      </c>
      <c r="C543" t="s">
        <v>52</v>
      </c>
      <c r="D543" t="s">
        <v>53</v>
      </c>
      <c r="E543">
        <v>24</v>
      </c>
      <c r="F543" t="s">
        <v>62</v>
      </c>
      <c r="G543" t="s">
        <v>63</v>
      </c>
      <c r="H543">
        <v>2032</v>
      </c>
      <c r="I543" t="s">
        <v>45</v>
      </c>
      <c r="J543" t="s">
        <v>46</v>
      </c>
      <c r="K543" t="s">
        <v>32</v>
      </c>
      <c r="L543" t="s">
        <v>33</v>
      </c>
      <c r="M543">
        <v>4</v>
      </c>
      <c r="N543" t="s">
        <v>34</v>
      </c>
      <c r="O543" t="s">
        <v>35</v>
      </c>
      <c r="P543" t="s">
        <v>36</v>
      </c>
      <c r="Q543">
        <v>4</v>
      </c>
      <c r="R543" t="s">
        <v>64</v>
      </c>
      <c r="S543">
        <v>60</v>
      </c>
      <c r="T543" t="s">
        <v>95</v>
      </c>
      <c r="U543" t="s">
        <v>36</v>
      </c>
      <c r="V543" t="s">
        <v>61</v>
      </c>
      <c r="W543">
        <v>2</v>
      </c>
      <c r="X543" t="s">
        <v>39</v>
      </c>
      <c r="Y543">
        <v>1</v>
      </c>
      <c r="Z543" t="s">
        <v>40</v>
      </c>
      <c r="AA543" t="s">
        <v>40</v>
      </c>
      <c r="AB543">
        <v>1</v>
      </c>
    </row>
    <row r="544" spans="1:28" x14ac:dyDescent="0.3">
      <c r="A544">
        <v>543</v>
      </c>
      <c r="B544" t="s">
        <v>41</v>
      </c>
      <c r="C544" t="s">
        <v>27</v>
      </c>
      <c r="D544" t="s">
        <v>28</v>
      </c>
      <c r="E544">
        <v>30</v>
      </c>
      <c r="F544" t="s">
        <v>44</v>
      </c>
      <c r="G544" t="s">
        <v>58</v>
      </c>
      <c r="H544">
        <v>6350</v>
      </c>
      <c r="I544" t="s">
        <v>31</v>
      </c>
      <c r="J544" t="s">
        <v>31</v>
      </c>
      <c r="K544" t="s">
        <v>32</v>
      </c>
      <c r="L544" t="s">
        <v>33</v>
      </c>
      <c r="M544">
        <v>4</v>
      </c>
      <c r="N544" t="s">
        <v>34</v>
      </c>
      <c r="O544" t="s">
        <v>35</v>
      </c>
      <c r="P544" t="s">
        <v>36</v>
      </c>
      <c r="Q544">
        <v>4</v>
      </c>
      <c r="R544" t="s">
        <v>60</v>
      </c>
      <c r="S544">
        <v>31</v>
      </c>
      <c r="T544" t="s">
        <v>98</v>
      </c>
      <c r="U544" t="s">
        <v>36</v>
      </c>
      <c r="V544" t="s">
        <v>38</v>
      </c>
      <c r="W544">
        <v>1</v>
      </c>
      <c r="X544" t="s">
        <v>39</v>
      </c>
      <c r="Y544">
        <v>1</v>
      </c>
      <c r="Z544" t="s">
        <v>51</v>
      </c>
      <c r="AA544" t="s">
        <v>40</v>
      </c>
      <c r="AB544">
        <v>2</v>
      </c>
    </row>
    <row r="545" spans="1:28" x14ac:dyDescent="0.3">
      <c r="A545">
        <v>544</v>
      </c>
      <c r="B545" t="s">
        <v>41</v>
      </c>
      <c r="C545" t="s">
        <v>83</v>
      </c>
      <c r="D545" t="s">
        <v>84</v>
      </c>
      <c r="E545">
        <v>18</v>
      </c>
      <c r="F545" t="s">
        <v>44</v>
      </c>
      <c r="G545" t="s">
        <v>58</v>
      </c>
      <c r="H545">
        <v>2864</v>
      </c>
      <c r="I545" t="s">
        <v>45</v>
      </c>
      <c r="J545" t="s">
        <v>46</v>
      </c>
      <c r="K545" t="s">
        <v>47</v>
      </c>
      <c r="L545" t="s">
        <v>48</v>
      </c>
      <c r="M545">
        <v>2</v>
      </c>
      <c r="N545" t="s">
        <v>34</v>
      </c>
      <c r="O545" t="s">
        <v>35</v>
      </c>
      <c r="P545" t="s">
        <v>36</v>
      </c>
      <c r="Q545">
        <v>1</v>
      </c>
      <c r="R545" t="s">
        <v>37</v>
      </c>
      <c r="S545">
        <v>34</v>
      </c>
      <c r="T545" t="s">
        <v>98</v>
      </c>
      <c r="U545" t="s">
        <v>36</v>
      </c>
      <c r="V545" t="s">
        <v>38</v>
      </c>
      <c r="W545">
        <v>1</v>
      </c>
      <c r="X545" t="s">
        <v>57</v>
      </c>
      <c r="Y545">
        <v>2</v>
      </c>
      <c r="Z545" t="s">
        <v>51</v>
      </c>
      <c r="AA545" t="s">
        <v>40</v>
      </c>
      <c r="AB545">
        <v>2</v>
      </c>
    </row>
    <row r="546" spans="1:28" x14ac:dyDescent="0.3">
      <c r="A546">
        <v>545</v>
      </c>
      <c r="B546" t="s">
        <v>26</v>
      </c>
      <c r="C546" t="s">
        <v>52</v>
      </c>
      <c r="D546" t="s">
        <v>53</v>
      </c>
      <c r="E546">
        <v>12</v>
      </c>
      <c r="F546" t="s">
        <v>29</v>
      </c>
      <c r="G546" t="s">
        <v>63</v>
      </c>
      <c r="H546">
        <v>1255</v>
      </c>
      <c r="I546" t="s">
        <v>45</v>
      </c>
      <c r="J546" t="s">
        <v>46</v>
      </c>
      <c r="K546" t="s">
        <v>32</v>
      </c>
      <c r="L546" t="s">
        <v>33</v>
      </c>
      <c r="M546">
        <v>4</v>
      </c>
      <c r="N546" t="s">
        <v>34</v>
      </c>
      <c r="O546" t="s">
        <v>35</v>
      </c>
      <c r="P546" t="s">
        <v>36</v>
      </c>
      <c r="Q546">
        <v>4</v>
      </c>
      <c r="R546" t="s">
        <v>37</v>
      </c>
      <c r="S546">
        <v>61</v>
      </c>
      <c r="T546" t="s">
        <v>95</v>
      </c>
      <c r="U546" t="s">
        <v>36</v>
      </c>
      <c r="V546" t="s">
        <v>38</v>
      </c>
      <c r="W546">
        <v>2</v>
      </c>
      <c r="X546" t="s">
        <v>57</v>
      </c>
      <c r="Y546">
        <v>1</v>
      </c>
      <c r="Z546" t="s">
        <v>51</v>
      </c>
      <c r="AA546" t="s">
        <v>40</v>
      </c>
      <c r="AB546">
        <v>1</v>
      </c>
    </row>
    <row r="547" spans="1:28" x14ac:dyDescent="0.3">
      <c r="A547">
        <v>546</v>
      </c>
      <c r="B547" t="s">
        <v>41</v>
      </c>
      <c r="C547" t="s">
        <v>27</v>
      </c>
      <c r="D547" t="s">
        <v>28</v>
      </c>
      <c r="E547">
        <v>24</v>
      </c>
      <c r="F547" t="s">
        <v>62</v>
      </c>
      <c r="G547" t="s">
        <v>63</v>
      </c>
      <c r="H547">
        <v>1333</v>
      </c>
      <c r="I547" t="s">
        <v>45</v>
      </c>
      <c r="J547" t="s">
        <v>46</v>
      </c>
      <c r="K547" t="s">
        <v>74</v>
      </c>
      <c r="L547" t="s">
        <v>74</v>
      </c>
      <c r="M547">
        <v>4</v>
      </c>
      <c r="N547" t="s">
        <v>34</v>
      </c>
      <c r="O547" t="s">
        <v>35</v>
      </c>
      <c r="P547" t="s">
        <v>36</v>
      </c>
      <c r="Q547">
        <v>2</v>
      </c>
      <c r="R547" t="s">
        <v>37</v>
      </c>
      <c r="S547">
        <v>43</v>
      </c>
      <c r="T547" t="s">
        <v>97</v>
      </c>
      <c r="U547" t="s">
        <v>36</v>
      </c>
      <c r="V547" t="s">
        <v>61</v>
      </c>
      <c r="W547">
        <v>2</v>
      </c>
      <c r="X547" t="s">
        <v>39</v>
      </c>
      <c r="Y547">
        <v>2</v>
      </c>
      <c r="Z547" t="s">
        <v>51</v>
      </c>
      <c r="AA547" t="s">
        <v>40</v>
      </c>
      <c r="AB547">
        <v>2</v>
      </c>
    </row>
    <row r="548" spans="1:28" x14ac:dyDescent="0.3">
      <c r="A548">
        <v>547</v>
      </c>
      <c r="B548" t="s">
        <v>26</v>
      </c>
      <c r="C548" t="s">
        <v>52</v>
      </c>
      <c r="D548" t="s">
        <v>53</v>
      </c>
      <c r="E548">
        <v>24</v>
      </c>
      <c r="F548" t="s">
        <v>29</v>
      </c>
      <c r="G548" t="s">
        <v>63</v>
      </c>
      <c r="H548">
        <v>2022</v>
      </c>
      <c r="I548" t="s">
        <v>45</v>
      </c>
      <c r="J548" t="s">
        <v>46</v>
      </c>
      <c r="K548" t="s">
        <v>47</v>
      </c>
      <c r="L548" t="s">
        <v>48</v>
      </c>
      <c r="M548">
        <v>4</v>
      </c>
      <c r="N548" t="s">
        <v>49</v>
      </c>
      <c r="O548" t="s">
        <v>50</v>
      </c>
      <c r="P548" t="s">
        <v>36</v>
      </c>
      <c r="Q548">
        <v>4</v>
      </c>
      <c r="R548" t="s">
        <v>68</v>
      </c>
      <c r="S548">
        <v>37</v>
      </c>
      <c r="T548" t="s">
        <v>98</v>
      </c>
      <c r="U548" t="s">
        <v>36</v>
      </c>
      <c r="V548" t="s">
        <v>38</v>
      </c>
      <c r="W548">
        <v>1</v>
      </c>
      <c r="X548" t="s">
        <v>39</v>
      </c>
      <c r="Y548">
        <v>1</v>
      </c>
      <c r="Z548" t="s">
        <v>40</v>
      </c>
      <c r="AA548" t="s">
        <v>40</v>
      </c>
      <c r="AB548">
        <v>1</v>
      </c>
    </row>
    <row r="549" spans="1:28" x14ac:dyDescent="0.3">
      <c r="A549">
        <v>548</v>
      </c>
      <c r="B549" t="s">
        <v>26</v>
      </c>
      <c r="C549" t="s">
        <v>52</v>
      </c>
      <c r="D549" t="s">
        <v>53</v>
      </c>
      <c r="E549">
        <v>24</v>
      </c>
      <c r="F549" t="s">
        <v>44</v>
      </c>
      <c r="G549" t="s">
        <v>30</v>
      </c>
      <c r="H549">
        <v>1552</v>
      </c>
      <c r="I549" t="s">
        <v>45</v>
      </c>
      <c r="J549" t="s">
        <v>46</v>
      </c>
      <c r="K549" t="s">
        <v>55</v>
      </c>
      <c r="L549" t="s">
        <v>56</v>
      </c>
      <c r="M549">
        <v>3</v>
      </c>
      <c r="N549" t="s">
        <v>34</v>
      </c>
      <c r="O549" t="s">
        <v>35</v>
      </c>
      <c r="P549" t="s">
        <v>36</v>
      </c>
      <c r="Q549">
        <v>1</v>
      </c>
      <c r="R549" t="s">
        <v>68</v>
      </c>
      <c r="S549">
        <v>32</v>
      </c>
      <c r="T549" t="s">
        <v>98</v>
      </c>
      <c r="U549" t="s">
        <v>82</v>
      </c>
      <c r="V549" t="s">
        <v>38</v>
      </c>
      <c r="W549">
        <v>1</v>
      </c>
      <c r="X549" t="s">
        <v>39</v>
      </c>
      <c r="Y549">
        <v>2</v>
      </c>
      <c r="Z549" t="s">
        <v>51</v>
      </c>
      <c r="AA549" t="s">
        <v>40</v>
      </c>
      <c r="AB549">
        <v>1</v>
      </c>
    </row>
    <row r="550" spans="1:28" x14ac:dyDescent="0.3">
      <c r="A550">
        <v>549</v>
      </c>
      <c r="B550" t="s">
        <v>41</v>
      </c>
      <c r="C550" t="s">
        <v>27</v>
      </c>
      <c r="D550" t="s">
        <v>28</v>
      </c>
      <c r="E550">
        <v>12</v>
      </c>
      <c r="F550" t="s">
        <v>85</v>
      </c>
      <c r="G550" t="s">
        <v>30</v>
      </c>
      <c r="H550">
        <v>626</v>
      </c>
      <c r="I550" t="s">
        <v>45</v>
      </c>
      <c r="J550" t="s">
        <v>46</v>
      </c>
      <c r="K550" t="s">
        <v>47</v>
      </c>
      <c r="L550" t="s">
        <v>48</v>
      </c>
      <c r="M550">
        <v>4</v>
      </c>
      <c r="N550" t="s">
        <v>49</v>
      </c>
      <c r="O550" t="s">
        <v>50</v>
      </c>
      <c r="P550" t="s">
        <v>36</v>
      </c>
      <c r="Q550">
        <v>4</v>
      </c>
      <c r="R550" t="s">
        <v>37</v>
      </c>
      <c r="S550">
        <v>24</v>
      </c>
      <c r="T550" t="s">
        <v>96</v>
      </c>
      <c r="U550" t="s">
        <v>82</v>
      </c>
      <c r="V550" t="s">
        <v>38</v>
      </c>
      <c r="W550">
        <v>1</v>
      </c>
      <c r="X550" t="s">
        <v>57</v>
      </c>
      <c r="Y550">
        <v>1</v>
      </c>
      <c r="Z550" t="s">
        <v>51</v>
      </c>
      <c r="AA550" t="s">
        <v>40</v>
      </c>
      <c r="AB550">
        <v>2</v>
      </c>
    </row>
    <row r="551" spans="1:28" x14ac:dyDescent="0.3">
      <c r="A551">
        <v>550</v>
      </c>
      <c r="B551" t="s">
        <v>26</v>
      </c>
      <c r="C551" t="s">
        <v>52</v>
      </c>
      <c r="D551" t="s">
        <v>53</v>
      </c>
      <c r="E551">
        <v>48</v>
      </c>
      <c r="F551" t="s">
        <v>29</v>
      </c>
      <c r="G551" t="s">
        <v>67</v>
      </c>
      <c r="H551">
        <v>8858</v>
      </c>
      <c r="I551" t="s">
        <v>31</v>
      </c>
      <c r="J551" t="s">
        <v>31</v>
      </c>
      <c r="K551" t="s">
        <v>55</v>
      </c>
      <c r="L551" t="s">
        <v>56</v>
      </c>
      <c r="M551">
        <v>2</v>
      </c>
      <c r="N551" t="s">
        <v>34</v>
      </c>
      <c r="O551" t="s">
        <v>35</v>
      </c>
      <c r="P551" t="s">
        <v>36</v>
      </c>
      <c r="Q551">
        <v>1</v>
      </c>
      <c r="R551" t="s">
        <v>64</v>
      </c>
      <c r="S551">
        <v>35</v>
      </c>
      <c r="T551" t="s">
        <v>98</v>
      </c>
      <c r="U551" t="s">
        <v>36</v>
      </c>
      <c r="V551" t="s">
        <v>61</v>
      </c>
      <c r="W551">
        <v>2</v>
      </c>
      <c r="X551" t="s">
        <v>39</v>
      </c>
      <c r="Y551">
        <v>1</v>
      </c>
      <c r="Z551" t="s">
        <v>40</v>
      </c>
      <c r="AA551" t="s">
        <v>40</v>
      </c>
      <c r="AB551">
        <v>1</v>
      </c>
    </row>
    <row r="552" spans="1:28" x14ac:dyDescent="0.3">
      <c r="A552">
        <v>551</v>
      </c>
      <c r="B552" t="s">
        <v>26</v>
      </c>
      <c r="C552" t="s">
        <v>52</v>
      </c>
      <c r="D552" t="s">
        <v>53</v>
      </c>
      <c r="E552">
        <v>12</v>
      </c>
      <c r="F552" t="s">
        <v>29</v>
      </c>
      <c r="G552" t="s">
        <v>89</v>
      </c>
      <c r="H552">
        <v>996</v>
      </c>
      <c r="I552" t="s">
        <v>31</v>
      </c>
      <c r="J552" t="s">
        <v>31</v>
      </c>
      <c r="K552" t="s">
        <v>55</v>
      </c>
      <c r="L552" t="s">
        <v>56</v>
      </c>
      <c r="M552">
        <v>4</v>
      </c>
      <c r="N552" t="s">
        <v>49</v>
      </c>
      <c r="O552" t="s">
        <v>50</v>
      </c>
      <c r="P552" t="s">
        <v>36</v>
      </c>
      <c r="Q552">
        <v>4</v>
      </c>
      <c r="R552" t="s">
        <v>37</v>
      </c>
      <c r="S552">
        <v>23</v>
      </c>
      <c r="T552" t="s">
        <v>96</v>
      </c>
      <c r="U552" t="s">
        <v>36</v>
      </c>
      <c r="V552" t="s">
        <v>38</v>
      </c>
      <c r="W552">
        <v>2</v>
      </c>
      <c r="X552" t="s">
        <v>39</v>
      </c>
      <c r="Y552">
        <v>1</v>
      </c>
      <c r="Z552" t="s">
        <v>51</v>
      </c>
      <c r="AA552" t="s">
        <v>40</v>
      </c>
      <c r="AB552">
        <v>1</v>
      </c>
    </row>
    <row r="553" spans="1:28" x14ac:dyDescent="0.3">
      <c r="A553">
        <v>552</v>
      </c>
      <c r="B553" t="s">
        <v>26</v>
      </c>
      <c r="C553" t="s">
        <v>52</v>
      </c>
      <c r="D553" t="s">
        <v>53</v>
      </c>
      <c r="E553">
        <v>6</v>
      </c>
      <c r="F553" t="s">
        <v>85</v>
      </c>
      <c r="G553" t="s">
        <v>30</v>
      </c>
      <c r="H553">
        <v>1750</v>
      </c>
      <c r="I553" t="s">
        <v>65</v>
      </c>
      <c r="J553" t="s">
        <v>66</v>
      </c>
      <c r="K553" t="s">
        <v>32</v>
      </c>
      <c r="L553" t="s">
        <v>33</v>
      </c>
      <c r="M553">
        <v>2</v>
      </c>
      <c r="N553" t="s">
        <v>34</v>
      </c>
      <c r="O553" t="s">
        <v>35</v>
      </c>
      <c r="P553" t="s">
        <v>36</v>
      </c>
      <c r="Q553">
        <v>4</v>
      </c>
      <c r="R553" t="s">
        <v>60</v>
      </c>
      <c r="S553">
        <v>45</v>
      </c>
      <c r="T553" t="s">
        <v>97</v>
      </c>
      <c r="U553" t="s">
        <v>82</v>
      </c>
      <c r="V553" t="s">
        <v>38</v>
      </c>
      <c r="W553">
        <v>1</v>
      </c>
      <c r="X553" t="s">
        <v>57</v>
      </c>
      <c r="Y553">
        <v>2</v>
      </c>
      <c r="Z553" t="s">
        <v>51</v>
      </c>
      <c r="AA553" t="s">
        <v>40</v>
      </c>
      <c r="AB553">
        <v>1</v>
      </c>
    </row>
    <row r="554" spans="1:28" x14ac:dyDescent="0.3">
      <c r="A554">
        <v>553</v>
      </c>
      <c r="B554" t="s">
        <v>41</v>
      </c>
      <c r="C554" t="s">
        <v>27</v>
      </c>
      <c r="D554" t="s">
        <v>28</v>
      </c>
      <c r="E554">
        <v>48</v>
      </c>
      <c r="F554" t="s">
        <v>44</v>
      </c>
      <c r="G554" t="s">
        <v>30</v>
      </c>
      <c r="H554">
        <v>6999</v>
      </c>
      <c r="I554" t="s">
        <v>45</v>
      </c>
      <c r="J554" t="s">
        <v>46</v>
      </c>
      <c r="K554" t="s">
        <v>55</v>
      </c>
      <c r="L554" t="s">
        <v>56</v>
      </c>
      <c r="M554">
        <v>1</v>
      </c>
      <c r="N554" t="s">
        <v>34</v>
      </c>
      <c r="O554" t="s">
        <v>75</v>
      </c>
      <c r="P554" t="s">
        <v>59</v>
      </c>
      <c r="Q554">
        <v>1</v>
      </c>
      <c r="R554" t="s">
        <v>37</v>
      </c>
      <c r="S554">
        <v>34</v>
      </c>
      <c r="T554" t="s">
        <v>98</v>
      </c>
      <c r="U554" t="s">
        <v>36</v>
      </c>
      <c r="V554" t="s">
        <v>38</v>
      </c>
      <c r="W554">
        <v>2</v>
      </c>
      <c r="X554" t="s">
        <v>39</v>
      </c>
      <c r="Y554">
        <v>1</v>
      </c>
      <c r="Z554" t="s">
        <v>40</v>
      </c>
      <c r="AA554" t="s">
        <v>40</v>
      </c>
      <c r="AB554">
        <v>2</v>
      </c>
    </row>
    <row r="555" spans="1:28" x14ac:dyDescent="0.3">
      <c r="A555">
        <v>554</v>
      </c>
      <c r="B555" t="s">
        <v>26</v>
      </c>
      <c r="C555" t="s">
        <v>42</v>
      </c>
      <c r="D555" t="s">
        <v>43</v>
      </c>
      <c r="E555">
        <v>12</v>
      </c>
      <c r="F555" t="s">
        <v>29</v>
      </c>
      <c r="G555" t="s">
        <v>63</v>
      </c>
      <c r="H555">
        <v>1995</v>
      </c>
      <c r="I555" t="s">
        <v>79</v>
      </c>
      <c r="J555" t="s">
        <v>80</v>
      </c>
      <c r="K555" t="s">
        <v>76</v>
      </c>
      <c r="L555" t="s">
        <v>77</v>
      </c>
      <c r="M555">
        <v>4</v>
      </c>
      <c r="N555" t="s">
        <v>34</v>
      </c>
      <c r="O555" t="s">
        <v>35</v>
      </c>
      <c r="P555" t="s">
        <v>36</v>
      </c>
      <c r="Q555">
        <v>1</v>
      </c>
      <c r="R555" t="s">
        <v>68</v>
      </c>
      <c r="S555">
        <v>27</v>
      </c>
      <c r="T555" t="s">
        <v>98</v>
      </c>
      <c r="U555" t="s">
        <v>36</v>
      </c>
      <c r="V555" t="s">
        <v>38</v>
      </c>
      <c r="W555">
        <v>1</v>
      </c>
      <c r="X555" t="s">
        <v>39</v>
      </c>
      <c r="Y555">
        <v>1</v>
      </c>
      <c r="Z555" t="s">
        <v>51</v>
      </c>
      <c r="AA555" t="s">
        <v>40</v>
      </c>
      <c r="AB555">
        <v>1</v>
      </c>
    </row>
    <row r="556" spans="1:28" x14ac:dyDescent="0.3">
      <c r="A556">
        <v>555</v>
      </c>
      <c r="B556" t="s">
        <v>26</v>
      </c>
      <c r="C556" t="s">
        <v>42</v>
      </c>
      <c r="D556" t="s">
        <v>43</v>
      </c>
      <c r="E556">
        <v>9</v>
      </c>
      <c r="F556" t="s">
        <v>44</v>
      </c>
      <c r="G556" t="s">
        <v>54</v>
      </c>
      <c r="H556">
        <v>1199</v>
      </c>
      <c r="I556" t="s">
        <v>45</v>
      </c>
      <c r="J556" t="s">
        <v>46</v>
      </c>
      <c r="K556" t="s">
        <v>55</v>
      </c>
      <c r="L556" t="s">
        <v>56</v>
      </c>
      <c r="M556">
        <v>4</v>
      </c>
      <c r="N556" t="s">
        <v>49</v>
      </c>
      <c r="O556" t="s">
        <v>50</v>
      </c>
      <c r="P556" t="s">
        <v>36</v>
      </c>
      <c r="Q556">
        <v>4</v>
      </c>
      <c r="R556" t="s">
        <v>60</v>
      </c>
      <c r="S556">
        <v>67</v>
      </c>
      <c r="T556" t="s">
        <v>95</v>
      </c>
      <c r="U556" t="s">
        <v>36</v>
      </c>
      <c r="V556" t="s">
        <v>38</v>
      </c>
      <c r="W556">
        <v>2</v>
      </c>
      <c r="X556" t="s">
        <v>70</v>
      </c>
      <c r="Y556">
        <v>1</v>
      </c>
      <c r="Z556" t="s">
        <v>40</v>
      </c>
      <c r="AA556" t="s">
        <v>40</v>
      </c>
      <c r="AB556">
        <v>1</v>
      </c>
    </row>
    <row r="557" spans="1:28" x14ac:dyDescent="0.3">
      <c r="A557">
        <v>556</v>
      </c>
      <c r="B557" t="s">
        <v>41</v>
      </c>
      <c r="C557" t="s">
        <v>42</v>
      </c>
      <c r="D557" t="s">
        <v>43</v>
      </c>
      <c r="E557">
        <v>12</v>
      </c>
      <c r="F557" t="s">
        <v>44</v>
      </c>
      <c r="G557" t="s">
        <v>30</v>
      </c>
      <c r="H557">
        <v>1331</v>
      </c>
      <c r="I557" t="s">
        <v>45</v>
      </c>
      <c r="J557" t="s">
        <v>46</v>
      </c>
      <c r="K557" t="s">
        <v>76</v>
      </c>
      <c r="L557" t="s">
        <v>77</v>
      </c>
      <c r="M557">
        <v>2</v>
      </c>
      <c r="N557" t="s">
        <v>34</v>
      </c>
      <c r="O557" t="s">
        <v>35</v>
      </c>
      <c r="P557" t="s">
        <v>36</v>
      </c>
      <c r="Q557">
        <v>1</v>
      </c>
      <c r="R557" t="s">
        <v>68</v>
      </c>
      <c r="S557">
        <v>22</v>
      </c>
      <c r="T557" t="s">
        <v>96</v>
      </c>
      <c r="U557" t="s">
        <v>86</v>
      </c>
      <c r="V557" t="s">
        <v>38</v>
      </c>
      <c r="W557">
        <v>1</v>
      </c>
      <c r="X557" t="s">
        <v>39</v>
      </c>
      <c r="Y557">
        <v>1</v>
      </c>
      <c r="Z557" t="s">
        <v>51</v>
      </c>
      <c r="AA557" t="s">
        <v>40</v>
      </c>
      <c r="AB557">
        <v>2</v>
      </c>
    </row>
    <row r="558" spans="1:28" x14ac:dyDescent="0.3">
      <c r="A558">
        <v>557</v>
      </c>
      <c r="B558" t="s">
        <v>41</v>
      </c>
      <c r="C558" t="s">
        <v>42</v>
      </c>
      <c r="D558" t="s">
        <v>43</v>
      </c>
      <c r="E558">
        <v>18</v>
      </c>
      <c r="F558" t="s">
        <v>81</v>
      </c>
      <c r="G558" t="s">
        <v>63</v>
      </c>
      <c r="H558">
        <v>2278</v>
      </c>
      <c r="I558" t="s">
        <v>79</v>
      </c>
      <c r="J558" t="s">
        <v>80</v>
      </c>
      <c r="K558" t="s">
        <v>76</v>
      </c>
      <c r="L558" t="s">
        <v>77</v>
      </c>
      <c r="M558">
        <v>3</v>
      </c>
      <c r="N558" t="s">
        <v>49</v>
      </c>
      <c r="O558" t="s">
        <v>50</v>
      </c>
      <c r="P558" t="s">
        <v>36</v>
      </c>
      <c r="Q558">
        <v>3</v>
      </c>
      <c r="R558" t="s">
        <v>68</v>
      </c>
      <c r="S558">
        <v>28</v>
      </c>
      <c r="T558" t="s">
        <v>98</v>
      </c>
      <c r="U558" t="s">
        <v>36</v>
      </c>
      <c r="V558" t="s">
        <v>38</v>
      </c>
      <c r="W558">
        <v>2</v>
      </c>
      <c r="X558" t="s">
        <v>39</v>
      </c>
      <c r="Y558">
        <v>1</v>
      </c>
      <c r="Z558" t="s">
        <v>51</v>
      </c>
      <c r="AA558" t="s">
        <v>40</v>
      </c>
      <c r="AB558">
        <v>2</v>
      </c>
    </row>
    <row r="559" spans="1:28" x14ac:dyDescent="0.3">
      <c r="A559">
        <v>558</v>
      </c>
      <c r="B559" t="s">
        <v>41</v>
      </c>
      <c r="C559" t="s">
        <v>52</v>
      </c>
      <c r="D559" t="s">
        <v>53</v>
      </c>
      <c r="E559">
        <v>21</v>
      </c>
      <c r="F559" t="s">
        <v>81</v>
      </c>
      <c r="G559" t="s">
        <v>63</v>
      </c>
      <c r="H559">
        <v>5003</v>
      </c>
      <c r="I559" t="s">
        <v>31</v>
      </c>
      <c r="J559" t="s">
        <v>31</v>
      </c>
      <c r="K559" t="s">
        <v>47</v>
      </c>
      <c r="L559" t="s">
        <v>48</v>
      </c>
      <c r="M559">
        <v>1</v>
      </c>
      <c r="N559" t="s">
        <v>49</v>
      </c>
      <c r="O559" t="s">
        <v>50</v>
      </c>
      <c r="P559" t="s">
        <v>36</v>
      </c>
      <c r="Q559">
        <v>4</v>
      </c>
      <c r="R559" t="s">
        <v>60</v>
      </c>
      <c r="S559">
        <v>29</v>
      </c>
      <c r="T559" t="s">
        <v>98</v>
      </c>
      <c r="U559" t="s">
        <v>82</v>
      </c>
      <c r="V559" t="s">
        <v>38</v>
      </c>
      <c r="W559">
        <v>2</v>
      </c>
      <c r="X559" t="s">
        <v>39</v>
      </c>
      <c r="Y559">
        <v>1</v>
      </c>
      <c r="Z559" t="s">
        <v>40</v>
      </c>
      <c r="AA559" t="s">
        <v>40</v>
      </c>
      <c r="AB559">
        <v>2</v>
      </c>
    </row>
    <row r="560" spans="1:28" x14ac:dyDescent="0.3">
      <c r="A560">
        <v>559</v>
      </c>
      <c r="B560" t="s">
        <v>41</v>
      </c>
      <c r="C560" t="s">
        <v>27</v>
      </c>
      <c r="D560" t="s">
        <v>28</v>
      </c>
      <c r="E560">
        <v>24</v>
      </c>
      <c r="F560" t="s">
        <v>85</v>
      </c>
      <c r="G560" t="s">
        <v>58</v>
      </c>
      <c r="H560">
        <v>3552</v>
      </c>
      <c r="I560" t="s">
        <v>45</v>
      </c>
      <c r="J560" t="s">
        <v>46</v>
      </c>
      <c r="K560" t="s">
        <v>55</v>
      </c>
      <c r="L560" t="s">
        <v>56</v>
      </c>
      <c r="M560">
        <v>3</v>
      </c>
      <c r="N560" t="s">
        <v>34</v>
      </c>
      <c r="O560" t="s">
        <v>35</v>
      </c>
      <c r="P560" t="s">
        <v>36</v>
      </c>
      <c r="Q560">
        <v>4</v>
      </c>
      <c r="R560" t="s">
        <v>68</v>
      </c>
      <c r="S560">
        <v>27</v>
      </c>
      <c r="T560" t="s">
        <v>98</v>
      </c>
      <c r="U560" t="s">
        <v>82</v>
      </c>
      <c r="V560" t="s">
        <v>38</v>
      </c>
      <c r="W560">
        <v>1</v>
      </c>
      <c r="X560" t="s">
        <v>39</v>
      </c>
      <c r="Y560">
        <v>1</v>
      </c>
      <c r="Z560" t="s">
        <v>51</v>
      </c>
      <c r="AA560" t="s">
        <v>40</v>
      </c>
      <c r="AB560">
        <v>2</v>
      </c>
    </row>
    <row r="561" spans="1:28" x14ac:dyDescent="0.3">
      <c r="A561">
        <v>560</v>
      </c>
      <c r="B561" t="s">
        <v>41</v>
      </c>
      <c r="C561" t="s">
        <v>42</v>
      </c>
      <c r="D561" t="s">
        <v>43</v>
      </c>
      <c r="E561">
        <v>18</v>
      </c>
      <c r="F561" t="s">
        <v>29</v>
      </c>
      <c r="G561" t="s">
        <v>58</v>
      </c>
      <c r="H561">
        <v>1928</v>
      </c>
      <c r="I561" t="s">
        <v>45</v>
      </c>
      <c r="J561" t="s">
        <v>46</v>
      </c>
      <c r="K561" t="s">
        <v>76</v>
      </c>
      <c r="L561" t="s">
        <v>77</v>
      </c>
      <c r="M561">
        <v>2</v>
      </c>
      <c r="N561" t="s">
        <v>34</v>
      </c>
      <c r="O561" t="s">
        <v>35</v>
      </c>
      <c r="P561" t="s">
        <v>36</v>
      </c>
      <c r="Q561">
        <v>2</v>
      </c>
      <c r="R561" t="s">
        <v>37</v>
      </c>
      <c r="S561">
        <v>31</v>
      </c>
      <c r="T561" t="s">
        <v>98</v>
      </c>
      <c r="U561" t="s">
        <v>36</v>
      </c>
      <c r="V561" t="s">
        <v>38</v>
      </c>
      <c r="W561">
        <v>2</v>
      </c>
      <c r="X561" t="s">
        <v>57</v>
      </c>
      <c r="Y561">
        <v>1</v>
      </c>
      <c r="Z561" t="s">
        <v>51</v>
      </c>
      <c r="AA561" t="s">
        <v>40</v>
      </c>
      <c r="AB561">
        <v>2</v>
      </c>
    </row>
    <row r="562" spans="1:28" x14ac:dyDescent="0.3">
      <c r="A562">
        <v>561</v>
      </c>
      <c r="B562" t="s">
        <v>26</v>
      </c>
      <c r="C562" t="s">
        <v>27</v>
      </c>
      <c r="D562" t="s">
        <v>28</v>
      </c>
      <c r="E562">
        <v>24</v>
      </c>
      <c r="F562" t="s">
        <v>44</v>
      </c>
      <c r="G562" t="s">
        <v>67</v>
      </c>
      <c r="H562">
        <v>2964</v>
      </c>
      <c r="I562" t="s">
        <v>31</v>
      </c>
      <c r="J562" t="s">
        <v>31</v>
      </c>
      <c r="K562" t="s">
        <v>32</v>
      </c>
      <c r="L562" t="s">
        <v>33</v>
      </c>
      <c r="M562">
        <v>4</v>
      </c>
      <c r="N562" t="s">
        <v>34</v>
      </c>
      <c r="O562" t="s">
        <v>35</v>
      </c>
      <c r="P562" t="s">
        <v>36</v>
      </c>
      <c r="Q562">
        <v>4</v>
      </c>
      <c r="R562" t="s">
        <v>64</v>
      </c>
      <c r="S562">
        <v>49</v>
      </c>
      <c r="T562" t="s">
        <v>97</v>
      </c>
      <c r="U562" t="s">
        <v>82</v>
      </c>
      <c r="V562" t="s">
        <v>61</v>
      </c>
      <c r="W562">
        <v>1</v>
      </c>
      <c r="X562" t="s">
        <v>39</v>
      </c>
      <c r="Y562">
        <v>2</v>
      </c>
      <c r="Z562" t="s">
        <v>40</v>
      </c>
      <c r="AA562" t="s">
        <v>40</v>
      </c>
      <c r="AB562">
        <v>1</v>
      </c>
    </row>
    <row r="563" spans="1:28" x14ac:dyDescent="0.3">
      <c r="A563">
        <v>562</v>
      </c>
      <c r="B563" t="s">
        <v>41</v>
      </c>
      <c r="C563" t="s">
        <v>27</v>
      </c>
      <c r="D563" t="s">
        <v>28</v>
      </c>
      <c r="E563">
        <v>24</v>
      </c>
      <c r="F563" t="s">
        <v>85</v>
      </c>
      <c r="G563" t="s">
        <v>30</v>
      </c>
      <c r="H563">
        <v>1546</v>
      </c>
      <c r="I563" t="s">
        <v>45</v>
      </c>
      <c r="J563" t="s">
        <v>46</v>
      </c>
      <c r="K563" t="s">
        <v>55</v>
      </c>
      <c r="L563" t="s">
        <v>56</v>
      </c>
      <c r="M563">
        <v>4</v>
      </c>
      <c r="N563" t="s">
        <v>34</v>
      </c>
      <c r="O563" t="s">
        <v>35</v>
      </c>
      <c r="P563" t="s">
        <v>59</v>
      </c>
      <c r="Q563">
        <v>4</v>
      </c>
      <c r="R563" t="s">
        <v>68</v>
      </c>
      <c r="S563">
        <v>24</v>
      </c>
      <c r="T563" t="s">
        <v>96</v>
      </c>
      <c r="U563" t="s">
        <v>82</v>
      </c>
      <c r="V563" t="s">
        <v>69</v>
      </c>
      <c r="W563">
        <v>1</v>
      </c>
      <c r="X563" t="s">
        <v>57</v>
      </c>
      <c r="Y563">
        <v>1</v>
      </c>
      <c r="Z563" t="s">
        <v>51</v>
      </c>
      <c r="AA563" t="s">
        <v>40</v>
      </c>
      <c r="AB563">
        <v>2</v>
      </c>
    </row>
    <row r="564" spans="1:28" x14ac:dyDescent="0.3">
      <c r="A564">
        <v>563</v>
      </c>
      <c r="B564" t="s">
        <v>26</v>
      </c>
      <c r="C564" t="s">
        <v>83</v>
      </c>
      <c r="D564" t="s">
        <v>84</v>
      </c>
      <c r="E564">
        <v>6</v>
      </c>
      <c r="F564" t="s">
        <v>62</v>
      </c>
      <c r="G564" t="s">
        <v>30</v>
      </c>
      <c r="H564">
        <v>683</v>
      </c>
      <c r="I564" t="s">
        <v>45</v>
      </c>
      <c r="J564" t="s">
        <v>46</v>
      </c>
      <c r="K564" t="s">
        <v>76</v>
      </c>
      <c r="L564" t="s">
        <v>77</v>
      </c>
      <c r="M564">
        <v>2</v>
      </c>
      <c r="N564" t="s">
        <v>49</v>
      </c>
      <c r="O564" t="s">
        <v>50</v>
      </c>
      <c r="P564" t="s">
        <v>36</v>
      </c>
      <c r="Q564">
        <v>1</v>
      </c>
      <c r="R564" t="s">
        <v>60</v>
      </c>
      <c r="S564">
        <v>29</v>
      </c>
      <c r="T564" t="s">
        <v>98</v>
      </c>
      <c r="U564" t="s">
        <v>82</v>
      </c>
      <c r="V564" t="s">
        <v>38</v>
      </c>
      <c r="W564">
        <v>1</v>
      </c>
      <c r="X564" t="s">
        <v>39</v>
      </c>
      <c r="Y564">
        <v>1</v>
      </c>
      <c r="Z564" t="s">
        <v>51</v>
      </c>
      <c r="AA564" t="s">
        <v>40</v>
      </c>
      <c r="AB564">
        <v>1</v>
      </c>
    </row>
    <row r="565" spans="1:28" x14ac:dyDescent="0.3">
      <c r="A565">
        <v>564</v>
      </c>
      <c r="B565" t="s">
        <v>41</v>
      </c>
      <c r="C565" t="s">
        <v>42</v>
      </c>
      <c r="D565" t="s">
        <v>43</v>
      </c>
      <c r="E565">
        <v>36</v>
      </c>
      <c r="F565" t="s">
        <v>44</v>
      </c>
      <c r="G565" t="s">
        <v>63</v>
      </c>
      <c r="H565">
        <v>12389</v>
      </c>
      <c r="I565" t="s">
        <v>31</v>
      </c>
      <c r="J565" t="s">
        <v>31</v>
      </c>
      <c r="K565" t="s">
        <v>47</v>
      </c>
      <c r="L565" t="s">
        <v>48</v>
      </c>
      <c r="M565">
        <v>1</v>
      </c>
      <c r="N565" t="s">
        <v>34</v>
      </c>
      <c r="O565" t="s">
        <v>35</v>
      </c>
      <c r="P565" t="s">
        <v>36</v>
      </c>
      <c r="Q565">
        <v>4</v>
      </c>
      <c r="R565" t="s">
        <v>64</v>
      </c>
      <c r="S565">
        <v>37</v>
      </c>
      <c r="T565" t="s">
        <v>98</v>
      </c>
      <c r="U565" t="s">
        <v>36</v>
      </c>
      <c r="V565" t="s">
        <v>61</v>
      </c>
      <c r="W565">
        <v>1</v>
      </c>
      <c r="X565" t="s">
        <v>39</v>
      </c>
      <c r="Y565">
        <v>1</v>
      </c>
      <c r="Z565" t="s">
        <v>40</v>
      </c>
      <c r="AA565" t="s">
        <v>40</v>
      </c>
      <c r="AB565">
        <v>2</v>
      </c>
    </row>
    <row r="566" spans="1:28" x14ac:dyDescent="0.3">
      <c r="A566">
        <v>565</v>
      </c>
      <c r="B566" t="s">
        <v>26</v>
      </c>
      <c r="C566" t="s">
        <v>42</v>
      </c>
      <c r="D566" t="s">
        <v>43</v>
      </c>
      <c r="E566">
        <v>24</v>
      </c>
      <c r="F566" t="s">
        <v>62</v>
      </c>
      <c r="G566" t="s">
        <v>78</v>
      </c>
      <c r="H566">
        <v>4712</v>
      </c>
      <c r="I566" t="s">
        <v>31</v>
      </c>
      <c r="J566" t="s">
        <v>31</v>
      </c>
      <c r="K566" t="s">
        <v>47</v>
      </c>
      <c r="L566" t="s">
        <v>48</v>
      </c>
      <c r="M566">
        <v>4</v>
      </c>
      <c r="N566" t="s">
        <v>34</v>
      </c>
      <c r="O566" t="s">
        <v>35</v>
      </c>
      <c r="P566" t="s">
        <v>36</v>
      </c>
      <c r="Q566">
        <v>2</v>
      </c>
      <c r="R566" t="s">
        <v>60</v>
      </c>
      <c r="S566">
        <v>37</v>
      </c>
      <c r="T566" t="s">
        <v>98</v>
      </c>
      <c r="U566" t="s">
        <v>82</v>
      </c>
      <c r="V566" t="s">
        <v>38</v>
      </c>
      <c r="W566">
        <v>2</v>
      </c>
      <c r="X566" t="s">
        <v>70</v>
      </c>
      <c r="Y566">
        <v>1</v>
      </c>
      <c r="Z566" t="s">
        <v>40</v>
      </c>
      <c r="AA566" t="s">
        <v>40</v>
      </c>
      <c r="AB566">
        <v>1</v>
      </c>
    </row>
    <row r="567" spans="1:28" x14ac:dyDescent="0.3">
      <c r="A567">
        <v>566</v>
      </c>
      <c r="B567" t="s">
        <v>26</v>
      </c>
      <c r="C567" t="s">
        <v>42</v>
      </c>
      <c r="D567" t="s">
        <v>43</v>
      </c>
      <c r="E567">
        <v>24</v>
      </c>
      <c r="F567" t="s">
        <v>62</v>
      </c>
      <c r="G567" t="s">
        <v>30</v>
      </c>
      <c r="H567">
        <v>1553</v>
      </c>
      <c r="I567" t="s">
        <v>79</v>
      </c>
      <c r="J567" t="s">
        <v>80</v>
      </c>
      <c r="K567" t="s">
        <v>55</v>
      </c>
      <c r="L567" t="s">
        <v>56</v>
      </c>
      <c r="M567">
        <v>3</v>
      </c>
      <c r="N567" t="s">
        <v>49</v>
      </c>
      <c r="O567" t="s">
        <v>50</v>
      </c>
      <c r="P567" t="s">
        <v>36</v>
      </c>
      <c r="Q567">
        <v>2</v>
      </c>
      <c r="R567" t="s">
        <v>60</v>
      </c>
      <c r="S567">
        <v>23</v>
      </c>
      <c r="T567" t="s">
        <v>96</v>
      </c>
      <c r="U567" t="s">
        <v>36</v>
      </c>
      <c r="V567" t="s">
        <v>69</v>
      </c>
      <c r="W567">
        <v>2</v>
      </c>
      <c r="X567" t="s">
        <v>39</v>
      </c>
      <c r="Y567">
        <v>1</v>
      </c>
      <c r="Z567" t="s">
        <v>40</v>
      </c>
      <c r="AA567" t="s">
        <v>40</v>
      </c>
      <c r="AB567">
        <v>1</v>
      </c>
    </row>
    <row r="568" spans="1:28" x14ac:dyDescent="0.3">
      <c r="A568">
        <v>567</v>
      </c>
      <c r="B568" t="s">
        <v>41</v>
      </c>
      <c r="C568" t="s">
        <v>27</v>
      </c>
      <c r="D568" t="s">
        <v>28</v>
      </c>
      <c r="E568">
        <v>12</v>
      </c>
      <c r="F568" t="s">
        <v>44</v>
      </c>
      <c r="G568" t="s">
        <v>63</v>
      </c>
      <c r="H568">
        <v>1372</v>
      </c>
      <c r="I568" t="s">
        <v>45</v>
      </c>
      <c r="J568" t="s">
        <v>46</v>
      </c>
      <c r="K568" t="s">
        <v>55</v>
      </c>
      <c r="L568" t="s">
        <v>56</v>
      </c>
      <c r="M568">
        <v>2</v>
      </c>
      <c r="N568" t="s">
        <v>34</v>
      </c>
      <c r="O568" t="s">
        <v>73</v>
      </c>
      <c r="P568" t="s">
        <v>36</v>
      </c>
      <c r="Q568">
        <v>3</v>
      </c>
      <c r="R568" t="s">
        <v>68</v>
      </c>
      <c r="S568">
        <v>36</v>
      </c>
      <c r="T568" t="s">
        <v>98</v>
      </c>
      <c r="U568" t="s">
        <v>36</v>
      </c>
      <c r="V568" t="s">
        <v>38</v>
      </c>
      <c r="W568">
        <v>1</v>
      </c>
      <c r="X568" t="s">
        <v>39</v>
      </c>
      <c r="Y568">
        <v>1</v>
      </c>
      <c r="Z568" t="s">
        <v>51</v>
      </c>
      <c r="AA568" t="s">
        <v>40</v>
      </c>
      <c r="AB568">
        <v>2</v>
      </c>
    </row>
    <row r="569" spans="1:28" x14ac:dyDescent="0.3">
      <c r="A569">
        <v>568</v>
      </c>
      <c r="B569" t="s">
        <v>26</v>
      </c>
      <c r="C569" t="s">
        <v>52</v>
      </c>
      <c r="D569" t="s">
        <v>53</v>
      </c>
      <c r="E569">
        <v>24</v>
      </c>
      <c r="F569" t="s">
        <v>29</v>
      </c>
      <c r="G569" t="s">
        <v>30</v>
      </c>
      <c r="H569">
        <v>2578</v>
      </c>
      <c r="I569" t="s">
        <v>71</v>
      </c>
      <c r="J569" t="s">
        <v>72</v>
      </c>
      <c r="K569" t="s">
        <v>32</v>
      </c>
      <c r="L569" t="s">
        <v>33</v>
      </c>
      <c r="M569">
        <v>2</v>
      </c>
      <c r="N569" t="s">
        <v>34</v>
      </c>
      <c r="O569" t="s">
        <v>35</v>
      </c>
      <c r="P569" t="s">
        <v>36</v>
      </c>
      <c r="Q569">
        <v>2</v>
      </c>
      <c r="R569" t="s">
        <v>68</v>
      </c>
      <c r="S569">
        <v>34</v>
      </c>
      <c r="T569" t="s">
        <v>98</v>
      </c>
      <c r="U569" t="s">
        <v>36</v>
      </c>
      <c r="V569" t="s">
        <v>38</v>
      </c>
      <c r="W569">
        <v>1</v>
      </c>
      <c r="X569" t="s">
        <v>39</v>
      </c>
      <c r="Y569">
        <v>1</v>
      </c>
      <c r="Z569" t="s">
        <v>51</v>
      </c>
      <c r="AA569" t="s">
        <v>40</v>
      </c>
      <c r="AB569">
        <v>1</v>
      </c>
    </row>
    <row r="570" spans="1:28" x14ac:dyDescent="0.3">
      <c r="A570">
        <v>569</v>
      </c>
      <c r="B570" t="s">
        <v>26</v>
      </c>
      <c r="C570" t="s">
        <v>42</v>
      </c>
      <c r="D570" t="s">
        <v>43</v>
      </c>
      <c r="E570">
        <v>48</v>
      </c>
      <c r="F570" t="s">
        <v>44</v>
      </c>
      <c r="G570" t="s">
        <v>30</v>
      </c>
      <c r="H570">
        <v>3979</v>
      </c>
      <c r="I570" t="s">
        <v>31</v>
      </c>
      <c r="J570" t="s">
        <v>31</v>
      </c>
      <c r="K570" t="s">
        <v>55</v>
      </c>
      <c r="L570" t="s">
        <v>56</v>
      </c>
      <c r="M570">
        <v>4</v>
      </c>
      <c r="N570" t="s">
        <v>34</v>
      </c>
      <c r="O570" t="s">
        <v>35</v>
      </c>
      <c r="P570" t="s">
        <v>36</v>
      </c>
      <c r="Q570">
        <v>1</v>
      </c>
      <c r="R570" t="s">
        <v>68</v>
      </c>
      <c r="S570">
        <v>41</v>
      </c>
      <c r="T570" t="s">
        <v>97</v>
      </c>
      <c r="U570" t="s">
        <v>36</v>
      </c>
      <c r="V570" t="s">
        <v>38</v>
      </c>
      <c r="W570">
        <v>2</v>
      </c>
      <c r="X570" t="s">
        <v>39</v>
      </c>
      <c r="Y570">
        <v>2</v>
      </c>
      <c r="Z570" t="s">
        <v>40</v>
      </c>
      <c r="AA570" t="s">
        <v>40</v>
      </c>
      <c r="AB570">
        <v>1</v>
      </c>
    </row>
    <row r="571" spans="1:28" x14ac:dyDescent="0.3">
      <c r="A571">
        <v>570</v>
      </c>
      <c r="B571" t="s">
        <v>41</v>
      </c>
      <c r="C571" t="s">
        <v>27</v>
      </c>
      <c r="D571" t="s">
        <v>28</v>
      </c>
      <c r="E571">
        <v>48</v>
      </c>
      <c r="F571" t="s">
        <v>44</v>
      </c>
      <c r="G571" t="s">
        <v>30</v>
      </c>
      <c r="H571">
        <v>6758</v>
      </c>
      <c r="I571" t="s">
        <v>45</v>
      </c>
      <c r="J571" t="s">
        <v>46</v>
      </c>
      <c r="K571" t="s">
        <v>47</v>
      </c>
      <c r="L571" t="s">
        <v>48</v>
      </c>
      <c r="M571">
        <v>3</v>
      </c>
      <c r="N571" t="s">
        <v>49</v>
      </c>
      <c r="O571" t="s">
        <v>50</v>
      </c>
      <c r="P571" t="s">
        <v>36</v>
      </c>
      <c r="Q571">
        <v>2</v>
      </c>
      <c r="R571" t="s">
        <v>68</v>
      </c>
      <c r="S571">
        <v>31</v>
      </c>
      <c r="T571" t="s">
        <v>98</v>
      </c>
      <c r="U571" t="s">
        <v>36</v>
      </c>
      <c r="V571" t="s">
        <v>38</v>
      </c>
      <c r="W571">
        <v>1</v>
      </c>
      <c r="X571" t="s">
        <v>39</v>
      </c>
      <c r="Y571">
        <v>1</v>
      </c>
      <c r="Z571" t="s">
        <v>40</v>
      </c>
      <c r="AA571" t="s">
        <v>40</v>
      </c>
      <c r="AB571">
        <v>2</v>
      </c>
    </row>
    <row r="572" spans="1:28" x14ac:dyDescent="0.3">
      <c r="A572">
        <v>571</v>
      </c>
      <c r="B572" t="s">
        <v>41</v>
      </c>
      <c r="C572" t="s">
        <v>27</v>
      </c>
      <c r="D572" t="s">
        <v>28</v>
      </c>
      <c r="E572">
        <v>24</v>
      </c>
      <c r="F572" t="s">
        <v>44</v>
      </c>
      <c r="G572" t="s">
        <v>58</v>
      </c>
      <c r="H572">
        <v>3234</v>
      </c>
      <c r="I572" t="s">
        <v>45</v>
      </c>
      <c r="J572" t="s">
        <v>46</v>
      </c>
      <c r="K572" t="s">
        <v>76</v>
      </c>
      <c r="L572" t="s">
        <v>77</v>
      </c>
      <c r="M572">
        <v>4</v>
      </c>
      <c r="N572" t="s">
        <v>49</v>
      </c>
      <c r="O572" t="s">
        <v>50</v>
      </c>
      <c r="P572" t="s">
        <v>36</v>
      </c>
      <c r="Q572">
        <v>4</v>
      </c>
      <c r="R572" t="s">
        <v>37</v>
      </c>
      <c r="S572">
        <v>23</v>
      </c>
      <c r="T572" t="s">
        <v>96</v>
      </c>
      <c r="U572" t="s">
        <v>36</v>
      </c>
      <c r="V572" t="s">
        <v>69</v>
      </c>
      <c r="W572">
        <v>1</v>
      </c>
      <c r="X572" t="s">
        <v>57</v>
      </c>
      <c r="Y572">
        <v>1</v>
      </c>
      <c r="Z572" t="s">
        <v>40</v>
      </c>
      <c r="AA572" t="s">
        <v>40</v>
      </c>
      <c r="AB572">
        <v>2</v>
      </c>
    </row>
    <row r="573" spans="1:28" x14ac:dyDescent="0.3">
      <c r="A573">
        <v>572</v>
      </c>
      <c r="B573" t="s">
        <v>26</v>
      </c>
      <c r="C573" t="s">
        <v>52</v>
      </c>
      <c r="D573" t="s">
        <v>53</v>
      </c>
      <c r="E573">
        <v>30</v>
      </c>
      <c r="F573" t="s">
        <v>29</v>
      </c>
      <c r="G573" t="s">
        <v>30</v>
      </c>
      <c r="H573">
        <v>5954</v>
      </c>
      <c r="I573" t="s">
        <v>45</v>
      </c>
      <c r="J573" t="s">
        <v>46</v>
      </c>
      <c r="K573" t="s">
        <v>55</v>
      </c>
      <c r="L573" t="s">
        <v>56</v>
      </c>
      <c r="M573">
        <v>3</v>
      </c>
      <c r="N573" t="s">
        <v>34</v>
      </c>
      <c r="O573" t="s">
        <v>35</v>
      </c>
      <c r="P573" t="s">
        <v>87</v>
      </c>
      <c r="Q573">
        <v>2</v>
      </c>
      <c r="R573" t="s">
        <v>68</v>
      </c>
      <c r="S573">
        <v>38</v>
      </c>
      <c r="T573" t="s">
        <v>98</v>
      </c>
      <c r="U573" t="s">
        <v>36</v>
      </c>
      <c r="V573" t="s">
        <v>38</v>
      </c>
      <c r="W573">
        <v>1</v>
      </c>
      <c r="X573" t="s">
        <v>39</v>
      </c>
      <c r="Y573">
        <v>1</v>
      </c>
      <c r="Z573" t="s">
        <v>51</v>
      </c>
      <c r="AA573" t="s">
        <v>40</v>
      </c>
      <c r="AB573">
        <v>1</v>
      </c>
    </row>
    <row r="574" spans="1:28" x14ac:dyDescent="0.3">
      <c r="A574">
        <v>573</v>
      </c>
      <c r="B574" t="s">
        <v>26</v>
      </c>
      <c r="C574" t="s">
        <v>52</v>
      </c>
      <c r="D574" t="s">
        <v>53</v>
      </c>
      <c r="E574">
        <v>24</v>
      </c>
      <c r="F574" t="s">
        <v>44</v>
      </c>
      <c r="G574" t="s">
        <v>67</v>
      </c>
      <c r="H574">
        <v>5433</v>
      </c>
      <c r="I574" t="s">
        <v>31</v>
      </c>
      <c r="J574" t="s">
        <v>31</v>
      </c>
      <c r="K574" t="s">
        <v>74</v>
      </c>
      <c r="L574" t="s">
        <v>74</v>
      </c>
      <c r="M574">
        <v>2</v>
      </c>
      <c r="N574" t="s">
        <v>49</v>
      </c>
      <c r="O574" t="s">
        <v>50</v>
      </c>
      <c r="P574" t="s">
        <v>36</v>
      </c>
      <c r="Q574">
        <v>4</v>
      </c>
      <c r="R574" t="s">
        <v>60</v>
      </c>
      <c r="S574">
        <v>26</v>
      </c>
      <c r="T574" t="s">
        <v>98</v>
      </c>
      <c r="U574" t="s">
        <v>36</v>
      </c>
      <c r="V574" t="s">
        <v>69</v>
      </c>
      <c r="W574">
        <v>1</v>
      </c>
      <c r="X574" t="s">
        <v>70</v>
      </c>
      <c r="Y574">
        <v>1</v>
      </c>
      <c r="Z574" t="s">
        <v>40</v>
      </c>
      <c r="AA574" t="s">
        <v>40</v>
      </c>
      <c r="AB574">
        <v>1</v>
      </c>
    </row>
    <row r="575" spans="1:28" x14ac:dyDescent="0.3">
      <c r="A575">
        <v>574</v>
      </c>
      <c r="B575" t="s">
        <v>26</v>
      </c>
      <c r="C575" t="s">
        <v>27</v>
      </c>
      <c r="D575" t="s">
        <v>28</v>
      </c>
      <c r="E575">
        <v>15</v>
      </c>
      <c r="F575" t="s">
        <v>44</v>
      </c>
      <c r="G575" t="s">
        <v>78</v>
      </c>
      <c r="H575">
        <v>806</v>
      </c>
      <c r="I575" t="s">
        <v>45</v>
      </c>
      <c r="J575" t="s">
        <v>46</v>
      </c>
      <c r="K575" t="s">
        <v>47</v>
      </c>
      <c r="L575" t="s">
        <v>48</v>
      </c>
      <c r="M575">
        <v>4</v>
      </c>
      <c r="N575" t="s">
        <v>49</v>
      </c>
      <c r="O575" t="s">
        <v>50</v>
      </c>
      <c r="P575" t="s">
        <v>36</v>
      </c>
      <c r="Q575">
        <v>4</v>
      </c>
      <c r="R575" t="s">
        <v>60</v>
      </c>
      <c r="S575">
        <v>22</v>
      </c>
      <c r="T575" t="s">
        <v>96</v>
      </c>
      <c r="U575" t="s">
        <v>36</v>
      </c>
      <c r="V575" t="s">
        <v>38</v>
      </c>
      <c r="W575">
        <v>1</v>
      </c>
      <c r="X575" t="s">
        <v>57</v>
      </c>
      <c r="Y575">
        <v>1</v>
      </c>
      <c r="Z575" t="s">
        <v>51</v>
      </c>
      <c r="AA575" t="s">
        <v>40</v>
      </c>
      <c r="AB575">
        <v>1</v>
      </c>
    </row>
    <row r="576" spans="1:28" x14ac:dyDescent="0.3">
      <c r="A576">
        <v>575</v>
      </c>
      <c r="B576" t="s">
        <v>26</v>
      </c>
      <c r="C576" t="s">
        <v>42</v>
      </c>
      <c r="D576" t="s">
        <v>43</v>
      </c>
      <c r="E576">
        <v>9</v>
      </c>
      <c r="F576" t="s">
        <v>44</v>
      </c>
      <c r="G576" t="s">
        <v>30</v>
      </c>
      <c r="H576">
        <v>1082</v>
      </c>
      <c r="I576" t="s">
        <v>45</v>
      </c>
      <c r="J576" t="s">
        <v>46</v>
      </c>
      <c r="K576" t="s">
        <v>32</v>
      </c>
      <c r="L576" t="s">
        <v>33</v>
      </c>
      <c r="M576">
        <v>4</v>
      </c>
      <c r="N576" t="s">
        <v>34</v>
      </c>
      <c r="O576" t="s">
        <v>35</v>
      </c>
      <c r="P576" t="s">
        <v>36</v>
      </c>
      <c r="Q576">
        <v>4</v>
      </c>
      <c r="R576" t="s">
        <v>68</v>
      </c>
      <c r="S576">
        <v>27</v>
      </c>
      <c r="T576" t="s">
        <v>98</v>
      </c>
      <c r="U576" t="s">
        <v>36</v>
      </c>
      <c r="V576" t="s">
        <v>38</v>
      </c>
      <c r="W576">
        <v>2</v>
      </c>
      <c r="X576" t="s">
        <v>57</v>
      </c>
      <c r="Y576">
        <v>1</v>
      </c>
      <c r="Z576" t="s">
        <v>51</v>
      </c>
      <c r="AA576" t="s">
        <v>40</v>
      </c>
      <c r="AB576">
        <v>1</v>
      </c>
    </row>
    <row r="577" spans="1:28" x14ac:dyDescent="0.3">
      <c r="A577">
        <v>576</v>
      </c>
      <c r="B577" t="s">
        <v>26</v>
      </c>
      <c r="C577" t="s">
        <v>52</v>
      </c>
      <c r="D577" t="s">
        <v>53</v>
      </c>
      <c r="E577">
        <v>15</v>
      </c>
      <c r="F577" t="s">
        <v>29</v>
      </c>
      <c r="G577" t="s">
        <v>58</v>
      </c>
      <c r="H577">
        <v>2788</v>
      </c>
      <c r="I577" t="s">
        <v>45</v>
      </c>
      <c r="J577" t="s">
        <v>46</v>
      </c>
      <c r="K577" t="s">
        <v>55</v>
      </c>
      <c r="L577" t="s">
        <v>56</v>
      </c>
      <c r="M577">
        <v>2</v>
      </c>
      <c r="N577" t="s">
        <v>49</v>
      </c>
      <c r="O577" t="s">
        <v>50</v>
      </c>
      <c r="P577" t="s">
        <v>87</v>
      </c>
      <c r="Q577">
        <v>3</v>
      </c>
      <c r="R577" t="s">
        <v>68</v>
      </c>
      <c r="S577">
        <v>24</v>
      </c>
      <c r="T577" t="s">
        <v>96</v>
      </c>
      <c r="U577" t="s">
        <v>82</v>
      </c>
      <c r="V577" t="s">
        <v>38</v>
      </c>
      <c r="W577">
        <v>2</v>
      </c>
      <c r="X577" t="s">
        <v>39</v>
      </c>
      <c r="Y577">
        <v>1</v>
      </c>
      <c r="Z577" t="s">
        <v>51</v>
      </c>
      <c r="AA577" t="s">
        <v>40</v>
      </c>
      <c r="AB577">
        <v>1</v>
      </c>
    </row>
    <row r="578" spans="1:28" x14ac:dyDescent="0.3">
      <c r="A578">
        <v>577</v>
      </c>
      <c r="B578" t="s">
        <v>26</v>
      </c>
      <c r="C578" t="s">
        <v>42</v>
      </c>
      <c r="D578" t="s">
        <v>43</v>
      </c>
      <c r="E578">
        <v>12</v>
      </c>
      <c r="F578" t="s">
        <v>44</v>
      </c>
      <c r="G578" t="s">
        <v>30</v>
      </c>
      <c r="H578">
        <v>2930</v>
      </c>
      <c r="I578" t="s">
        <v>45</v>
      </c>
      <c r="J578" t="s">
        <v>46</v>
      </c>
      <c r="K578" t="s">
        <v>55</v>
      </c>
      <c r="L578" t="s">
        <v>56</v>
      </c>
      <c r="M578">
        <v>2</v>
      </c>
      <c r="N578" t="s">
        <v>49</v>
      </c>
      <c r="O578" t="s">
        <v>50</v>
      </c>
      <c r="P578" t="s">
        <v>36</v>
      </c>
      <c r="Q578">
        <v>1</v>
      </c>
      <c r="R578" t="s">
        <v>37</v>
      </c>
      <c r="S578">
        <v>27</v>
      </c>
      <c r="T578" t="s">
        <v>98</v>
      </c>
      <c r="U578" t="s">
        <v>36</v>
      </c>
      <c r="V578" t="s">
        <v>38</v>
      </c>
      <c r="W578">
        <v>1</v>
      </c>
      <c r="X578" t="s">
        <v>39</v>
      </c>
      <c r="Y578">
        <v>1</v>
      </c>
      <c r="Z578" t="s">
        <v>51</v>
      </c>
      <c r="AA578" t="s">
        <v>40</v>
      </c>
      <c r="AB578">
        <v>1</v>
      </c>
    </row>
    <row r="579" spans="1:28" x14ac:dyDescent="0.3">
      <c r="A579">
        <v>578</v>
      </c>
      <c r="B579" t="s">
        <v>26</v>
      </c>
      <c r="C579" t="s">
        <v>52</v>
      </c>
      <c r="D579" t="s">
        <v>53</v>
      </c>
      <c r="E579">
        <v>24</v>
      </c>
      <c r="F579" t="s">
        <v>29</v>
      </c>
      <c r="G579" t="s">
        <v>54</v>
      </c>
      <c r="H579">
        <v>1927</v>
      </c>
      <c r="I579" t="s">
        <v>31</v>
      </c>
      <c r="J579" t="s">
        <v>31</v>
      </c>
      <c r="K579" t="s">
        <v>47</v>
      </c>
      <c r="L579" t="s">
        <v>48</v>
      </c>
      <c r="M579">
        <v>3</v>
      </c>
      <c r="N579" t="s">
        <v>49</v>
      </c>
      <c r="O579" t="s">
        <v>50</v>
      </c>
      <c r="P579" t="s">
        <v>36</v>
      </c>
      <c r="Q579">
        <v>2</v>
      </c>
      <c r="R579" t="s">
        <v>68</v>
      </c>
      <c r="S579">
        <v>33</v>
      </c>
      <c r="T579" t="s">
        <v>98</v>
      </c>
      <c r="U579" t="s">
        <v>36</v>
      </c>
      <c r="V579" t="s">
        <v>38</v>
      </c>
      <c r="W579">
        <v>2</v>
      </c>
      <c r="X579" t="s">
        <v>39</v>
      </c>
      <c r="Y579">
        <v>1</v>
      </c>
      <c r="Z579" t="s">
        <v>40</v>
      </c>
      <c r="AA579" t="s">
        <v>40</v>
      </c>
      <c r="AB579">
        <v>1</v>
      </c>
    </row>
    <row r="580" spans="1:28" x14ac:dyDescent="0.3">
      <c r="A580">
        <v>579</v>
      </c>
      <c r="B580" t="s">
        <v>41</v>
      </c>
      <c r="C580" t="s">
        <v>42</v>
      </c>
      <c r="D580" t="s">
        <v>43</v>
      </c>
      <c r="E580">
        <v>36</v>
      </c>
      <c r="F580" t="s">
        <v>29</v>
      </c>
      <c r="G580" t="s">
        <v>63</v>
      </c>
      <c r="H580">
        <v>2820</v>
      </c>
      <c r="I580" t="s">
        <v>45</v>
      </c>
      <c r="J580" t="s">
        <v>46</v>
      </c>
      <c r="K580" t="s">
        <v>76</v>
      </c>
      <c r="L580" t="s">
        <v>77</v>
      </c>
      <c r="M580">
        <v>4</v>
      </c>
      <c r="N580" t="s">
        <v>34</v>
      </c>
      <c r="O580" t="s">
        <v>73</v>
      </c>
      <c r="P580" t="s">
        <v>36</v>
      </c>
      <c r="Q580">
        <v>4</v>
      </c>
      <c r="R580" t="s">
        <v>68</v>
      </c>
      <c r="S580">
        <v>27</v>
      </c>
      <c r="T580" t="s">
        <v>98</v>
      </c>
      <c r="U580" t="s">
        <v>36</v>
      </c>
      <c r="V580" t="s">
        <v>38</v>
      </c>
      <c r="W580">
        <v>2</v>
      </c>
      <c r="X580" t="s">
        <v>39</v>
      </c>
      <c r="Y580">
        <v>1</v>
      </c>
      <c r="Z580" t="s">
        <v>51</v>
      </c>
      <c r="AA580" t="s">
        <v>40</v>
      </c>
      <c r="AB580">
        <v>2</v>
      </c>
    </row>
    <row r="581" spans="1:28" x14ac:dyDescent="0.3">
      <c r="A581">
        <v>580</v>
      </c>
      <c r="B581" t="s">
        <v>26</v>
      </c>
      <c r="C581" t="s">
        <v>52</v>
      </c>
      <c r="D581" t="s">
        <v>53</v>
      </c>
      <c r="E581">
        <v>24</v>
      </c>
      <c r="F581" t="s">
        <v>44</v>
      </c>
      <c r="G581" t="s">
        <v>92</v>
      </c>
      <c r="H581">
        <v>937</v>
      </c>
      <c r="I581" t="s">
        <v>45</v>
      </c>
      <c r="J581" t="s">
        <v>46</v>
      </c>
      <c r="K581" t="s">
        <v>76</v>
      </c>
      <c r="L581" t="s">
        <v>77</v>
      </c>
      <c r="M581">
        <v>4</v>
      </c>
      <c r="N581" t="s">
        <v>34</v>
      </c>
      <c r="O581" t="s">
        <v>75</v>
      </c>
      <c r="P581" t="s">
        <v>36</v>
      </c>
      <c r="Q581">
        <v>3</v>
      </c>
      <c r="R581" t="s">
        <v>68</v>
      </c>
      <c r="S581">
        <v>27</v>
      </c>
      <c r="T581" t="s">
        <v>98</v>
      </c>
      <c r="U581" t="s">
        <v>36</v>
      </c>
      <c r="V581" t="s">
        <v>38</v>
      </c>
      <c r="W581">
        <v>2</v>
      </c>
      <c r="X581" t="s">
        <v>57</v>
      </c>
      <c r="Y581">
        <v>1</v>
      </c>
      <c r="Z581" t="s">
        <v>51</v>
      </c>
      <c r="AA581" t="s">
        <v>40</v>
      </c>
      <c r="AB581">
        <v>1</v>
      </c>
    </row>
    <row r="582" spans="1:28" x14ac:dyDescent="0.3">
      <c r="A582">
        <v>581</v>
      </c>
      <c r="B582" t="s">
        <v>41</v>
      </c>
      <c r="C582" t="s">
        <v>42</v>
      </c>
      <c r="D582" t="s">
        <v>43</v>
      </c>
      <c r="E582">
        <v>18</v>
      </c>
      <c r="F582" t="s">
        <v>29</v>
      </c>
      <c r="G582" t="s">
        <v>63</v>
      </c>
      <c r="H582">
        <v>1056</v>
      </c>
      <c r="I582" t="s">
        <v>45</v>
      </c>
      <c r="J582" t="s">
        <v>46</v>
      </c>
      <c r="K582" t="s">
        <v>32</v>
      </c>
      <c r="L582" t="s">
        <v>33</v>
      </c>
      <c r="M582">
        <v>3</v>
      </c>
      <c r="N582" t="s">
        <v>34</v>
      </c>
      <c r="O582" t="s">
        <v>35</v>
      </c>
      <c r="P582" t="s">
        <v>59</v>
      </c>
      <c r="Q582">
        <v>3</v>
      </c>
      <c r="R582" t="s">
        <v>37</v>
      </c>
      <c r="S582">
        <v>30</v>
      </c>
      <c r="T582" t="s">
        <v>98</v>
      </c>
      <c r="U582" t="s">
        <v>82</v>
      </c>
      <c r="V582" t="s">
        <v>38</v>
      </c>
      <c r="W582">
        <v>2</v>
      </c>
      <c r="X582" t="s">
        <v>39</v>
      </c>
      <c r="Y582">
        <v>1</v>
      </c>
      <c r="Z582" t="s">
        <v>51</v>
      </c>
      <c r="AA582" t="s">
        <v>40</v>
      </c>
      <c r="AB582">
        <v>2</v>
      </c>
    </row>
    <row r="583" spans="1:28" x14ac:dyDescent="0.3">
      <c r="A583">
        <v>582</v>
      </c>
      <c r="B583" t="s">
        <v>26</v>
      </c>
      <c r="C583" t="s">
        <v>42</v>
      </c>
      <c r="D583" t="s">
        <v>43</v>
      </c>
      <c r="E583">
        <v>12</v>
      </c>
      <c r="F583" t="s">
        <v>29</v>
      </c>
      <c r="G583" t="s">
        <v>63</v>
      </c>
      <c r="H583">
        <v>3124</v>
      </c>
      <c r="I583" t="s">
        <v>45</v>
      </c>
      <c r="J583" t="s">
        <v>46</v>
      </c>
      <c r="K583" t="s">
        <v>76</v>
      </c>
      <c r="L583" t="s">
        <v>77</v>
      </c>
      <c r="M583">
        <v>1</v>
      </c>
      <c r="N583" t="s">
        <v>34</v>
      </c>
      <c r="O583" t="s">
        <v>35</v>
      </c>
      <c r="P583" t="s">
        <v>36</v>
      </c>
      <c r="Q583">
        <v>3</v>
      </c>
      <c r="R583" t="s">
        <v>37</v>
      </c>
      <c r="S583">
        <v>49</v>
      </c>
      <c r="T583" t="s">
        <v>97</v>
      </c>
      <c r="U583" t="s">
        <v>82</v>
      </c>
      <c r="V583" t="s">
        <v>38</v>
      </c>
      <c r="W583">
        <v>2</v>
      </c>
      <c r="X583" t="s">
        <v>57</v>
      </c>
      <c r="Y583">
        <v>2</v>
      </c>
      <c r="Z583" t="s">
        <v>51</v>
      </c>
      <c r="AA583" t="s">
        <v>40</v>
      </c>
      <c r="AB583">
        <v>1</v>
      </c>
    </row>
    <row r="584" spans="1:28" x14ac:dyDescent="0.3">
      <c r="A584">
        <v>583</v>
      </c>
      <c r="B584" t="s">
        <v>26</v>
      </c>
      <c r="C584" t="s">
        <v>52</v>
      </c>
      <c r="D584" t="s">
        <v>53</v>
      </c>
      <c r="E584">
        <v>9</v>
      </c>
      <c r="F584" t="s">
        <v>44</v>
      </c>
      <c r="G584" t="s">
        <v>58</v>
      </c>
      <c r="H584">
        <v>1388</v>
      </c>
      <c r="I584" t="s">
        <v>45</v>
      </c>
      <c r="J584" t="s">
        <v>46</v>
      </c>
      <c r="K584" t="s">
        <v>47</v>
      </c>
      <c r="L584" t="s">
        <v>48</v>
      </c>
      <c r="M584">
        <v>4</v>
      </c>
      <c r="N584" t="s">
        <v>49</v>
      </c>
      <c r="O584" t="s">
        <v>50</v>
      </c>
      <c r="P584" t="s">
        <v>36</v>
      </c>
      <c r="Q584">
        <v>2</v>
      </c>
      <c r="R584" t="s">
        <v>37</v>
      </c>
      <c r="S584">
        <v>26</v>
      </c>
      <c r="T584" t="s">
        <v>98</v>
      </c>
      <c r="U584" t="s">
        <v>36</v>
      </c>
      <c r="V584" t="s">
        <v>69</v>
      </c>
      <c r="W584">
        <v>1</v>
      </c>
      <c r="X584" t="s">
        <v>39</v>
      </c>
      <c r="Y584">
        <v>1</v>
      </c>
      <c r="Z584" t="s">
        <v>51</v>
      </c>
      <c r="AA584" t="s">
        <v>40</v>
      </c>
      <c r="AB584">
        <v>1</v>
      </c>
    </row>
    <row r="585" spans="1:28" x14ac:dyDescent="0.3">
      <c r="A585">
        <v>584</v>
      </c>
      <c r="B585" t="s">
        <v>41</v>
      </c>
      <c r="C585" t="s">
        <v>42</v>
      </c>
      <c r="D585" t="s">
        <v>43</v>
      </c>
      <c r="E585">
        <v>36</v>
      </c>
      <c r="F585" t="s">
        <v>44</v>
      </c>
      <c r="G585" t="s">
        <v>89</v>
      </c>
      <c r="H585">
        <v>2384</v>
      </c>
      <c r="I585" t="s">
        <v>45</v>
      </c>
      <c r="J585" t="s">
        <v>46</v>
      </c>
      <c r="K585" t="s">
        <v>76</v>
      </c>
      <c r="L585" t="s">
        <v>77</v>
      </c>
      <c r="M585">
        <v>4</v>
      </c>
      <c r="N585" t="s">
        <v>34</v>
      </c>
      <c r="O585" t="s">
        <v>35</v>
      </c>
      <c r="P585" t="s">
        <v>36</v>
      </c>
      <c r="Q585">
        <v>1</v>
      </c>
      <c r="R585" t="s">
        <v>64</v>
      </c>
      <c r="S585">
        <v>33</v>
      </c>
      <c r="T585" t="s">
        <v>98</v>
      </c>
      <c r="U585" t="s">
        <v>36</v>
      </c>
      <c r="V585" t="s">
        <v>69</v>
      </c>
      <c r="W585">
        <v>1</v>
      </c>
      <c r="X585" t="s">
        <v>57</v>
      </c>
      <c r="Y585">
        <v>1</v>
      </c>
      <c r="Z585" t="s">
        <v>51</v>
      </c>
      <c r="AA585" t="s">
        <v>40</v>
      </c>
      <c r="AB585">
        <v>2</v>
      </c>
    </row>
    <row r="586" spans="1:28" x14ac:dyDescent="0.3">
      <c r="A586">
        <v>585</v>
      </c>
      <c r="B586" t="s">
        <v>26</v>
      </c>
      <c r="C586" t="s">
        <v>52</v>
      </c>
      <c r="D586" t="s">
        <v>53</v>
      </c>
      <c r="E586">
        <v>12</v>
      </c>
      <c r="F586" t="s">
        <v>44</v>
      </c>
      <c r="G586" t="s">
        <v>63</v>
      </c>
      <c r="H586">
        <v>2133</v>
      </c>
      <c r="I586" t="s">
        <v>31</v>
      </c>
      <c r="J586" t="s">
        <v>31</v>
      </c>
      <c r="K586" t="s">
        <v>32</v>
      </c>
      <c r="L586" t="s">
        <v>33</v>
      </c>
      <c r="M586">
        <v>4</v>
      </c>
      <c r="N586" t="s">
        <v>49</v>
      </c>
      <c r="O586" t="s">
        <v>50</v>
      </c>
      <c r="P586" t="s">
        <v>36</v>
      </c>
      <c r="Q586">
        <v>4</v>
      </c>
      <c r="R586" t="s">
        <v>64</v>
      </c>
      <c r="S586">
        <v>52</v>
      </c>
      <c r="T586" t="s">
        <v>97</v>
      </c>
      <c r="U586" t="s">
        <v>36</v>
      </c>
      <c r="V586" t="s">
        <v>61</v>
      </c>
      <c r="W586">
        <v>1</v>
      </c>
      <c r="X586" t="s">
        <v>70</v>
      </c>
      <c r="Y586">
        <v>1</v>
      </c>
      <c r="Z586" t="s">
        <v>40</v>
      </c>
      <c r="AA586" t="s">
        <v>40</v>
      </c>
      <c r="AB586">
        <v>1</v>
      </c>
    </row>
    <row r="587" spans="1:28" x14ac:dyDescent="0.3">
      <c r="A587">
        <v>586</v>
      </c>
      <c r="B587" t="s">
        <v>41</v>
      </c>
      <c r="C587" t="s">
        <v>27</v>
      </c>
      <c r="D587" t="s">
        <v>28</v>
      </c>
      <c r="E587">
        <v>18</v>
      </c>
      <c r="F587" t="s">
        <v>44</v>
      </c>
      <c r="G587" t="s">
        <v>58</v>
      </c>
      <c r="H587">
        <v>2039</v>
      </c>
      <c r="I587" t="s">
        <v>45</v>
      </c>
      <c r="J587" t="s">
        <v>46</v>
      </c>
      <c r="K587" t="s">
        <v>47</v>
      </c>
      <c r="L587" t="s">
        <v>48</v>
      </c>
      <c r="M587">
        <v>1</v>
      </c>
      <c r="N587" t="s">
        <v>49</v>
      </c>
      <c r="O587" t="s">
        <v>50</v>
      </c>
      <c r="P587" t="s">
        <v>36</v>
      </c>
      <c r="Q587">
        <v>4</v>
      </c>
      <c r="R587" t="s">
        <v>37</v>
      </c>
      <c r="S587">
        <v>20</v>
      </c>
      <c r="T587" t="s">
        <v>96</v>
      </c>
      <c r="U587" t="s">
        <v>82</v>
      </c>
      <c r="V587" t="s">
        <v>69</v>
      </c>
      <c r="W587">
        <v>1</v>
      </c>
      <c r="X587" t="s">
        <v>39</v>
      </c>
      <c r="Y587">
        <v>1</v>
      </c>
      <c r="Z587" t="s">
        <v>51</v>
      </c>
      <c r="AA587" t="s">
        <v>40</v>
      </c>
      <c r="AB587">
        <v>2</v>
      </c>
    </row>
    <row r="588" spans="1:28" x14ac:dyDescent="0.3">
      <c r="A588">
        <v>587</v>
      </c>
      <c r="B588" t="s">
        <v>26</v>
      </c>
      <c r="C588" t="s">
        <v>27</v>
      </c>
      <c r="D588" t="s">
        <v>28</v>
      </c>
      <c r="E588">
        <v>9</v>
      </c>
      <c r="F588" t="s">
        <v>29</v>
      </c>
      <c r="G588" t="s">
        <v>63</v>
      </c>
      <c r="H588">
        <v>2799</v>
      </c>
      <c r="I588" t="s">
        <v>45</v>
      </c>
      <c r="J588" t="s">
        <v>46</v>
      </c>
      <c r="K588" t="s">
        <v>47</v>
      </c>
      <c r="L588" t="s">
        <v>48</v>
      </c>
      <c r="M588">
        <v>2</v>
      </c>
      <c r="N588" t="s">
        <v>34</v>
      </c>
      <c r="O588" t="s">
        <v>35</v>
      </c>
      <c r="P588" t="s">
        <v>36</v>
      </c>
      <c r="Q588">
        <v>2</v>
      </c>
      <c r="R588" t="s">
        <v>37</v>
      </c>
      <c r="S588">
        <v>36</v>
      </c>
      <c r="T588" t="s">
        <v>98</v>
      </c>
      <c r="U588" t="s">
        <v>36</v>
      </c>
      <c r="V588" t="s">
        <v>69</v>
      </c>
      <c r="W588">
        <v>2</v>
      </c>
      <c r="X588" t="s">
        <v>39</v>
      </c>
      <c r="Y588">
        <v>2</v>
      </c>
      <c r="Z588" t="s">
        <v>51</v>
      </c>
      <c r="AA588" t="s">
        <v>40</v>
      </c>
      <c r="AB588">
        <v>1</v>
      </c>
    </row>
    <row r="589" spans="1:28" x14ac:dyDescent="0.3">
      <c r="A589">
        <v>588</v>
      </c>
      <c r="B589" t="s">
        <v>26</v>
      </c>
      <c r="C589" t="s">
        <v>27</v>
      </c>
      <c r="D589" t="s">
        <v>28</v>
      </c>
      <c r="E589">
        <v>12</v>
      </c>
      <c r="F589" t="s">
        <v>44</v>
      </c>
      <c r="G589" t="s">
        <v>58</v>
      </c>
      <c r="H589">
        <v>1289</v>
      </c>
      <c r="I589" t="s">
        <v>45</v>
      </c>
      <c r="J589" t="s">
        <v>46</v>
      </c>
      <c r="K589" t="s">
        <v>47</v>
      </c>
      <c r="L589" t="s">
        <v>48</v>
      </c>
      <c r="M589">
        <v>4</v>
      </c>
      <c r="N589" t="s">
        <v>34</v>
      </c>
      <c r="O589" t="s">
        <v>35</v>
      </c>
      <c r="P589" t="s">
        <v>59</v>
      </c>
      <c r="Q589">
        <v>1</v>
      </c>
      <c r="R589" t="s">
        <v>60</v>
      </c>
      <c r="S589">
        <v>21</v>
      </c>
      <c r="T589" t="s">
        <v>96</v>
      </c>
      <c r="U589" t="s">
        <v>36</v>
      </c>
      <c r="V589" t="s">
        <v>38</v>
      </c>
      <c r="W589">
        <v>1</v>
      </c>
      <c r="X589" t="s">
        <v>57</v>
      </c>
      <c r="Y589">
        <v>1</v>
      </c>
      <c r="Z589" t="s">
        <v>51</v>
      </c>
      <c r="AA589" t="s">
        <v>40</v>
      </c>
      <c r="AB589">
        <v>1</v>
      </c>
    </row>
    <row r="590" spans="1:28" x14ac:dyDescent="0.3">
      <c r="A590">
        <v>589</v>
      </c>
      <c r="B590" t="s">
        <v>41</v>
      </c>
      <c r="C590" t="s">
        <v>27</v>
      </c>
      <c r="D590" t="s">
        <v>28</v>
      </c>
      <c r="E590">
        <v>18</v>
      </c>
      <c r="F590" t="s">
        <v>44</v>
      </c>
      <c r="G590" t="s">
        <v>88</v>
      </c>
      <c r="H590">
        <v>1217</v>
      </c>
      <c r="I590" t="s">
        <v>45</v>
      </c>
      <c r="J590" t="s">
        <v>46</v>
      </c>
      <c r="K590" t="s">
        <v>47</v>
      </c>
      <c r="L590" t="s">
        <v>48</v>
      </c>
      <c r="M590">
        <v>4</v>
      </c>
      <c r="N590" t="s">
        <v>34</v>
      </c>
      <c r="O590" t="s">
        <v>75</v>
      </c>
      <c r="P590" t="s">
        <v>36</v>
      </c>
      <c r="Q590">
        <v>3</v>
      </c>
      <c r="R590" t="s">
        <v>37</v>
      </c>
      <c r="S590">
        <v>47</v>
      </c>
      <c r="T590" t="s">
        <v>97</v>
      </c>
      <c r="U590" t="s">
        <v>36</v>
      </c>
      <c r="V590" t="s">
        <v>38</v>
      </c>
      <c r="W590">
        <v>1</v>
      </c>
      <c r="X590" t="s">
        <v>57</v>
      </c>
      <c r="Y590">
        <v>1</v>
      </c>
      <c r="Z590" t="s">
        <v>40</v>
      </c>
      <c r="AA590" t="s">
        <v>40</v>
      </c>
      <c r="AB590">
        <v>2</v>
      </c>
    </row>
    <row r="591" spans="1:28" x14ac:dyDescent="0.3">
      <c r="A591">
        <v>590</v>
      </c>
      <c r="B591" t="s">
        <v>41</v>
      </c>
      <c r="C591" t="s">
        <v>27</v>
      </c>
      <c r="D591" t="s">
        <v>28</v>
      </c>
      <c r="E591">
        <v>12</v>
      </c>
      <c r="F591" t="s">
        <v>29</v>
      </c>
      <c r="G591" t="s">
        <v>58</v>
      </c>
      <c r="H591">
        <v>2246</v>
      </c>
      <c r="I591" t="s">
        <v>45</v>
      </c>
      <c r="J591" t="s">
        <v>46</v>
      </c>
      <c r="K591" t="s">
        <v>32</v>
      </c>
      <c r="L591" t="s">
        <v>33</v>
      </c>
      <c r="M591">
        <v>3</v>
      </c>
      <c r="N591" t="s">
        <v>34</v>
      </c>
      <c r="O591" t="s">
        <v>35</v>
      </c>
      <c r="P591" t="s">
        <v>36</v>
      </c>
      <c r="Q591">
        <v>3</v>
      </c>
      <c r="R591" t="s">
        <v>60</v>
      </c>
      <c r="S591">
        <v>60</v>
      </c>
      <c r="T591" t="s">
        <v>95</v>
      </c>
      <c r="U591" t="s">
        <v>36</v>
      </c>
      <c r="V591" t="s">
        <v>38</v>
      </c>
      <c r="W591">
        <v>2</v>
      </c>
      <c r="X591" t="s">
        <v>39</v>
      </c>
      <c r="Y591">
        <v>1</v>
      </c>
      <c r="Z591" t="s">
        <v>51</v>
      </c>
      <c r="AA591" t="s">
        <v>40</v>
      </c>
      <c r="AB591">
        <v>2</v>
      </c>
    </row>
    <row r="592" spans="1:28" x14ac:dyDescent="0.3">
      <c r="A592">
        <v>591</v>
      </c>
      <c r="B592" t="s">
        <v>26</v>
      </c>
      <c r="C592" t="s">
        <v>27</v>
      </c>
      <c r="D592" t="s">
        <v>28</v>
      </c>
      <c r="E592">
        <v>12</v>
      </c>
      <c r="F592" t="s">
        <v>29</v>
      </c>
      <c r="G592" t="s">
        <v>30</v>
      </c>
      <c r="H592">
        <v>385</v>
      </c>
      <c r="I592" t="s">
        <v>45</v>
      </c>
      <c r="J592" t="s">
        <v>46</v>
      </c>
      <c r="K592" t="s">
        <v>55</v>
      </c>
      <c r="L592" t="s">
        <v>56</v>
      </c>
      <c r="M592">
        <v>4</v>
      </c>
      <c r="N592" t="s">
        <v>49</v>
      </c>
      <c r="O592" t="s">
        <v>50</v>
      </c>
      <c r="P592" t="s">
        <v>36</v>
      </c>
      <c r="Q592">
        <v>3</v>
      </c>
      <c r="R592" t="s">
        <v>37</v>
      </c>
      <c r="S592">
        <v>58</v>
      </c>
      <c r="T592" t="s">
        <v>97</v>
      </c>
      <c r="U592" t="s">
        <v>36</v>
      </c>
      <c r="V592" t="s">
        <v>38</v>
      </c>
      <c r="W592">
        <v>4</v>
      </c>
      <c r="X592" t="s">
        <v>57</v>
      </c>
      <c r="Y592">
        <v>1</v>
      </c>
      <c r="Z592" t="s">
        <v>40</v>
      </c>
      <c r="AA592" t="s">
        <v>40</v>
      </c>
      <c r="AB592">
        <v>1</v>
      </c>
    </row>
    <row r="593" spans="1:28" x14ac:dyDescent="0.3">
      <c r="A593">
        <v>592</v>
      </c>
      <c r="B593" t="s">
        <v>26</v>
      </c>
      <c r="C593" t="s">
        <v>42</v>
      </c>
      <c r="D593" t="s">
        <v>43</v>
      </c>
      <c r="E593">
        <v>24</v>
      </c>
      <c r="F593" t="s">
        <v>62</v>
      </c>
      <c r="G593" t="s">
        <v>63</v>
      </c>
      <c r="H593">
        <v>1965</v>
      </c>
      <c r="I593" t="s">
        <v>31</v>
      </c>
      <c r="J593" t="s">
        <v>31</v>
      </c>
      <c r="K593" t="s">
        <v>47</v>
      </c>
      <c r="L593" t="s">
        <v>48</v>
      </c>
      <c r="M593">
        <v>4</v>
      </c>
      <c r="N593" t="s">
        <v>49</v>
      </c>
      <c r="O593" t="s">
        <v>50</v>
      </c>
      <c r="P593" t="s">
        <v>36</v>
      </c>
      <c r="Q593">
        <v>4</v>
      </c>
      <c r="R593" t="s">
        <v>68</v>
      </c>
      <c r="S593">
        <v>42</v>
      </c>
      <c r="T593" t="s">
        <v>97</v>
      </c>
      <c r="U593" t="s">
        <v>36</v>
      </c>
      <c r="V593" t="s">
        <v>69</v>
      </c>
      <c r="W593">
        <v>2</v>
      </c>
      <c r="X593" t="s">
        <v>39</v>
      </c>
      <c r="Y593">
        <v>1</v>
      </c>
      <c r="Z593" t="s">
        <v>40</v>
      </c>
      <c r="AA593" t="s">
        <v>40</v>
      </c>
      <c r="AB593">
        <v>1</v>
      </c>
    </row>
    <row r="594" spans="1:28" x14ac:dyDescent="0.3">
      <c r="A594">
        <v>593</v>
      </c>
      <c r="B594" t="s">
        <v>26</v>
      </c>
      <c r="C594" t="s">
        <v>52</v>
      </c>
      <c r="D594" t="s">
        <v>53</v>
      </c>
      <c r="E594">
        <v>21</v>
      </c>
      <c r="F594" t="s">
        <v>44</v>
      </c>
      <c r="G594" t="s">
        <v>78</v>
      </c>
      <c r="H594">
        <v>1572</v>
      </c>
      <c r="I594" t="s">
        <v>71</v>
      </c>
      <c r="J594" t="s">
        <v>72</v>
      </c>
      <c r="K594" t="s">
        <v>32</v>
      </c>
      <c r="L594" t="s">
        <v>33</v>
      </c>
      <c r="M594">
        <v>4</v>
      </c>
      <c r="N594" t="s">
        <v>49</v>
      </c>
      <c r="O594" t="s">
        <v>50</v>
      </c>
      <c r="P594" t="s">
        <v>36</v>
      </c>
      <c r="Q594">
        <v>4</v>
      </c>
      <c r="R594" t="s">
        <v>37</v>
      </c>
      <c r="S594">
        <v>36</v>
      </c>
      <c r="T594" t="s">
        <v>98</v>
      </c>
      <c r="U594" t="s">
        <v>82</v>
      </c>
      <c r="V594" t="s">
        <v>38</v>
      </c>
      <c r="W594">
        <v>1</v>
      </c>
      <c r="X594" t="s">
        <v>57</v>
      </c>
      <c r="Y594">
        <v>1</v>
      </c>
      <c r="Z594" t="s">
        <v>51</v>
      </c>
      <c r="AA594" t="s">
        <v>40</v>
      </c>
      <c r="AB594">
        <v>1</v>
      </c>
    </row>
    <row r="595" spans="1:28" x14ac:dyDescent="0.3">
      <c r="A595">
        <v>594</v>
      </c>
      <c r="B595" t="s">
        <v>41</v>
      </c>
      <c r="C595" t="s">
        <v>42</v>
      </c>
      <c r="D595" t="s">
        <v>43</v>
      </c>
      <c r="E595">
        <v>24</v>
      </c>
      <c r="F595" t="s">
        <v>44</v>
      </c>
      <c r="G595" t="s">
        <v>63</v>
      </c>
      <c r="H595">
        <v>2718</v>
      </c>
      <c r="I595" t="s">
        <v>45</v>
      </c>
      <c r="J595" t="s">
        <v>46</v>
      </c>
      <c r="K595" t="s">
        <v>47</v>
      </c>
      <c r="L595" t="s">
        <v>48</v>
      </c>
      <c r="M595">
        <v>3</v>
      </c>
      <c r="N595" t="s">
        <v>49</v>
      </c>
      <c r="O595" t="s">
        <v>50</v>
      </c>
      <c r="P595" t="s">
        <v>36</v>
      </c>
      <c r="Q595">
        <v>4</v>
      </c>
      <c r="R595" t="s">
        <v>60</v>
      </c>
      <c r="S595">
        <v>20</v>
      </c>
      <c r="T595" t="s">
        <v>96</v>
      </c>
      <c r="U595" t="s">
        <v>36</v>
      </c>
      <c r="V595" t="s">
        <v>69</v>
      </c>
      <c r="W595">
        <v>1</v>
      </c>
      <c r="X595" t="s">
        <v>57</v>
      </c>
      <c r="Y595">
        <v>1</v>
      </c>
      <c r="Z595" t="s">
        <v>40</v>
      </c>
      <c r="AA595" t="s">
        <v>40</v>
      </c>
      <c r="AB595">
        <v>2</v>
      </c>
    </row>
    <row r="596" spans="1:28" x14ac:dyDescent="0.3">
      <c r="A596">
        <v>595</v>
      </c>
      <c r="B596" t="s">
        <v>41</v>
      </c>
      <c r="C596" t="s">
        <v>27</v>
      </c>
      <c r="D596" t="s">
        <v>28</v>
      </c>
      <c r="E596">
        <v>24</v>
      </c>
      <c r="F596" t="s">
        <v>85</v>
      </c>
      <c r="G596" t="s">
        <v>91</v>
      </c>
      <c r="H596">
        <v>1358</v>
      </c>
      <c r="I596" t="s">
        <v>31</v>
      </c>
      <c r="J596" t="s">
        <v>31</v>
      </c>
      <c r="K596" t="s">
        <v>32</v>
      </c>
      <c r="L596" t="s">
        <v>33</v>
      </c>
      <c r="M596">
        <v>4</v>
      </c>
      <c r="N596" t="s">
        <v>34</v>
      </c>
      <c r="O596" t="s">
        <v>35</v>
      </c>
      <c r="P596" t="s">
        <v>36</v>
      </c>
      <c r="Q596">
        <v>3</v>
      </c>
      <c r="R596" t="s">
        <v>68</v>
      </c>
      <c r="S596">
        <v>40</v>
      </c>
      <c r="T596" t="s">
        <v>97</v>
      </c>
      <c r="U596" t="s">
        <v>86</v>
      </c>
      <c r="V596" t="s">
        <v>38</v>
      </c>
      <c r="W596">
        <v>1</v>
      </c>
      <c r="X596" t="s">
        <v>70</v>
      </c>
      <c r="Y596">
        <v>1</v>
      </c>
      <c r="Z596" t="s">
        <v>40</v>
      </c>
      <c r="AA596" t="s">
        <v>40</v>
      </c>
      <c r="AB596">
        <v>2</v>
      </c>
    </row>
    <row r="597" spans="1:28" x14ac:dyDescent="0.3">
      <c r="A597">
        <v>596</v>
      </c>
      <c r="B597" t="s">
        <v>41</v>
      </c>
      <c r="C597" t="s">
        <v>42</v>
      </c>
      <c r="D597" t="s">
        <v>43</v>
      </c>
      <c r="E597">
        <v>6</v>
      </c>
      <c r="F597" t="s">
        <v>85</v>
      </c>
      <c r="G597" t="s">
        <v>63</v>
      </c>
      <c r="H597">
        <v>931</v>
      </c>
      <c r="I597" t="s">
        <v>79</v>
      </c>
      <c r="J597" t="s">
        <v>80</v>
      </c>
      <c r="K597" t="s">
        <v>76</v>
      </c>
      <c r="L597" t="s">
        <v>77</v>
      </c>
      <c r="M597">
        <v>1</v>
      </c>
      <c r="N597" t="s">
        <v>49</v>
      </c>
      <c r="O597" t="s">
        <v>50</v>
      </c>
      <c r="P597" t="s">
        <v>36</v>
      </c>
      <c r="Q597">
        <v>1</v>
      </c>
      <c r="R597" t="s">
        <v>60</v>
      </c>
      <c r="S597">
        <v>32</v>
      </c>
      <c r="T597" t="s">
        <v>98</v>
      </c>
      <c r="U597" t="s">
        <v>86</v>
      </c>
      <c r="V597" t="s">
        <v>38</v>
      </c>
      <c r="W597">
        <v>1</v>
      </c>
      <c r="X597" t="s">
        <v>57</v>
      </c>
      <c r="Y597">
        <v>1</v>
      </c>
      <c r="Z597" t="s">
        <v>51</v>
      </c>
      <c r="AA597" t="s">
        <v>40</v>
      </c>
      <c r="AB597">
        <v>2</v>
      </c>
    </row>
    <row r="598" spans="1:28" x14ac:dyDescent="0.3">
      <c r="A598">
        <v>597</v>
      </c>
      <c r="B598" t="s">
        <v>41</v>
      </c>
      <c r="C598" t="s">
        <v>27</v>
      </c>
      <c r="D598" t="s">
        <v>28</v>
      </c>
      <c r="E598">
        <v>24</v>
      </c>
      <c r="F598" t="s">
        <v>44</v>
      </c>
      <c r="G598" t="s">
        <v>63</v>
      </c>
      <c r="H598">
        <v>1442</v>
      </c>
      <c r="I598" t="s">
        <v>45</v>
      </c>
      <c r="J598" t="s">
        <v>46</v>
      </c>
      <c r="K598" t="s">
        <v>55</v>
      </c>
      <c r="L598" t="s">
        <v>56</v>
      </c>
      <c r="M598">
        <v>4</v>
      </c>
      <c r="N598" t="s">
        <v>49</v>
      </c>
      <c r="O598" t="s">
        <v>50</v>
      </c>
      <c r="P598" t="s">
        <v>36</v>
      </c>
      <c r="Q598">
        <v>4</v>
      </c>
      <c r="R598" t="s">
        <v>68</v>
      </c>
      <c r="S598">
        <v>23</v>
      </c>
      <c r="T598" t="s">
        <v>96</v>
      </c>
      <c r="U598" t="s">
        <v>36</v>
      </c>
      <c r="V598" t="s">
        <v>69</v>
      </c>
      <c r="W598">
        <v>2</v>
      </c>
      <c r="X598" t="s">
        <v>39</v>
      </c>
      <c r="Y598">
        <v>1</v>
      </c>
      <c r="Z598" t="s">
        <v>51</v>
      </c>
      <c r="AA598" t="s">
        <v>40</v>
      </c>
      <c r="AB598">
        <v>2</v>
      </c>
    </row>
    <row r="599" spans="1:28" x14ac:dyDescent="0.3">
      <c r="A599">
        <v>598</v>
      </c>
      <c r="B599" t="s">
        <v>41</v>
      </c>
      <c r="C599" t="s">
        <v>42</v>
      </c>
      <c r="D599" t="s">
        <v>43</v>
      </c>
      <c r="E599">
        <v>24</v>
      </c>
      <c r="F599" t="s">
        <v>81</v>
      </c>
      <c r="G599" t="s">
        <v>78</v>
      </c>
      <c r="H599">
        <v>4241</v>
      </c>
      <c r="I599" t="s">
        <v>45</v>
      </c>
      <c r="J599" t="s">
        <v>46</v>
      </c>
      <c r="K599" t="s">
        <v>47</v>
      </c>
      <c r="L599" t="s">
        <v>48</v>
      </c>
      <c r="M599">
        <v>1</v>
      </c>
      <c r="N599" t="s">
        <v>34</v>
      </c>
      <c r="O599" t="s">
        <v>35</v>
      </c>
      <c r="P599" t="s">
        <v>36</v>
      </c>
      <c r="Q599">
        <v>4</v>
      </c>
      <c r="R599" t="s">
        <v>37</v>
      </c>
      <c r="S599">
        <v>36</v>
      </c>
      <c r="T599" t="s">
        <v>98</v>
      </c>
      <c r="U599" t="s">
        <v>36</v>
      </c>
      <c r="V599" t="s">
        <v>38</v>
      </c>
      <c r="W599">
        <v>3</v>
      </c>
      <c r="X599" t="s">
        <v>57</v>
      </c>
      <c r="Y599">
        <v>1</v>
      </c>
      <c r="Z599" t="s">
        <v>40</v>
      </c>
      <c r="AA599" t="s">
        <v>40</v>
      </c>
      <c r="AB599">
        <v>2</v>
      </c>
    </row>
    <row r="600" spans="1:28" x14ac:dyDescent="0.3">
      <c r="A600">
        <v>599</v>
      </c>
      <c r="B600" t="s">
        <v>41</v>
      </c>
      <c r="C600" t="s">
        <v>52</v>
      </c>
      <c r="D600" t="s">
        <v>53</v>
      </c>
      <c r="E600">
        <v>18</v>
      </c>
      <c r="F600" t="s">
        <v>29</v>
      </c>
      <c r="G600" t="s">
        <v>63</v>
      </c>
      <c r="H600">
        <v>2775</v>
      </c>
      <c r="I600" t="s">
        <v>45</v>
      </c>
      <c r="J600" t="s">
        <v>46</v>
      </c>
      <c r="K600" t="s">
        <v>55</v>
      </c>
      <c r="L600" t="s">
        <v>56</v>
      </c>
      <c r="M600">
        <v>2</v>
      </c>
      <c r="N600" t="s">
        <v>34</v>
      </c>
      <c r="O600" t="s">
        <v>35</v>
      </c>
      <c r="P600" t="s">
        <v>36</v>
      </c>
      <c r="Q600">
        <v>2</v>
      </c>
      <c r="R600" t="s">
        <v>60</v>
      </c>
      <c r="S600">
        <v>31</v>
      </c>
      <c r="T600" t="s">
        <v>98</v>
      </c>
      <c r="U600" t="s">
        <v>82</v>
      </c>
      <c r="V600" t="s">
        <v>38</v>
      </c>
      <c r="W600">
        <v>2</v>
      </c>
      <c r="X600" t="s">
        <v>39</v>
      </c>
      <c r="Y600">
        <v>1</v>
      </c>
      <c r="Z600" t="s">
        <v>51</v>
      </c>
      <c r="AA600" t="s">
        <v>40</v>
      </c>
      <c r="AB600">
        <v>2</v>
      </c>
    </row>
    <row r="601" spans="1:28" x14ac:dyDescent="0.3">
      <c r="A601">
        <v>600</v>
      </c>
      <c r="B601" t="s">
        <v>26</v>
      </c>
      <c r="C601" t="s">
        <v>52</v>
      </c>
      <c r="D601" t="s">
        <v>53</v>
      </c>
      <c r="E601">
        <v>24</v>
      </c>
      <c r="F601" t="s">
        <v>62</v>
      </c>
      <c r="G601" t="s">
        <v>78</v>
      </c>
      <c r="H601">
        <v>3863</v>
      </c>
      <c r="I601" t="s">
        <v>45</v>
      </c>
      <c r="J601" t="s">
        <v>46</v>
      </c>
      <c r="K601" t="s">
        <v>47</v>
      </c>
      <c r="L601" t="s">
        <v>48</v>
      </c>
      <c r="M601">
        <v>1</v>
      </c>
      <c r="N601" t="s">
        <v>34</v>
      </c>
      <c r="O601" t="s">
        <v>35</v>
      </c>
      <c r="P601" t="s">
        <v>36</v>
      </c>
      <c r="Q601">
        <v>2</v>
      </c>
      <c r="R601" t="s">
        <v>64</v>
      </c>
      <c r="S601">
        <v>32</v>
      </c>
      <c r="T601" t="s">
        <v>98</v>
      </c>
      <c r="U601" t="s">
        <v>36</v>
      </c>
      <c r="V601" t="s">
        <v>61</v>
      </c>
      <c r="W601">
        <v>1</v>
      </c>
      <c r="X601" t="s">
        <v>39</v>
      </c>
      <c r="Y601">
        <v>1</v>
      </c>
      <c r="Z601" t="s">
        <v>51</v>
      </c>
      <c r="AA601" t="s">
        <v>40</v>
      </c>
      <c r="AB601">
        <v>1</v>
      </c>
    </row>
    <row r="602" spans="1:28" x14ac:dyDescent="0.3">
      <c r="A602">
        <v>601</v>
      </c>
      <c r="B602" t="s">
        <v>26</v>
      </c>
      <c r="C602" t="s">
        <v>42</v>
      </c>
      <c r="D602" t="s">
        <v>43</v>
      </c>
      <c r="E602">
        <v>7</v>
      </c>
      <c r="F602" t="s">
        <v>44</v>
      </c>
      <c r="G602" t="s">
        <v>30</v>
      </c>
      <c r="H602">
        <v>2329</v>
      </c>
      <c r="I602" t="s">
        <v>45</v>
      </c>
      <c r="J602" t="s">
        <v>46</v>
      </c>
      <c r="K602" t="s">
        <v>76</v>
      </c>
      <c r="L602" t="s">
        <v>77</v>
      </c>
      <c r="M602">
        <v>1</v>
      </c>
      <c r="N602" t="s">
        <v>49</v>
      </c>
      <c r="O602" t="s">
        <v>50</v>
      </c>
      <c r="P602" t="s">
        <v>59</v>
      </c>
      <c r="Q602">
        <v>1</v>
      </c>
      <c r="R602" t="s">
        <v>37</v>
      </c>
      <c r="S602">
        <v>45</v>
      </c>
      <c r="T602" t="s">
        <v>97</v>
      </c>
      <c r="U602" t="s">
        <v>36</v>
      </c>
      <c r="V602" t="s">
        <v>38</v>
      </c>
      <c r="W602">
        <v>1</v>
      </c>
      <c r="X602" t="s">
        <v>39</v>
      </c>
      <c r="Y602">
        <v>1</v>
      </c>
      <c r="Z602" t="s">
        <v>51</v>
      </c>
      <c r="AA602" t="s">
        <v>40</v>
      </c>
      <c r="AB602">
        <v>1</v>
      </c>
    </row>
    <row r="603" spans="1:28" x14ac:dyDescent="0.3">
      <c r="A603">
        <v>602</v>
      </c>
      <c r="B603" t="s">
        <v>41</v>
      </c>
      <c r="C603" t="s">
        <v>42</v>
      </c>
      <c r="D603" t="s">
        <v>43</v>
      </c>
      <c r="E603">
        <v>9</v>
      </c>
      <c r="F603" t="s">
        <v>44</v>
      </c>
      <c r="G603" t="s">
        <v>58</v>
      </c>
      <c r="H603">
        <v>918</v>
      </c>
      <c r="I603" t="s">
        <v>45</v>
      </c>
      <c r="J603" t="s">
        <v>46</v>
      </c>
      <c r="K603" t="s">
        <v>47</v>
      </c>
      <c r="L603" t="s">
        <v>48</v>
      </c>
      <c r="M603">
        <v>4</v>
      </c>
      <c r="N603" t="s">
        <v>49</v>
      </c>
      <c r="O603" t="s">
        <v>50</v>
      </c>
      <c r="P603" t="s">
        <v>36</v>
      </c>
      <c r="Q603">
        <v>1</v>
      </c>
      <c r="R603" t="s">
        <v>60</v>
      </c>
      <c r="S603">
        <v>30</v>
      </c>
      <c r="T603" t="s">
        <v>98</v>
      </c>
      <c r="U603" t="s">
        <v>36</v>
      </c>
      <c r="V603" t="s">
        <v>38</v>
      </c>
      <c r="W603">
        <v>1</v>
      </c>
      <c r="X603" t="s">
        <v>39</v>
      </c>
      <c r="Y603">
        <v>1</v>
      </c>
      <c r="Z603" t="s">
        <v>51</v>
      </c>
      <c r="AA603" t="s">
        <v>40</v>
      </c>
      <c r="AB603">
        <v>2</v>
      </c>
    </row>
    <row r="604" spans="1:28" x14ac:dyDescent="0.3">
      <c r="A604">
        <v>603</v>
      </c>
      <c r="B604" t="s">
        <v>41</v>
      </c>
      <c r="C604" t="s">
        <v>42</v>
      </c>
      <c r="D604" t="s">
        <v>43</v>
      </c>
      <c r="E604">
        <v>24</v>
      </c>
      <c r="F604" t="s">
        <v>85</v>
      </c>
      <c r="G604" t="s">
        <v>54</v>
      </c>
      <c r="H604">
        <v>1837</v>
      </c>
      <c r="I604" t="s">
        <v>45</v>
      </c>
      <c r="J604" t="s">
        <v>46</v>
      </c>
      <c r="K604" t="s">
        <v>55</v>
      </c>
      <c r="L604" t="s">
        <v>56</v>
      </c>
      <c r="M604">
        <v>4</v>
      </c>
      <c r="N604" t="s">
        <v>49</v>
      </c>
      <c r="O604" t="s">
        <v>50</v>
      </c>
      <c r="P604" t="s">
        <v>36</v>
      </c>
      <c r="Q604">
        <v>4</v>
      </c>
      <c r="R604" t="s">
        <v>64</v>
      </c>
      <c r="S604">
        <v>34</v>
      </c>
      <c r="T604" t="s">
        <v>98</v>
      </c>
      <c r="U604" t="s">
        <v>82</v>
      </c>
      <c r="V604" t="s">
        <v>61</v>
      </c>
      <c r="W604">
        <v>1</v>
      </c>
      <c r="X604" t="s">
        <v>57</v>
      </c>
      <c r="Y604">
        <v>1</v>
      </c>
      <c r="Z604" t="s">
        <v>51</v>
      </c>
      <c r="AA604" t="s">
        <v>40</v>
      </c>
      <c r="AB604">
        <v>2</v>
      </c>
    </row>
    <row r="605" spans="1:28" x14ac:dyDescent="0.3">
      <c r="A605">
        <v>604</v>
      </c>
      <c r="B605" t="s">
        <v>41</v>
      </c>
      <c r="C605" t="s">
        <v>52</v>
      </c>
      <c r="D605" t="s">
        <v>53</v>
      </c>
      <c r="E605">
        <v>36</v>
      </c>
      <c r="F605" t="s">
        <v>44</v>
      </c>
      <c r="G605" t="s">
        <v>58</v>
      </c>
      <c r="H605">
        <v>3349</v>
      </c>
      <c r="I605" t="s">
        <v>45</v>
      </c>
      <c r="J605" t="s">
        <v>46</v>
      </c>
      <c r="K605" t="s">
        <v>47</v>
      </c>
      <c r="L605" t="s">
        <v>48</v>
      </c>
      <c r="M605">
        <v>4</v>
      </c>
      <c r="N605" t="s">
        <v>49</v>
      </c>
      <c r="O605" t="s">
        <v>50</v>
      </c>
      <c r="P605" t="s">
        <v>36</v>
      </c>
      <c r="Q605">
        <v>2</v>
      </c>
      <c r="R605" t="s">
        <v>68</v>
      </c>
      <c r="S605">
        <v>28</v>
      </c>
      <c r="T605" t="s">
        <v>98</v>
      </c>
      <c r="U605" t="s">
        <v>36</v>
      </c>
      <c r="V605" t="s">
        <v>38</v>
      </c>
      <c r="W605">
        <v>1</v>
      </c>
      <c r="X605" t="s">
        <v>70</v>
      </c>
      <c r="Y605">
        <v>1</v>
      </c>
      <c r="Z605" t="s">
        <v>40</v>
      </c>
      <c r="AA605" t="s">
        <v>40</v>
      </c>
      <c r="AB605">
        <v>2</v>
      </c>
    </row>
    <row r="606" spans="1:28" x14ac:dyDescent="0.3">
      <c r="A606">
        <v>605</v>
      </c>
      <c r="B606" t="s">
        <v>26</v>
      </c>
      <c r="C606" t="s">
        <v>83</v>
      </c>
      <c r="D606" t="s">
        <v>84</v>
      </c>
      <c r="E606">
        <v>10</v>
      </c>
      <c r="F606" t="s">
        <v>44</v>
      </c>
      <c r="G606" t="s">
        <v>58</v>
      </c>
      <c r="H606">
        <v>1275</v>
      </c>
      <c r="I606" t="s">
        <v>45</v>
      </c>
      <c r="J606" t="s">
        <v>46</v>
      </c>
      <c r="K606" t="s">
        <v>76</v>
      </c>
      <c r="L606" t="s">
        <v>77</v>
      </c>
      <c r="M606">
        <v>4</v>
      </c>
      <c r="N606" t="s">
        <v>49</v>
      </c>
      <c r="O606" t="s">
        <v>50</v>
      </c>
      <c r="P606" t="s">
        <v>36</v>
      </c>
      <c r="Q606">
        <v>2</v>
      </c>
      <c r="R606" t="s">
        <v>60</v>
      </c>
      <c r="S606">
        <v>23</v>
      </c>
      <c r="T606" t="s">
        <v>96</v>
      </c>
      <c r="U606" t="s">
        <v>36</v>
      </c>
      <c r="V606" t="s">
        <v>38</v>
      </c>
      <c r="W606">
        <v>1</v>
      </c>
      <c r="X606" t="s">
        <v>39</v>
      </c>
      <c r="Y606">
        <v>1</v>
      </c>
      <c r="Z606" t="s">
        <v>51</v>
      </c>
      <c r="AA606" t="s">
        <v>40</v>
      </c>
      <c r="AB606">
        <v>1</v>
      </c>
    </row>
    <row r="607" spans="1:28" x14ac:dyDescent="0.3">
      <c r="A607">
        <v>606</v>
      </c>
      <c r="B607" t="s">
        <v>26</v>
      </c>
      <c r="C607" t="s">
        <v>27</v>
      </c>
      <c r="D607" t="s">
        <v>28</v>
      </c>
      <c r="E607">
        <v>24</v>
      </c>
      <c r="F607" t="s">
        <v>85</v>
      </c>
      <c r="G607" t="s">
        <v>58</v>
      </c>
      <c r="H607">
        <v>2828</v>
      </c>
      <c r="I607" t="s">
        <v>65</v>
      </c>
      <c r="J607" t="s">
        <v>66</v>
      </c>
      <c r="K607" t="s">
        <v>47</v>
      </c>
      <c r="L607" t="s">
        <v>48</v>
      </c>
      <c r="M607">
        <v>4</v>
      </c>
      <c r="N607" t="s">
        <v>34</v>
      </c>
      <c r="O607" t="s">
        <v>35</v>
      </c>
      <c r="P607" t="s">
        <v>36</v>
      </c>
      <c r="Q607">
        <v>4</v>
      </c>
      <c r="R607" t="s">
        <v>37</v>
      </c>
      <c r="S607">
        <v>22</v>
      </c>
      <c r="T607" t="s">
        <v>96</v>
      </c>
      <c r="U607" t="s">
        <v>86</v>
      </c>
      <c r="V607" t="s">
        <v>38</v>
      </c>
      <c r="W607">
        <v>1</v>
      </c>
      <c r="X607" t="s">
        <v>39</v>
      </c>
      <c r="Y607">
        <v>1</v>
      </c>
      <c r="Z607" t="s">
        <v>40</v>
      </c>
      <c r="AA607" t="s">
        <v>40</v>
      </c>
      <c r="AB607">
        <v>1</v>
      </c>
    </row>
    <row r="608" spans="1:28" x14ac:dyDescent="0.3">
      <c r="A608">
        <v>607</v>
      </c>
      <c r="B608" t="s">
        <v>26</v>
      </c>
      <c r="C608" t="s">
        <v>52</v>
      </c>
      <c r="D608" t="s">
        <v>53</v>
      </c>
      <c r="E608">
        <v>24</v>
      </c>
      <c r="F608" t="s">
        <v>29</v>
      </c>
      <c r="G608" t="s">
        <v>78</v>
      </c>
      <c r="H608">
        <v>4526</v>
      </c>
      <c r="I608" t="s">
        <v>45</v>
      </c>
      <c r="J608" t="s">
        <v>46</v>
      </c>
      <c r="K608" t="s">
        <v>47</v>
      </c>
      <c r="L608" t="s">
        <v>48</v>
      </c>
      <c r="M608">
        <v>3</v>
      </c>
      <c r="N608" t="s">
        <v>34</v>
      </c>
      <c r="O608" t="s">
        <v>35</v>
      </c>
      <c r="P608" t="s">
        <v>36</v>
      </c>
      <c r="Q608">
        <v>2</v>
      </c>
      <c r="R608" t="s">
        <v>37</v>
      </c>
      <c r="S608">
        <v>74</v>
      </c>
      <c r="T608" t="s">
        <v>95</v>
      </c>
      <c r="U608" t="s">
        <v>36</v>
      </c>
      <c r="V608" t="s">
        <v>38</v>
      </c>
      <c r="W608">
        <v>1</v>
      </c>
      <c r="X608" t="s">
        <v>70</v>
      </c>
      <c r="Y608">
        <v>1</v>
      </c>
      <c r="Z608" t="s">
        <v>40</v>
      </c>
      <c r="AA608" t="s">
        <v>40</v>
      </c>
      <c r="AB608">
        <v>1</v>
      </c>
    </row>
    <row r="609" spans="1:28" x14ac:dyDescent="0.3">
      <c r="A609">
        <v>608</v>
      </c>
      <c r="B609" t="s">
        <v>41</v>
      </c>
      <c r="C609" t="s">
        <v>42</v>
      </c>
      <c r="D609" t="s">
        <v>43</v>
      </c>
      <c r="E609">
        <v>36</v>
      </c>
      <c r="F609" t="s">
        <v>44</v>
      </c>
      <c r="G609" t="s">
        <v>30</v>
      </c>
      <c r="H609">
        <v>2671</v>
      </c>
      <c r="I609" t="s">
        <v>79</v>
      </c>
      <c r="J609" t="s">
        <v>80</v>
      </c>
      <c r="K609" t="s">
        <v>47</v>
      </c>
      <c r="L609" t="s">
        <v>48</v>
      </c>
      <c r="M609">
        <v>4</v>
      </c>
      <c r="N609" t="s">
        <v>49</v>
      </c>
      <c r="O609" t="s">
        <v>50</v>
      </c>
      <c r="P609" t="s">
        <v>87</v>
      </c>
      <c r="Q609">
        <v>4</v>
      </c>
      <c r="R609" t="s">
        <v>64</v>
      </c>
      <c r="S609">
        <v>50</v>
      </c>
      <c r="T609" t="s">
        <v>97</v>
      </c>
      <c r="U609" t="s">
        <v>36</v>
      </c>
      <c r="V609" t="s">
        <v>61</v>
      </c>
      <c r="W609">
        <v>1</v>
      </c>
      <c r="X609" t="s">
        <v>39</v>
      </c>
      <c r="Y609">
        <v>1</v>
      </c>
      <c r="Z609" t="s">
        <v>51</v>
      </c>
      <c r="AA609" t="s">
        <v>40</v>
      </c>
      <c r="AB609">
        <v>2</v>
      </c>
    </row>
    <row r="610" spans="1:28" x14ac:dyDescent="0.3">
      <c r="A610">
        <v>609</v>
      </c>
      <c r="B610" t="s">
        <v>26</v>
      </c>
      <c r="C610" t="s">
        <v>52</v>
      </c>
      <c r="D610" t="s">
        <v>53</v>
      </c>
      <c r="E610">
        <v>18</v>
      </c>
      <c r="F610" t="s">
        <v>44</v>
      </c>
      <c r="G610" t="s">
        <v>30</v>
      </c>
      <c r="H610">
        <v>2051</v>
      </c>
      <c r="I610" t="s">
        <v>45</v>
      </c>
      <c r="J610" t="s">
        <v>46</v>
      </c>
      <c r="K610" t="s">
        <v>76</v>
      </c>
      <c r="L610" t="s">
        <v>77</v>
      </c>
      <c r="M610">
        <v>4</v>
      </c>
      <c r="N610" t="s">
        <v>34</v>
      </c>
      <c r="O610" t="s">
        <v>35</v>
      </c>
      <c r="P610" t="s">
        <v>36</v>
      </c>
      <c r="Q610">
        <v>1</v>
      </c>
      <c r="R610" t="s">
        <v>37</v>
      </c>
      <c r="S610">
        <v>33</v>
      </c>
      <c r="T610" t="s">
        <v>98</v>
      </c>
      <c r="U610" t="s">
        <v>36</v>
      </c>
      <c r="V610" t="s">
        <v>38</v>
      </c>
      <c r="W610">
        <v>1</v>
      </c>
      <c r="X610" t="s">
        <v>39</v>
      </c>
      <c r="Y610">
        <v>1</v>
      </c>
      <c r="Z610" t="s">
        <v>51</v>
      </c>
      <c r="AA610" t="s">
        <v>40</v>
      </c>
      <c r="AB610">
        <v>1</v>
      </c>
    </row>
    <row r="611" spans="1:28" x14ac:dyDescent="0.3">
      <c r="A611">
        <v>610</v>
      </c>
      <c r="B611" t="s">
        <v>26</v>
      </c>
      <c r="C611" t="s">
        <v>52</v>
      </c>
      <c r="D611" t="s">
        <v>53</v>
      </c>
      <c r="E611">
        <v>15</v>
      </c>
      <c r="F611" t="s">
        <v>44</v>
      </c>
      <c r="G611" t="s">
        <v>67</v>
      </c>
      <c r="H611">
        <v>1300</v>
      </c>
      <c r="I611" t="s">
        <v>31</v>
      </c>
      <c r="J611" t="s">
        <v>31</v>
      </c>
      <c r="K611" t="s">
        <v>32</v>
      </c>
      <c r="L611" t="s">
        <v>33</v>
      </c>
      <c r="M611">
        <v>4</v>
      </c>
      <c r="N611" t="s">
        <v>34</v>
      </c>
      <c r="O611" t="s">
        <v>35</v>
      </c>
      <c r="P611" t="s">
        <v>36</v>
      </c>
      <c r="Q611">
        <v>4</v>
      </c>
      <c r="R611" t="s">
        <v>64</v>
      </c>
      <c r="S611">
        <v>45</v>
      </c>
      <c r="T611" t="s">
        <v>97</v>
      </c>
      <c r="U611" t="s">
        <v>82</v>
      </c>
      <c r="V611" t="s">
        <v>61</v>
      </c>
      <c r="W611">
        <v>1</v>
      </c>
      <c r="X611" t="s">
        <v>39</v>
      </c>
      <c r="Y611">
        <v>2</v>
      </c>
      <c r="Z611" t="s">
        <v>51</v>
      </c>
      <c r="AA611" t="s">
        <v>40</v>
      </c>
      <c r="AB611">
        <v>1</v>
      </c>
    </row>
    <row r="612" spans="1:28" x14ac:dyDescent="0.3">
      <c r="A612">
        <v>611</v>
      </c>
      <c r="B612" t="s">
        <v>41</v>
      </c>
      <c r="C612" t="s">
        <v>27</v>
      </c>
      <c r="D612" t="s">
        <v>28</v>
      </c>
      <c r="E612">
        <v>12</v>
      </c>
      <c r="F612" t="s">
        <v>44</v>
      </c>
      <c r="G612" t="s">
        <v>88</v>
      </c>
      <c r="H612">
        <v>741</v>
      </c>
      <c r="I612" t="s">
        <v>79</v>
      </c>
      <c r="J612" t="s">
        <v>80</v>
      </c>
      <c r="K612" t="s">
        <v>74</v>
      </c>
      <c r="L612" t="s">
        <v>74</v>
      </c>
      <c r="M612">
        <v>4</v>
      </c>
      <c r="N612" t="s">
        <v>49</v>
      </c>
      <c r="O612" t="s">
        <v>50</v>
      </c>
      <c r="P612" t="s">
        <v>36</v>
      </c>
      <c r="Q612">
        <v>3</v>
      </c>
      <c r="R612" t="s">
        <v>60</v>
      </c>
      <c r="S612">
        <v>22</v>
      </c>
      <c r="T612" t="s">
        <v>96</v>
      </c>
      <c r="U612" t="s">
        <v>36</v>
      </c>
      <c r="V612" t="s">
        <v>38</v>
      </c>
      <c r="W612">
        <v>1</v>
      </c>
      <c r="X612" t="s">
        <v>39</v>
      </c>
      <c r="Y612">
        <v>1</v>
      </c>
      <c r="Z612" t="s">
        <v>51</v>
      </c>
      <c r="AA612" t="s">
        <v>40</v>
      </c>
      <c r="AB612">
        <v>2</v>
      </c>
    </row>
    <row r="613" spans="1:28" x14ac:dyDescent="0.3">
      <c r="A613">
        <v>612</v>
      </c>
      <c r="B613" t="s">
        <v>41</v>
      </c>
      <c r="C613" t="s">
        <v>83</v>
      </c>
      <c r="D613" t="s">
        <v>84</v>
      </c>
      <c r="E613">
        <v>10</v>
      </c>
      <c r="F613" t="s">
        <v>44</v>
      </c>
      <c r="G613" t="s">
        <v>63</v>
      </c>
      <c r="H613">
        <v>1240</v>
      </c>
      <c r="I613" t="s">
        <v>79</v>
      </c>
      <c r="J613" t="s">
        <v>80</v>
      </c>
      <c r="K613" t="s">
        <v>32</v>
      </c>
      <c r="L613" t="s">
        <v>33</v>
      </c>
      <c r="M613">
        <v>1</v>
      </c>
      <c r="N613" t="s">
        <v>49</v>
      </c>
      <c r="O613" t="s">
        <v>50</v>
      </c>
      <c r="P613" t="s">
        <v>36</v>
      </c>
      <c r="Q613">
        <v>4</v>
      </c>
      <c r="R613" t="s">
        <v>64</v>
      </c>
      <c r="S613">
        <v>48</v>
      </c>
      <c r="T613" t="s">
        <v>97</v>
      </c>
      <c r="U613" t="s">
        <v>36</v>
      </c>
      <c r="V613" t="s">
        <v>61</v>
      </c>
      <c r="W613">
        <v>1</v>
      </c>
      <c r="X613" t="s">
        <v>57</v>
      </c>
      <c r="Y613">
        <v>2</v>
      </c>
      <c r="Z613" t="s">
        <v>51</v>
      </c>
      <c r="AA613" t="s">
        <v>40</v>
      </c>
      <c r="AB613">
        <v>2</v>
      </c>
    </row>
    <row r="614" spans="1:28" x14ac:dyDescent="0.3">
      <c r="A614">
        <v>613</v>
      </c>
      <c r="B614" t="s">
        <v>26</v>
      </c>
      <c r="C614" t="s">
        <v>27</v>
      </c>
      <c r="D614" t="s">
        <v>28</v>
      </c>
      <c r="E614">
        <v>21</v>
      </c>
      <c r="F614" t="s">
        <v>44</v>
      </c>
      <c r="G614" t="s">
        <v>30</v>
      </c>
      <c r="H614">
        <v>3357</v>
      </c>
      <c r="I614" t="s">
        <v>71</v>
      </c>
      <c r="J614" t="s">
        <v>72</v>
      </c>
      <c r="K614" t="s">
        <v>76</v>
      </c>
      <c r="L614" t="s">
        <v>77</v>
      </c>
      <c r="M614">
        <v>4</v>
      </c>
      <c r="N614" t="s">
        <v>49</v>
      </c>
      <c r="O614" t="s">
        <v>50</v>
      </c>
      <c r="P614" t="s">
        <v>36</v>
      </c>
      <c r="Q614">
        <v>2</v>
      </c>
      <c r="R614" t="s">
        <v>68</v>
      </c>
      <c r="S614">
        <v>29</v>
      </c>
      <c r="T614" t="s">
        <v>98</v>
      </c>
      <c r="U614" t="s">
        <v>82</v>
      </c>
      <c r="V614" t="s">
        <v>38</v>
      </c>
      <c r="W614">
        <v>1</v>
      </c>
      <c r="X614" t="s">
        <v>39</v>
      </c>
      <c r="Y614">
        <v>1</v>
      </c>
      <c r="Z614" t="s">
        <v>51</v>
      </c>
      <c r="AA614" t="s">
        <v>40</v>
      </c>
      <c r="AB614">
        <v>1</v>
      </c>
    </row>
    <row r="615" spans="1:28" x14ac:dyDescent="0.3">
      <c r="A615">
        <v>614</v>
      </c>
      <c r="B615" t="s">
        <v>26</v>
      </c>
      <c r="C615" t="s">
        <v>27</v>
      </c>
      <c r="D615" t="s">
        <v>28</v>
      </c>
      <c r="E615">
        <v>24</v>
      </c>
      <c r="F615" t="s">
        <v>85</v>
      </c>
      <c r="G615" t="s">
        <v>67</v>
      </c>
      <c r="H615">
        <v>3632</v>
      </c>
      <c r="I615" t="s">
        <v>45</v>
      </c>
      <c r="J615" t="s">
        <v>46</v>
      </c>
      <c r="K615" t="s">
        <v>47</v>
      </c>
      <c r="L615" t="s">
        <v>48</v>
      </c>
      <c r="M615">
        <v>1</v>
      </c>
      <c r="N615" t="s">
        <v>49</v>
      </c>
      <c r="O615" t="s">
        <v>50</v>
      </c>
      <c r="P615" t="s">
        <v>59</v>
      </c>
      <c r="Q615">
        <v>4</v>
      </c>
      <c r="R615" t="s">
        <v>68</v>
      </c>
      <c r="S615">
        <v>22</v>
      </c>
      <c r="T615" t="s">
        <v>96</v>
      </c>
      <c r="U615" t="s">
        <v>82</v>
      </c>
      <c r="V615" t="s">
        <v>69</v>
      </c>
      <c r="W615">
        <v>1</v>
      </c>
      <c r="X615" t="s">
        <v>39</v>
      </c>
      <c r="Y615">
        <v>1</v>
      </c>
      <c r="Z615" t="s">
        <v>51</v>
      </c>
      <c r="AA615" t="s">
        <v>51</v>
      </c>
      <c r="AB615">
        <v>1</v>
      </c>
    </row>
    <row r="616" spans="1:28" x14ac:dyDescent="0.3">
      <c r="A616">
        <v>615</v>
      </c>
      <c r="B616" t="s">
        <v>41</v>
      </c>
      <c r="C616" t="s">
        <v>52</v>
      </c>
      <c r="D616" t="s">
        <v>53</v>
      </c>
      <c r="E616">
        <v>18</v>
      </c>
      <c r="F616" t="s">
        <v>62</v>
      </c>
      <c r="G616" t="s">
        <v>58</v>
      </c>
      <c r="H616">
        <v>1808</v>
      </c>
      <c r="I616" t="s">
        <v>45</v>
      </c>
      <c r="J616" t="s">
        <v>46</v>
      </c>
      <c r="K616" t="s">
        <v>55</v>
      </c>
      <c r="L616" t="s">
        <v>56</v>
      </c>
      <c r="M616">
        <v>4</v>
      </c>
      <c r="N616" t="s">
        <v>49</v>
      </c>
      <c r="O616" t="s">
        <v>50</v>
      </c>
      <c r="P616" t="s">
        <v>36</v>
      </c>
      <c r="Q616">
        <v>1</v>
      </c>
      <c r="R616" t="s">
        <v>37</v>
      </c>
      <c r="S616">
        <v>22</v>
      </c>
      <c r="T616" t="s">
        <v>96</v>
      </c>
      <c r="U616" t="s">
        <v>36</v>
      </c>
      <c r="V616" t="s">
        <v>38</v>
      </c>
      <c r="W616">
        <v>1</v>
      </c>
      <c r="X616" t="s">
        <v>39</v>
      </c>
      <c r="Y616">
        <v>1</v>
      </c>
      <c r="Z616" t="s">
        <v>51</v>
      </c>
      <c r="AA616" t="s">
        <v>40</v>
      </c>
      <c r="AB616">
        <v>2</v>
      </c>
    </row>
    <row r="617" spans="1:28" x14ac:dyDescent="0.3">
      <c r="A617">
        <v>616</v>
      </c>
      <c r="B617" t="s">
        <v>26</v>
      </c>
      <c r="C617" t="s">
        <v>42</v>
      </c>
      <c r="D617" t="s">
        <v>43</v>
      </c>
      <c r="E617">
        <v>48</v>
      </c>
      <c r="F617" t="s">
        <v>81</v>
      </c>
      <c r="G617" t="s">
        <v>78</v>
      </c>
      <c r="H617">
        <v>12204</v>
      </c>
      <c r="I617" t="s">
        <v>31</v>
      </c>
      <c r="J617" t="s">
        <v>31</v>
      </c>
      <c r="K617" t="s">
        <v>47</v>
      </c>
      <c r="L617" t="s">
        <v>48</v>
      </c>
      <c r="M617">
        <v>2</v>
      </c>
      <c r="N617" t="s">
        <v>34</v>
      </c>
      <c r="O617" t="s">
        <v>35</v>
      </c>
      <c r="P617" t="s">
        <v>36</v>
      </c>
      <c r="Q617">
        <v>2</v>
      </c>
      <c r="R617" t="s">
        <v>68</v>
      </c>
      <c r="S617">
        <v>48</v>
      </c>
      <c r="T617" t="s">
        <v>97</v>
      </c>
      <c r="U617" t="s">
        <v>82</v>
      </c>
      <c r="V617" t="s">
        <v>38</v>
      </c>
      <c r="W617">
        <v>1</v>
      </c>
      <c r="X617" t="s">
        <v>70</v>
      </c>
      <c r="Y617">
        <v>1</v>
      </c>
      <c r="Z617" t="s">
        <v>40</v>
      </c>
      <c r="AA617" t="s">
        <v>40</v>
      </c>
      <c r="AB617">
        <v>1</v>
      </c>
    </row>
    <row r="618" spans="1:28" x14ac:dyDescent="0.3">
      <c r="A618">
        <v>617</v>
      </c>
      <c r="B618" t="s">
        <v>26</v>
      </c>
      <c r="C618" t="s">
        <v>42</v>
      </c>
      <c r="D618" t="s">
        <v>43</v>
      </c>
      <c r="E618">
        <v>60</v>
      </c>
      <c r="F618" t="s">
        <v>62</v>
      </c>
      <c r="G618" t="s">
        <v>30</v>
      </c>
      <c r="H618">
        <v>9157</v>
      </c>
      <c r="I618" t="s">
        <v>31</v>
      </c>
      <c r="J618" t="s">
        <v>31</v>
      </c>
      <c r="K618" t="s">
        <v>47</v>
      </c>
      <c r="L618" t="s">
        <v>48</v>
      </c>
      <c r="M618">
        <v>2</v>
      </c>
      <c r="N618" t="s">
        <v>34</v>
      </c>
      <c r="O618" t="s">
        <v>35</v>
      </c>
      <c r="P618" t="s">
        <v>36</v>
      </c>
      <c r="Q618">
        <v>2</v>
      </c>
      <c r="R618" t="s">
        <v>64</v>
      </c>
      <c r="S618">
        <v>27</v>
      </c>
      <c r="T618" t="s">
        <v>98</v>
      </c>
      <c r="U618" t="s">
        <v>36</v>
      </c>
      <c r="V618" t="s">
        <v>61</v>
      </c>
      <c r="W618">
        <v>1</v>
      </c>
      <c r="X618" t="s">
        <v>70</v>
      </c>
      <c r="Y618">
        <v>1</v>
      </c>
      <c r="Z618" t="s">
        <v>51</v>
      </c>
      <c r="AA618" t="s">
        <v>40</v>
      </c>
      <c r="AB618">
        <v>1</v>
      </c>
    </row>
    <row r="619" spans="1:28" x14ac:dyDescent="0.3">
      <c r="A619">
        <v>618</v>
      </c>
      <c r="B619" t="s">
        <v>26</v>
      </c>
      <c r="C619" t="s">
        <v>27</v>
      </c>
      <c r="D619" t="s">
        <v>28</v>
      </c>
      <c r="E619">
        <v>6</v>
      </c>
      <c r="F619" t="s">
        <v>29</v>
      </c>
      <c r="G619" t="s">
        <v>63</v>
      </c>
      <c r="H619">
        <v>3676</v>
      </c>
      <c r="I619" t="s">
        <v>45</v>
      </c>
      <c r="J619" t="s">
        <v>46</v>
      </c>
      <c r="K619" t="s">
        <v>47</v>
      </c>
      <c r="L619" t="s">
        <v>48</v>
      </c>
      <c r="M619">
        <v>1</v>
      </c>
      <c r="N619" t="s">
        <v>34</v>
      </c>
      <c r="O619" t="s">
        <v>35</v>
      </c>
      <c r="P619" t="s">
        <v>36</v>
      </c>
      <c r="Q619">
        <v>3</v>
      </c>
      <c r="R619" t="s">
        <v>37</v>
      </c>
      <c r="S619">
        <v>37</v>
      </c>
      <c r="T619" t="s">
        <v>98</v>
      </c>
      <c r="U619" t="s">
        <v>36</v>
      </c>
      <c r="V619" t="s">
        <v>69</v>
      </c>
      <c r="W619">
        <v>3</v>
      </c>
      <c r="X619" t="s">
        <v>39</v>
      </c>
      <c r="Y619">
        <v>2</v>
      </c>
      <c r="Z619" t="s">
        <v>51</v>
      </c>
      <c r="AA619" t="s">
        <v>40</v>
      </c>
      <c r="AB619">
        <v>1</v>
      </c>
    </row>
    <row r="620" spans="1:28" x14ac:dyDescent="0.3">
      <c r="A620">
        <v>619</v>
      </c>
      <c r="B620" t="s">
        <v>41</v>
      </c>
      <c r="C620" t="s">
        <v>42</v>
      </c>
      <c r="D620" t="s">
        <v>43</v>
      </c>
      <c r="E620">
        <v>30</v>
      </c>
      <c r="F620" t="s">
        <v>44</v>
      </c>
      <c r="G620" t="s">
        <v>58</v>
      </c>
      <c r="H620">
        <v>3441</v>
      </c>
      <c r="I620" t="s">
        <v>79</v>
      </c>
      <c r="J620" t="s">
        <v>80</v>
      </c>
      <c r="K620" t="s">
        <v>47</v>
      </c>
      <c r="L620" t="s">
        <v>48</v>
      </c>
      <c r="M620">
        <v>2</v>
      </c>
      <c r="N620" t="s">
        <v>49</v>
      </c>
      <c r="O620" t="s">
        <v>50</v>
      </c>
      <c r="P620" t="s">
        <v>87</v>
      </c>
      <c r="Q620">
        <v>4</v>
      </c>
      <c r="R620" t="s">
        <v>68</v>
      </c>
      <c r="S620">
        <v>21</v>
      </c>
      <c r="T620" t="s">
        <v>96</v>
      </c>
      <c r="U620" t="s">
        <v>36</v>
      </c>
      <c r="V620" t="s">
        <v>69</v>
      </c>
      <c r="W620">
        <v>1</v>
      </c>
      <c r="X620" t="s">
        <v>39</v>
      </c>
      <c r="Y620">
        <v>1</v>
      </c>
      <c r="Z620" t="s">
        <v>51</v>
      </c>
      <c r="AA620" t="s">
        <v>40</v>
      </c>
      <c r="AB620">
        <v>2</v>
      </c>
    </row>
    <row r="621" spans="1:28" x14ac:dyDescent="0.3">
      <c r="A621">
        <v>620</v>
      </c>
      <c r="B621" t="s">
        <v>26</v>
      </c>
      <c r="C621" t="s">
        <v>52</v>
      </c>
      <c r="D621" t="s">
        <v>53</v>
      </c>
      <c r="E621">
        <v>12</v>
      </c>
      <c r="F621" t="s">
        <v>44</v>
      </c>
      <c r="G621" t="s">
        <v>63</v>
      </c>
      <c r="H621">
        <v>640</v>
      </c>
      <c r="I621" t="s">
        <v>45</v>
      </c>
      <c r="J621" t="s">
        <v>46</v>
      </c>
      <c r="K621" t="s">
        <v>47</v>
      </c>
      <c r="L621" t="s">
        <v>48</v>
      </c>
      <c r="M621">
        <v>4</v>
      </c>
      <c r="N621" t="s">
        <v>34</v>
      </c>
      <c r="O621" t="s">
        <v>73</v>
      </c>
      <c r="P621" t="s">
        <v>36</v>
      </c>
      <c r="Q621">
        <v>2</v>
      </c>
      <c r="R621" t="s">
        <v>37</v>
      </c>
      <c r="S621">
        <v>49</v>
      </c>
      <c r="T621" t="s">
        <v>97</v>
      </c>
      <c r="U621" t="s">
        <v>36</v>
      </c>
      <c r="V621" t="s">
        <v>38</v>
      </c>
      <c r="W621">
        <v>1</v>
      </c>
      <c r="X621" t="s">
        <v>57</v>
      </c>
      <c r="Y621">
        <v>1</v>
      </c>
      <c r="Z621" t="s">
        <v>51</v>
      </c>
      <c r="AA621" t="s">
        <v>40</v>
      </c>
      <c r="AB621">
        <v>1</v>
      </c>
    </row>
    <row r="622" spans="1:28" x14ac:dyDescent="0.3">
      <c r="A622">
        <v>621</v>
      </c>
      <c r="B622" t="s">
        <v>26</v>
      </c>
      <c r="C622" t="s">
        <v>42</v>
      </c>
      <c r="D622" t="s">
        <v>43</v>
      </c>
      <c r="E622">
        <v>21</v>
      </c>
      <c r="F622" t="s">
        <v>29</v>
      </c>
      <c r="G622" t="s">
        <v>78</v>
      </c>
      <c r="H622">
        <v>3652</v>
      </c>
      <c r="I622" t="s">
        <v>45</v>
      </c>
      <c r="J622" t="s">
        <v>46</v>
      </c>
      <c r="K622" t="s">
        <v>55</v>
      </c>
      <c r="L622" t="s">
        <v>56</v>
      </c>
      <c r="M622">
        <v>2</v>
      </c>
      <c r="N622" t="s">
        <v>34</v>
      </c>
      <c r="O622" t="s">
        <v>35</v>
      </c>
      <c r="P622" t="s">
        <v>36</v>
      </c>
      <c r="Q622">
        <v>3</v>
      </c>
      <c r="R622" t="s">
        <v>60</v>
      </c>
      <c r="S622">
        <v>27</v>
      </c>
      <c r="T622" t="s">
        <v>98</v>
      </c>
      <c r="U622" t="s">
        <v>36</v>
      </c>
      <c r="V622" t="s">
        <v>38</v>
      </c>
      <c r="W622">
        <v>2</v>
      </c>
      <c r="X622" t="s">
        <v>39</v>
      </c>
      <c r="Y622">
        <v>1</v>
      </c>
      <c r="Z622" t="s">
        <v>51</v>
      </c>
      <c r="AA622" t="s">
        <v>40</v>
      </c>
      <c r="AB622">
        <v>1</v>
      </c>
    </row>
    <row r="623" spans="1:28" x14ac:dyDescent="0.3">
      <c r="A623">
        <v>622</v>
      </c>
      <c r="B623" t="s">
        <v>41</v>
      </c>
      <c r="C623" t="s">
        <v>52</v>
      </c>
      <c r="D623" t="s">
        <v>53</v>
      </c>
      <c r="E623">
        <v>18</v>
      </c>
      <c r="F623" t="s">
        <v>29</v>
      </c>
      <c r="G623" t="s">
        <v>63</v>
      </c>
      <c r="H623">
        <v>1530</v>
      </c>
      <c r="I623" t="s">
        <v>45</v>
      </c>
      <c r="J623" t="s">
        <v>46</v>
      </c>
      <c r="K623" t="s">
        <v>47</v>
      </c>
      <c r="L623" t="s">
        <v>48</v>
      </c>
      <c r="M623">
        <v>3</v>
      </c>
      <c r="N623" t="s">
        <v>34</v>
      </c>
      <c r="O623" t="s">
        <v>35</v>
      </c>
      <c r="P623" t="s">
        <v>36</v>
      </c>
      <c r="Q623">
        <v>2</v>
      </c>
      <c r="R623" t="s">
        <v>60</v>
      </c>
      <c r="S623">
        <v>32</v>
      </c>
      <c r="T623" t="s">
        <v>98</v>
      </c>
      <c r="U623" t="s">
        <v>82</v>
      </c>
      <c r="V623" t="s">
        <v>38</v>
      </c>
      <c r="W623">
        <v>2</v>
      </c>
      <c r="X623" t="s">
        <v>39</v>
      </c>
      <c r="Y623">
        <v>1</v>
      </c>
      <c r="Z623" t="s">
        <v>51</v>
      </c>
      <c r="AA623" t="s">
        <v>40</v>
      </c>
      <c r="AB623">
        <v>2</v>
      </c>
    </row>
    <row r="624" spans="1:28" x14ac:dyDescent="0.3">
      <c r="A624">
        <v>623</v>
      </c>
      <c r="B624" t="s">
        <v>41</v>
      </c>
      <c r="C624" t="s">
        <v>52</v>
      </c>
      <c r="D624" t="s">
        <v>53</v>
      </c>
      <c r="E624">
        <v>48</v>
      </c>
      <c r="F624" t="s">
        <v>44</v>
      </c>
      <c r="G624" t="s">
        <v>78</v>
      </c>
      <c r="H624">
        <v>3914</v>
      </c>
      <c r="I624" t="s">
        <v>31</v>
      </c>
      <c r="J624" t="s">
        <v>31</v>
      </c>
      <c r="K624" t="s">
        <v>47</v>
      </c>
      <c r="L624" t="s">
        <v>48</v>
      </c>
      <c r="M624">
        <v>4</v>
      </c>
      <c r="N624" t="s">
        <v>34</v>
      </c>
      <c r="O624" t="s">
        <v>73</v>
      </c>
      <c r="P624" t="s">
        <v>36</v>
      </c>
      <c r="Q624">
        <v>2</v>
      </c>
      <c r="R624" t="s">
        <v>37</v>
      </c>
      <c r="S624">
        <v>38</v>
      </c>
      <c r="T624" t="s">
        <v>98</v>
      </c>
      <c r="U624" t="s">
        <v>82</v>
      </c>
      <c r="V624" t="s">
        <v>38</v>
      </c>
      <c r="W624">
        <v>1</v>
      </c>
      <c r="X624" t="s">
        <v>39</v>
      </c>
      <c r="Y624">
        <v>1</v>
      </c>
      <c r="Z624" t="s">
        <v>51</v>
      </c>
      <c r="AA624" t="s">
        <v>40</v>
      </c>
      <c r="AB624">
        <v>2</v>
      </c>
    </row>
    <row r="625" spans="1:28" x14ac:dyDescent="0.3">
      <c r="A625">
        <v>624</v>
      </c>
      <c r="B625" t="s">
        <v>26</v>
      </c>
      <c r="C625" t="s">
        <v>27</v>
      </c>
      <c r="D625" t="s">
        <v>28</v>
      </c>
      <c r="E625">
        <v>12</v>
      </c>
      <c r="F625" t="s">
        <v>44</v>
      </c>
      <c r="G625" t="s">
        <v>58</v>
      </c>
      <c r="H625">
        <v>1858</v>
      </c>
      <c r="I625" t="s">
        <v>45</v>
      </c>
      <c r="J625" t="s">
        <v>46</v>
      </c>
      <c r="K625" t="s">
        <v>76</v>
      </c>
      <c r="L625" t="s">
        <v>77</v>
      </c>
      <c r="M625">
        <v>4</v>
      </c>
      <c r="N625" t="s">
        <v>49</v>
      </c>
      <c r="O625" t="s">
        <v>50</v>
      </c>
      <c r="P625" t="s">
        <v>36</v>
      </c>
      <c r="Q625">
        <v>1</v>
      </c>
      <c r="R625" t="s">
        <v>68</v>
      </c>
      <c r="S625">
        <v>22</v>
      </c>
      <c r="T625" t="s">
        <v>96</v>
      </c>
      <c r="U625" t="s">
        <v>36</v>
      </c>
      <c r="V625" t="s">
        <v>69</v>
      </c>
      <c r="W625">
        <v>1</v>
      </c>
      <c r="X625" t="s">
        <v>39</v>
      </c>
      <c r="Y625">
        <v>1</v>
      </c>
      <c r="Z625" t="s">
        <v>51</v>
      </c>
      <c r="AA625" t="s">
        <v>40</v>
      </c>
      <c r="AB625">
        <v>1</v>
      </c>
    </row>
    <row r="626" spans="1:28" x14ac:dyDescent="0.3">
      <c r="A626">
        <v>625</v>
      </c>
      <c r="B626" t="s">
        <v>41</v>
      </c>
      <c r="C626" t="s">
        <v>27</v>
      </c>
      <c r="D626" t="s">
        <v>28</v>
      </c>
      <c r="E626">
        <v>18</v>
      </c>
      <c r="F626" t="s">
        <v>44</v>
      </c>
      <c r="G626" t="s">
        <v>30</v>
      </c>
      <c r="H626">
        <v>2600</v>
      </c>
      <c r="I626" t="s">
        <v>45</v>
      </c>
      <c r="J626" t="s">
        <v>46</v>
      </c>
      <c r="K626" t="s">
        <v>47</v>
      </c>
      <c r="L626" t="s">
        <v>48</v>
      </c>
      <c r="M626">
        <v>4</v>
      </c>
      <c r="N626" t="s">
        <v>34</v>
      </c>
      <c r="O626" t="s">
        <v>35</v>
      </c>
      <c r="P626" t="s">
        <v>36</v>
      </c>
      <c r="Q626">
        <v>4</v>
      </c>
      <c r="R626" t="s">
        <v>64</v>
      </c>
      <c r="S626">
        <v>65</v>
      </c>
      <c r="T626" t="s">
        <v>95</v>
      </c>
      <c r="U626" t="s">
        <v>36</v>
      </c>
      <c r="V626" t="s">
        <v>61</v>
      </c>
      <c r="W626">
        <v>2</v>
      </c>
      <c r="X626" t="s">
        <v>39</v>
      </c>
      <c r="Y626">
        <v>1</v>
      </c>
      <c r="Z626" t="s">
        <v>51</v>
      </c>
      <c r="AA626" t="s">
        <v>40</v>
      </c>
      <c r="AB626">
        <v>2</v>
      </c>
    </row>
    <row r="627" spans="1:28" x14ac:dyDescent="0.3">
      <c r="A627">
        <v>626</v>
      </c>
      <c r="B627" t="s">
        <v>26</v>
      </c>
      <c r="C627" t="s">
        <v>52</v>
      </c>
      <c r="D627" t="s">
        <v>53</v>
      </c>
      <c r="E627">
        <v>15</v>
      </c>
      <c r="F627" t="s">
        <v>44</v>
      </c>
      <c r="G627" t="s">
        <v>30</v>
      </c>
      <c r="H627">
        <v>1979</v>
      </c>
      <c r="I627" t="s">
        <v>31</v>
      </c>
      <c r="J627" t="s">
        <v>31</v>
      </c>
      <c r="K627" t="s">
        <v>32</v>
      </c>
      <c r="L627" t="s">
        <v>33</v>
      </c>
      <c r="M627">
        <v>4</v>
      </c>
      <c r="N627" t="s">
        <v>34</v>
      </c>
      <c r="O627" t="s">
        <v>35</v>
      </c>
      <c r="P627" t="s">
        <v>36</v>
      </c>
      <c r="Q627">
        <v>2</v>
      </c>
      <c r="R627" t="s">
        <v>68</v>
      </c>
      <c r="S627">
        <v>35</v>
      </c>
      <c r="T627" t="s">
        <v>98</v>
      </c>
      <c r="U627" t="s">
        <v>36</v>
      </c>
      <c r="V627" t="s">
        <v>38</v>
      </c>
      <c r="W627">
        <v>1</v>
      </c>
      <c r="X627" t="s">
        <v>39</v>
      </c>
      <c r="Y627">
        <v>1</v>
      </c>
      <c r="Z627" t="s">
        <v>51</v>
      </c>
      <c r="AA627" t="s">
        <v>40</v>
      </c>
      <c r="AB627">
        <v>1</v>
      </c>
    </row>
    <row r="628" spans="1:28" x14ac:dyDescent="0.3">
      <c r="A628">
        <v>627</v>
      </c>
      <c r="B628" t="s">
        <v>26</v>
      </c>
      <c r="C628" t="s">
        <v>83</v>
      </c>
      <c r="D628" t="s">
        <v>84</v>
      </c>
      <c r="E628">
        <v>6</v>
      </c>
      <c r="F628" t="s">
        <v>44</v>
      </c>
      <c r="G628" t="s">
        <v>58</v>
      </c>
      <c r="H628">
        <v>2116</v>
      </c>
      <c r="I628" t="s">
        <v>45</v>
      </c>
      <c r="J628" t="s">
        <v>46</v>
      </c>
      <c r="K628" t="s">
        <v>47</v>
      </c>
      <c r="L628" t="s">
        <v>48</v>
      </c>
      <c r="M628">
        <v>2</v>
      </c>
      <c r="N628" t="s">
        <v>34</v>
      </c>
      <c r="O628" t="s">
        <v>35</v>
      </c>
      <c r="P628" t="s">
        <v>36</v>
      </c>
      <c r="Q628">
        <v>2</v>
      </c>
      <c r="R628" t="s">
        <v>37</v>
      </c>
      <c r="S628">
        <v>41</v>
      </c>
      <c r="T628" t="s">
        <v>97</v>
      </c>
      <c r="U628" t="s">
        <v>36</v>
      </c>
      <c r="V628" t="s">
        <v>38</v>
      </c>
      <c r="W628">
        <v>1</v>
      </c>
      <c r="X628" t="s">
        <v>39</v>
      </c>
      <c r="Y628">
        <v>1</v>
      </c>
      <c r="Z628" t="s">
        <v>40</v>
      </c>
      <c r="AA628" t="s">
        <v>40</v>
      </c>
      <c r="AB628">
        <v>1</v>
      </c>
    </row>
    <row r="629" spans="1:28" x14ac:dyDescent="0.3">
      <c r="A629">
        <v>628</v>
      </c>
      <c r="B629" t="s">
        <v>41</v>
      </c>
      <c r="C629" t="s">
        <v>42</v>
      </c>
      <c r="D629" t="s">
        <v>43</v>
      </c>
      <c r="E629">
        <v>9</v>
      </c>
      <c r="F629" t="s">
        <v>85</v>
      </c>
      <c r="G629" t="s">
        <v>63</v>
      </c>
      <c r="H629">
        <v>1437</v>
      </c>
      <c r="I629" t="s">
        <v>79</v>
      </c>
      <c r="J629" t="s">
        <v>80</v>
      </c>
      <c r="K629" t="s">
        <v>55</v>
      </c>
      <c r="L629" t="s">
        <v>56</v>
      </c>
      <c r="M629">
        <v>2</v>
      </c>
      <c r="N629" t="s">
        <v>34</v>
      </c>
      <c r="O629" t="s">
        <v>35</v>
      </c>
      <c r="P629" t="s">
        <v>36</v>
      </c>
      <c r="Q629">
        <v>3</v>
      </c>
      <c r="R629" t="s">
        <v>64</v>
      </c>
      <c r="S629">
        <v>29</v>
      </c>
      <c r="T629" t="s">
        <v>98</v>
      </c>
      <c r="U629" t="s">
        <v>36</v>
      </c>
      <c r="V629" t="s">
        <v>38</v>
      </c>
      <c r="W629">
        <v>1</v>
      </c>
      <c r="X629" t="s">
        <v>39</v>
      </c>
      <c r="Y629">
        <v>1</v>
      </c>
      <c r="Z629" t="s">
        <v>51</v>
      </c>
      <c r="AA629" t="s">
        <v>40</v>
      </c>
      <c r="AB629">
        <v>2</v>
      </c>
    </row>
    <row r="630" spans="1:28" x14ac:dyDescent="0.3">
      <c r="A630">
        <v>629</v>
      </c>
      <c r="B630" t="s">
        <v>26</v>
      </c>
      <c r="C630" t="s">
        <v>52</v>
      </c>
      <c r="D630" t="s">
        <v>53</v>
      </c>
      <c r="E630">
        <v>42</v>
      </c>
      <c r="F630" t="s">
        <v>29</v>
      </c>
      <c r="G630" t="s">
        <v>58</v>
      </c>
      <c r="H630">
        <v>4042</v>
      </c>
      <c r="I630" t="s">
        <v>65</v>
      </c>
      <c r="J630" t="s">
        <v>66</v>
      </c>
      <c r="K630" t="s">
        <v>47</v>
      </c>
      <c r="L630" t="s">
        <v>48</v>
      </c>
      <c r="M630">
        <v>4</v>
      </c>
      <c r="N630" t="s">
        <v>34</v>
      </c>
      <c r="O630" t="s">
        <v>35</v>
      </c>
      <c r="P630" t="s">
        <v>36</v>
      </c>
      <c r="Q630">
        <v>4</v>
      </c>
      <c r="R630" t="s">
        <v>37</v>
      </c>
      <c r="S630">
        <v>36</v>
      </c>
      <c r="T630" t="s">
        <v>98</v>
      </c>
      <c r="U630" t="s">
        <v>36</v>
      </c>
      <c r="V630" t="s">
        <v>38</v>
      </c>
      <c r="W630">
        <v>2</v>
      </c>
      <c r="X630" t="s">
        <v>39</v>
      </c>
      <c r="Y630">
        <v>1</v>
      </c>
      <c r="Z630" t="s">
        <v>40</v>
      </c>
      <c r="AA630" t="s">
        <v>40</v>
      </c>
      <c r="AB630">
        <v>1</v>
      </c>
    </row>
    <row r="631" spans="1:28" x14ac:dyDescent="0.3">
      <c r="A631">
        <v>630</v>
      </c>
      <c r="B631" t="s">
        <v>26</v>
      </c>
      <c r="C631" t="s">
        <v>52</v>
      </c>
      <c r="D631" t="s">
        <v>53</v>
      </c>
      <c r="E631">
        <v>9</v>
      </c>
      <c r="F631" t="s">
        <v>44</v>
      </c>
      <c r="G631" t="s">
        <v>54</v>
      </c>
      <c r="H631">
        <v>3832</v>
      </c>
      <c r="I631" t="s">
        <v>31</v>
      </c>
      <c r="J631" t="s">
        <v>31</v>
      </c>
      <c r="K631" t="s">
        <v>32</v>
      </c>
      <c r="L631" t="s">
        <v>33</v>
      </c>
      <c r="M631">
        <v>1</v>
      </c>
      <c r="N631" t="s">
        <v>34</v>
      </c>
      <c r="O631" t="s">
        <v>35</v>
      </c>
      <c r="P631" t="s">
        <v>36</v>
      </c>
      <c r="Q631">
        <v>4</v>
      </c>
      <c r="R631" t="s">
        <v>37</v>
      </c>
      <c r="S631">
        <v>64</v>
      </c>
      <c r="T631" t="s">
        <v>95</v>
      </c>
      <c r="U631" t="s">
        <v>36</v>
      </c>
      <c r="V631" t="s">
        <v>38</v>
      </c>
      <c r="W631">
        <v>1</v>
      </c>
      <c r="X631" t="s">
        <v>57</v>
      </c>
      <c r="Y631">
        <v>1</v>
      </c>
      <c r="Z631" t="s">
        <v>51</v>
      </c>
      <c r="AA631" t="s">
        <v>40</v>
      </c>
      <c r="AB631">
        <v>1</v>
      </c>
    </row>
    <row r="632" spans="1:28" x14ac:dyDescent="0.3">
      <c r="A632">
        <v>631</v>
      </c>
      <c r="B632" t="s">
        <v>26</v>
      </c>
      <c r="C632" t="s">
        <v>27</v>
      </c>
      <c r="D632" t="s">
        <v>28</v>
      </c>
      <c r="E632">
        <v>24</v>
      </c>
      <c r="F632" t="s">
        <v>44</v>
      </c>
      <c r="G632" t="s">
        <v>30</v>
      </c>
      <c r="H632">
        <v>3660</v>
      </c>
      <c r="I632" t="s">
        <v>45</v>
      </c>
      <c r="J632" t="s">
        <v>46</v>
      </c>
      <c r="K632" t="s">
        <v>47</v>
      </c>
      <c r="L632" t="s">
        <v>48</v>
      </c>
      <c r="M632">
        <v>2</v>
      </c>
      <c r="N632" t="s">
        <v>49</v>
      </c>
      <c r="O632" t="s">
        <v>50</v>
      </c>
      <c r="P632" t="s">
        <v>36</v>
      </c>
      <c r="Q632">
        <v>4</v>
      </c>
      <c r="R632" t="s">
        <v>68</v>
      </c>
      <c r="S632">
        <v>28</v>
      </c>
      <c r="T632" t="s">
        <v>98</v>
      </c>
      <c r="U632" t="s">
        <v>36</v>
      </c>
      <c r="V632" t="s">
        <v>38</v>
      </c>
      <c r="W632">
        <v>1</v>
      </c>
      <c r="X632" t="s">
        <v>39</v>
      </c>
      <c r="Y632">
        <v>1</v>
      </c>
      <c r="Z632" t="s">
        <v>51</v>
      </c>
      <c r="AA632" t="s">
        <v>40</v>
      </c>
      <c r="AB632">
        <v>1</v>
      </c>
    </row>
    <row r="633" spans="1:28" x14ac:dyDescent="0.3">
      <c r="A633">
        <v>632</v>
      </c>
      <c r="B633" t="s">
        <v>41</v>
      </c>
      <c r="C633" t="s">
        <v>27</v>
      </c>
      <c r="D633" t="s">
        <v>28</v>
      </c>
      <c r="E633">
        <v>18</v>
      </c>
      <c r="F633" t="s">
        <v>85</v>
      </c>
      <c r="G633" t="s">
        <v>58</v>
      </c>
      <c r="H633">
        <v>1553</v>
      </c>
      <c r="I633" t="s">
        <v>45</v>
      </c>
      <c r="J633" t="s">
        <v>46</v>
      </c>
      <c r="K633" t="s">
        <v>47</v>
      </c>
      <c r="L633" t="s">
        <v>48</v>
      </c>
      <c r="M633">
        <v>4</v>
      </c>
      <c r="N633" t="s">
        <v>34</v>
      </c>
      <c r="O633" t="s">
        <v>35</v>
      </c>
      <c r="P633" t="s">
        <v>36</v>
      </c>
      <c r="Q633">
        <v>3</v>
      </c>
      <c r="R633" t="s">
        <v>68</v>
      </c>
      <c r="S633">
        <v>44</v>
      </c>
      <c r="T633" t="s">
        <v>97</v>
      </c>
      <c r="U633" t="s">
        <v>82</v>
      </c>
      <c r="V633" t="s">
        <v>38</v>
      </c>
      <c r="W633">
        <v>1</v>
      </c>
      <c r="X633" t="s">
        <v>39</v>
      </c>
      <c r="Y633">
        <v>1</v>
      </c>
      <c r="Z633" t="s">
        <v>51</v>
      </c>
      <c r="AA633" t="s">
        <v>40</v>
      </c>
      <c r="AB633">
        <v>2</v>
      </c>
    </row>
    <row r="634" spans="1:28" x14ac:dyDescent="0.3">
      <c r="A634">
        <v>633</v>
      </c>
      <c r="B634" t="s">
        <v>26</v>
      </c>
      <c r="C634" t="s">
        <v>42</v>
      </c>
      <c r="D634" t="s">
        <v>43</v>
      </c>
      <c r="E634">
        <v>15</v>
      </c>
      <c r="F634" t="s">
        <v>44</v>
      </c>
      <c r="G634" t="s">
        <v>30</v>
      </c>
      <c r="H634">
        <v>1444</v>
      </c>
      <c r="I634" t="s">
        <v>31</v>
      </c>
      <c r="J634" t="s">
        <v>31</v>
      </c>
      <c r="K634" t="s">
        <v>76</v>
      </c>
      <c r="L634" t="s">
        <v>77</v>
      </c>
      <c r="M634">
        <v>4</v>
      </c>
      <c r="N634" t="s">
        <v>34</v>
      </c>
      <c r="O634" t="s">
        <v>35</v>
      </c>
      <c r="P634" t="s">
        <v>36</v>
      </c>
      <c r="Q634">
        <v>1</v>
      </c>
      <c r="R634" t="s">
        <v>60</v>
      </c>
      <c r="S634">
        <v>23</v>
      </c>
      <c r="T634" t="s">
        <v>96</v>
      </c>
      <c r="U634" t="s">
        <v>36</v>
      </c>
      <c r="V634" t="s">
        <v>38</v>
      </c>
      <c r="W634">
        <v>1</v>
      </c>
      <c r="X634" t="s">
        <v>39</v>
      </c>
      <c r="Y634">
        <v>1</v>
      </c>
      <c r="Z634" t="s">
        <v>51</v>
      </c>
      <c r="AA634" t="s">
        <v>40</v>
      </c>
      <c r="AB634">
        <v>1</v>
      </c>
    </row>
    <row r="635" spans="1:28" x14ac:dyDescent="0.3">
      <c r="A635">
        <v>634</v>
      </c>
      <c r="B635" t="s">
        <v>41</v>
      </c>
      <c r="C635" t="s">
        <v>52</v>
      </c>
      <c r="D635" t="s">
        <v>53</v>
      </c>
      <c r="E635">
        <v>9</v>
      </c>
      <c r="F635" t="s">
        <v>44</v>
      </c>
      <c r="G635" t="s">
        <v>58</v>
      </c>
      <c r="H635">
        <v>1980</v>
      </c>
      <c r="I635" t="s">
        <v>45</v>
      </c>
      <c r="J635" t="s">
        <v>46</v>
      </c>
      <c r="K635" t="s">
        <v>76</v>
      </c>
      <c r="L635" t="s">
        <v>77</v>
      </c>
      <c r="M635">
        <v>2</v>
      </c>
      <c r="N635" t="s">
        <v>49</v>
      </c>
      <c r="O635" t="s">
        <v>50</v>
      </c>
      <c r="P635" t="s">
        <v>87</v>
      </c>
      <c r="Q635">
        <v>2</v>
      </c>
      <c r="R635" t="s">
        <v>68</v>
      </c>
      <c r="S635">
        <v>19</v>
      </c>
      <c r="T635" t="s">
        <v>96</v>
      </c>
      <c r="U635" t="s">
        <v>36</v>
      </c>
      <c r="V635" t="s">
        <v>69</v>
      </c>
      <c r="W635">
        <v>2</v>
      </c>
      <c r="X635" t="s">
        <v>39</v>
      </c>
      <c r="Y635">
        <v>1</v>
      </c>
      <c r="Z635" t="s">
        <v>51</v>
      </c>
      <c r="AA635" t="s">
        <v>40</v>
      </c>
      <c r="AB635">
        <v>2</v>
      </c>
    </row>
    <row r="636" spans="1:28" x14ac:dyDescent="0.3">
      <c r="A636">
        <v>635</v>
      </c>
      <c r="B636" t="s">
        <v>41</v>
      </c>
      <c r="C636" t="s">
        <v>42</v>
      </c>
      <c r="D636" t="s">
        <v>43</v>
      </c>
      <c r="E636">
        <v>24</v>
      </c>
      <c r="F636" t="s">
        <v>44</v>
      </c>
      <c r="G636" t="s">
        <v>63</v>
      </c>
      <c r="H636">
        <v>1355</v>
      </c>
      <c r="I636" t="s">
        <v>45</v>
      </c>
      <c r="J636" t="s">
        <v>46</v>
      </c>
      <c r="K636" t="s">
        <v>76</v>
      </c>
      <c r="L636" t="s">
        <v>77</v>
      </c>
      <c r="M636">
        <v>3</v>
      </c>
      <c r="N636" t="s">
        <v>49</v>
      </c>
      <c r="O636" t="s">
        <v>50</v>
      </c>
      <c r="P636" t="s">
        <v>36</v>
      </c>
      <c r="Q636">
        <v>4</v>
      </c>
      <c r="R636" t="s">
        <v>68</v>
      </c>
      <c r="S636">
        <v>25</v>
      </c>
      <c r="T636" t="s">
        <v>98</v>
      </c>
      <c r="U636" t="s">
        <v>36</v>
      </c>
      <c r="V636" t="s">
        <v>38</v>
      </c>
      <c r="W636">
        <v>1</v>
      </c>
      <c r="X636" t="s">
        <v>57</v>
      </c>
      <c r="Y636">
        <v>1</v>
      </c>
      <c r="Z636" t="s">
        <v>40</v>
      </c>
      <c r="AA636" t="s">
        <v>40</v>
      </c>
      <c r="AB636">
        <v>2</v>
      </c>
    </row>
    <row r="637" spans="1:28" x14ac:dyDescent="0.3">
      <c r="A637">
        <v>636</v>
      </c>
      <c r="B637" t="s">
        <v>26</v>
      </c>
      <c r="C637" t="s">
        <v>52</v>
      </c>
      <c r="D637" t="s">
        <v>53</v>
      </c>
      <c r="E637">
        <v>12</v>
      </c>
      <c r="F637" t="s">
        <v>44</v>
      </c>
      <c r="G637" t="s">
        <v>54</v>
      </c>
      <c r="H637">
        <v>1393</v>
      </c>
      <c r="I637" t="s">
        <v>45</v>
      </c>
      <c r="J637" t="s">
        <v>46</v>
      </c>
      <c r="K637" t="s">
        <v>32</v>
      </c>
      <c r="L637" t="s">
        <v>33</v>
      </c>
      <c r="M637">
        <v>4</v>
      </c>
      <c r="N637" t="s">
        <v>34</v>
      </c>
      <c r="O637" t="s">
        <v>35</v>
      </c>
      <c r="P637" t="s">
        <v>36</v>
      </c>
      <c r="Q637">
        <v>4</v>
      </c>
      <c r="R637" t="s">
        <v>60</v>
      </c>
      <c r="S637">
        <v>47</v>
      </c>
      <c r="T637" t="s">
        <v>97</v>
      </c>
      <c r="U637" t="s">
        <v>82</v>
      </c>
      <c r="V637" t="s">
        <v>38</v>
      </c>
      <c r="W637">
        <v>3</v>
      </c>
      <c r="X637" t="s">
        <v>39</v>
      </c>
      <c r="Y637">
        <v>2</v>
      </c>
      <c r="Z637" t="s">
        <v>40</v>
      </c>
      <c r="AA637" t="s">
        <v>40</v>
      </c>
      <c r="AB637">
        <v>1</v>
      </c>
    </row>
    <row r="638" spans="1:28" x14ac:dyDescent="0.3">
      <c r="A638">
        <v>637</v>
      </c>
      <c r="B638" t="s">
        <v>26</v>
      </c>
      <c r="C638" t="s">
        <v>52</v>
      </c>
      <c r="D638" t="s">
        <v>53</v>
      </c>
      <c r="E638">
        <v>24</v>
      </c>
      <c r="F638" t="s">
        <v>44</v>
      </c>
      <c r="G638" t="s">
        <v>30</v>
      </c>
      <c r="H638">
        <v>1376</v>
      </c>
      <c r="I638" t="s">
        <v>65</v>
      </c>
      <c r="J638" t="s">
        <v>66</v>
      </c>
      <c r="K638" t="s">
        <v>55</v>
      </c>
      <c r="L638" t="s">
        <v>56</v>
      </c>
      <c r="M638">
        <v>4</v>
      </c>
      <c r="N638" t="s">
        <v>49</v>
      </c>
      <c r="O638" t="s">
        <v>50</v>
      </c>
      <c r="P638" t="s">
        <v>36</v>
      </c>
      <c r="Q638">
        <v>1</v>
      </c>
      <c r="R638" t="s">
        <v>68</v>
      </c>
      <c r="S638">
        <v>28</v>
      </c>
      <c r="T638" t="s">
        <v>98</v>
      </c>
      <c r="U638" t="s">
        <v>36</v>
      </c>
      <c r="V638" t="s">
        <v>38</v>
      </c>
      <c r="W638">
        <v>1</v>
      </c>
      <c r="X638" t="s">
        <v>39</v>
      </c>
      <c r="Y638">
        <v>1</v>
      </c>
      <c r="Z638" t="s">
        <v>51</v>
      </c>
      <c r="AA638" t="s">
        <v>40</v>
      </c>
      <c r="AB638">
        <v>1</v>
      </c>
    </row>
    <row r="639" spans="1:28" x14ac:dyDescent="0.3">
      <c r="A639">
        <v>638</v>
      </c>
      <c r="B639" t="s">
        <v>26</v>
      </c>
      <c r="C639" t="s">
        <v>52</v>
      </c>
      <c r="D639" t="s">
        <v>53</v>
      </c>
      <c r="E639">
        <v>60</v>
      </c>
      <c r="F639" t="s">
        <v>62</v>
      </c>
      <c r="G639" t="s">
        <v>30</v>
      </c>
      <c r="H639">
        <v>15653</v>
      </c>
      <c r="I639" t="s">
        <v>45</v>
      </c>
      <c r="J639" t="s">
        <v>46</v>
      </c>
      <c r="K639" t="s">
        <v>55</v>
      </c>
      <c r="L639" t="s">
        <v>56</v>
      </c>
      <c r="M639">
        <v>2</v>
      </c>
      <c r="N639" t="s">
        <v>34</v>
      </c>
      <c r="O639" t="s">
        <v>35</v>
      </c>
      <c r="P639" t="s">
        <v>36</v>
      </c>
      <c r="Q639">
        <v>4</v>
      </c>
      <c r="R639" t="s">
        <v>68</v>
      </c>
      <c r="S639">
        <v>21</v>
      </c>
      <c r="T639" t="s">
        <v>96</v>
      </c>
      <c r="U639" t="s">
        <v>36</v>
      </c>
      <c r="V639" t="s">
        <v>38</v>
      </c>
      <c r="W639">
        <v>2</v>
      </c>
      <c r="X639" t="s">
        <v>39</v>
      </c>
      <c r="Y639">
        <v>1</v>
      </c>
      <c r="Z639" t="s">
        <v>40</v>
      </c>
      <c r="AA639" t="s">
        <v>40</v>
      </c>
      <c r="AB639">
        <v>1</v>
      </c>
    </row>
    <row r="640" spans="1:28" x14ac:dyDescent="0.3">
      <c r="A640">
        <v>639</v>
      </c>
      <c r="B640" t="s">
        <v>26</v>
      </c>
      <c r="C640" t="s">
        <v>52</v>
      </c>
      <c r="D640" t="s">
        <v>53</v>
      </c>
      <c r="E640">
        <v>12</v>
      </c>
      <c r="F640" t="s">
        <v>44</v>
      </c>
      <c r="G640" t="s">
        <v>30</v>
      </c>
      <c r="H640">
        <v>1493</v>
      </c>
      <c r="I640" t="s">
        <v>45</v>
      </c>
      <c r="J640" t="s">
        <v>46</v>
      </c>
      <c r="K640" t="s">
        <v>76</v>
      </c>
      <c r="L640" t="s">
        <v>77</v>
      </c>
      <c r="M640">
        <v>4</v>
      </c>
      <c r="N640" t="s">
        <v>49</v>
      </c>
      <c r="O640" t="s">
        <v>50</v>
      </c>
      <c r="P640" t="s">
        <v>36</v>
      </c>
      <c r="Q640">
        <v>3</v>
      </c>
      <c r="R640" t="s">
        <v>68</v>
      </c>
      <c r="S640">
        <v>34</v>
      </c>
      <c r="T640" t="s">
        <v>98</v>
      </c>
      <c r="U640" t="s">
        <v>36</v>
      </c>
      <c r="V640" t="s">
        <v>38</v>
      </c>
      <c r="W640">
        <v>1</v>
      </c>
      <c r="X640" t="s">
        <v>39</v>
      </c>
      <c r="Y640">
        <v>2</v>
      </c>
      <c r="Z640" t="s">
        <v>51</v>
      </c>
      <c r="AA640" t="s">
        <v>40</v>
      </c>
      <c r="AB640">
        <v>1</v>
      </c>
    </row>
    <row r="641" spans="1:28" x14ac:dyDescent="0.3">
      <c r="A641">
        <v>640</v>
      </c>
      <c r="B641" t="s">
        <v>41</v>
      </c>
      <c r="C641" t="s">
        <v>27</v>
      </c>
      <c r="D641" t="s">
        <v>28</v>
      </c>
      <c r="E641">
        <v>42</v>
      </c>
      <c r="F641" t="s">
        <v>62</v>
      </c>
      <c r="G641" t="s">
        <v>30</v>
      </c>
      <c r="H641">
        <v>4370</v>
      </c>
      <c r="I641" t="s">
        <v>45</v>
      </c>
      <c r="J641" t="s">
        <v>46</v>
      </c>
      <c r="K641" t="s">
        <v>55</v>
      </c>
      <c r="L641" t="s">
        <v>56</v>
      </c>
      <c r="M641">
        <v>3</v>
      </c>
      <c r="N641" t="s">
        <v>34</v>
      </c>
      <c r="O641" t="s">
        <v>35</v>
      </c>
      <c r="P641" t="s">
        <v>36</v>
      </c>
      <c r="Q641">
        <v>2</v>
      </c>
      <c r="R641" t="s">
        <v>60</v>
      </c>
      <c r="S641">
        <v>26</v>
      </c>
      <c r="T641" t="s">
        <v>98</v>
      </c>
      <c r="U641" t="s">
        <v>82</v>
      </c>
      <c r="V641" t="s">
        <v>38</v>
      </c>
      <c r="W641">
        <v>2</v>
      </c>
      <c r="X641" t="s">
        <v>39</v>
      </c>
      <c r="Y641">
        <v>2</v>
      </c>
      <c r="Z641" t="s">
        <v>40</v>
      </c>
      <c r="AA641" t="s">
        <v>40</v>
      </c>
      <c r="AB641">
        <v>2</v>
      </c>
    </row>
    <row r="642" spans="1:28" x14ac:dyDescent="0.3">
      <c r="A642">
        <v>641</v>
      </c>
      <c r="B642" t="s">
        <v>41</v>
      </c>
      <c r="C642" t="s">
        <v>27</v>
      </c>
      <c r="D642" t="s">
        <v>28</v>
      </c>
      <c r="E642">
        <v>18</v>
      </c>
      <c r="F642" t="s">
        <v>44</v>
      </c>
      <c r="G642" t="s">
        <v>54</v>
      </c>
      <c r="H642">
        <v>750</v>
      </c>
      <c r="I642" t="s">
        <v>45</v>
      </c>
      <c r="J642" t="s">
        <v>46</v>
      </c>
      <c r="K642" t="s">
        <v>74</v>
      </c>
      <c r="L642" t="s">
        <v>74</v>
      </c>
      <c r="M642">
        <v>4</v>
      </c>
      <c r="N642" t="s">
        <v>49</v>
      </c>
      <c r="O642" t="s">
        <v>50</v>
      </c>
      <c r="P642" t="s">
        <v>36</v>
      </c>
      <c r="Q642">
        <v>1</v>
      </c>
      <c r="R642" t="s">
        <v>37</v>
      </c>
      <c r="S642">
        <v>27</v>
      </c>
      <c r="T642" t="s">
        <v>98</v>
      </c>
      <c r="U642" t="s">
        <v>36</v>
      </c>
      <c r="V642" t="s">
        <v>38</v>
      </c>
      <c r="W642">
        <v>1</v>
      </c>
      <c r="X642" t="s">
        <v>90</v>
      </c>
      <c r="Y642">
        <v>1</v>
      </c>
      <c r="Z642" t="s">
        <v>51</v>
      </c>
      <c r="AA642" t="s">
        <v>40</v>
      </c>
      <c r="AB642">
        <v>2</v>
      </c>
    </row>
    <row r="643" spans="1:28" x14ac:dyDescent="0.3">
      <c r="A643">
        <v>642</v>
      </c>
      <c r="B643" t="s">
        <v>26</v>
      </c>
      <c r="C643" t="s">
        <v>42</v>
      </c>
      <c r="D643" t="s">
        <v>43</v>
      </c>
      <c r="E643">
        <v>15</v>
      </c>
      <c r="F643" t="s">
        <v>44</v>
      </c>
      <c r="G643" t="s">
        <v>89</v>
      </c>
      <c r="H643">
        <v>1308</v>
      </c>
      <c r="I643" t="s">
        <v>45</v>
      </c>
      <c r="J643" t="s">
        <v>46</v>
      </c>
      <c r="K643" t="s">
        <v>32</v>
      </c>
      <c r="L643" t="s">
        <v>33</v>
      </c>
      <c r="M643">
        <v>4</v>
      </c>
      <c r="N643" t="s">
        <v>34</v>
      </c>
      <c r="O643" t="s">
        <v>35</v>
      </c>
      <c r="P643" t="s">
        <v>36</v>
      </c>
      <c r="Q643">
        <v>4</v>
      </c>
      <c r="R643" t="s">
        <v>68</v>
      </c>
      <c r="S643">
        <v>38</v>
      </c>
      <c r="T643" t="s">
        <v>98</v>
      </c>
      <c r="U643" t="s">
        <v>36</v>
      </c>
      <c r="V643" t="s">
        <v>38</v>
      </c>
      <c r="W643">
        <v>2</v>
      </c>
      <c r="X643" t="s">
        <v>57</v>
      </c>
      <c r="Y643">
        <v>1</v>
      </c>
      <c r="Z643" t="s">
        <v>51</v>
      </c>
      <c r="AA643" t="s">
        <v>40</v>
      </c>
      <c r="AB643">
        <v>1</v>
      </c>
    </row>
    <row r="644" spans="1:28" x14ac:dyDescent="0.3">
      <c r="A644">
        <v>643</v>
      </c>
      <c r="B644" t="s">
        <v>41</v>
      </c>
      <c r="C644" t="s">
        <v>52</v>
      </c>
      <c r="D644" t="s">
        <v>53</v>
      </c>
      <c r="E644">
        <v>15</v>
      </c>
      <c r="F644" t="s">
        <v>44</v>
      </c>
      <c r="G644" t="s">
        <v>54</v>
      </c>
      <c r="H644">
        <v>4623</v>
      </c>
      <c r="I644" t="s">
        <v>79</v>
      </c>
      <c r="J644" t="s">
        <v>80</v>
      </c>
      <c r="K644" t="s">
        <v>47</v>
      </c>
      <c r="L644" t="s">
        <v>48</v>
      </c>
      <c r="M644">
        <v>3</v>
      </c>
      <c r="N644" t="s">
        <v>34</v>
      </c>
      <c r="O644" t="s">
        <v>35</v>
      </c>
      <c r="P644" t="s">
        <v>36</v>
      </c>
      <c r="Q644">
        <v>2</v>
      </c>
      <c r="R644" t="s">
        <v>60</v>
      </c>
      <c r="S644">
        <v>40</v>
      </c>
      <c r="T644" t="s">
        <v>97</v>
      </c>
      <c r="U644" t="s">
        <v>36</v>
      </c>
      <c r="V644" t="s">
        <v>38</v>
      </c>
      <c r="W644">
        <v>1</v>
      </c>
      <c r="X644" t="s">
        <v>70</v>
      </c>
      <c r="Y644">
        <v>1</v>
      </c>
      <c r="Z644" t="s">
        <v>40</v>
      </c>
      <c r="AA644" t="s">
        <v>40</v>
      </c>
      <c r="AB644">
        <v>2</v>
      </c>
    </row>
    <row r="645" spans="1:28" x14ac:dyDescent="0.3">
      <c r="A645">
        <v>644</v>
      </c>
      <c r="B645" t="s">
        <v>26</v>
      </c>
      <c r="C645" t="s">
        <v>52</v>
      </c>
      <c r="D645" t="s">
        <v>53</v>
      </c>
      <c r="E645">
        <v>24</v>
      </c>
      <c r="F645" t="s">
        <v>29</v>
      </c>
      <c r="G645" t="s">
        <v>30</v>
      </c>
      <c r="H645">
        <v>1851</v>
      </c>
      <c r="I645" t="s">
        <v>45</v>
      </c>
      <c r="J645" t="s">
        <v>46</v>
      </c>
      <c r="K645" t="s">
        <v>55</v>
      </c>
      <c r="L645" t="s">
        <v>56</v>
      </c>
      <c r="M645">
        <v>4</v>
      </c>
      <c r="N645" t="s">
        <v>34</v>
      </c>
      <c r="O645" t="s">
        <v>75</v>
      </c>
      <c r="P645" t="s">
        <v>59</v>
      </c>
      <c r="Q645">
        <v>2</v>
      </c>
      <c r="R645" t="s">
        <v>68</v>
      </c>
      <c r="S645">
        <v>33</v>
      </c>
      <c r="T645" t="s">
        <v>98</v>
      </c>
      <c r="U645" t="s">
        <v>36</v>
      </c>
      <c r="V645" t="s">
        <v>38</v>
      </c>
      <c r="W645">
        <v>2</v>
      </c>
      <c r="X645" t="s">
        <v>39</v>
      </c>
      <c r="Y645">
        <v>1</v>
      </c>
      <c r="Z645" t="s">
        <v>40</v>
      </c>
      <c r="AA645" t="s">
        <v>40</v>
      </c>
      <c r="AB645">
        <v>1</v>
      </c>
    </row>
    <row r="646" spans="1:28" x14ac:dyDescent="0.3">
      <c r="A646">
        <v>645</v>
      </c>
      <c r="B646" t="s">
        <v>26</v>
      </c>
      <c r="C646" t="s">
        <v>27</v>
      </c>
      <c r="D646" t="s">
        <v>28</v>
      </c>
      <c r="E646">
        <v>18</v>
      </c>
      <c r="F646" t="s">
        <v>29</v>
      </c>
      <c r="G646" t="s">
        <v>30</v>
      </c>
      <c r="H646">
        <v>1880</v>
      </c>
      <c r="I646" t="s">
        <v>45</v>
      </c>
      <c r="J646" t="s">
        <v>46</v>
      </c>
      <c r="K646" t="s">
        <v>55</v>
      </c>
      <c r="L646" t="s">
        <v>56</v>
      </c>
      <c r="M646">
        <v>4</v>
      </c>
      <c r="N646" t="s">
        <v>34</v>
      </c>
      <c r="O646" t="s">
        <v>75</v>
      </c>
      <c r="P646" t="s">
        <v>36</v>
      </c>
      <c r="Q646">
        <v>1</v>
      </c>
      <c r="R646" t="s">
        <v>60</v>
      </c>
      <c r="S646">
        <v>32</v>
      </c>
      <c r="T646" t="s">
        <v>98</v>
      </c>
      <c r="U646" t="s">
        <v>36</v>
      </c>
      <c r="V646" t="s">
        <v>38</v>
      </c>
      <c r="W646">
        <v>2</v>
      </c>
      <c r="X646" t="s">
        <v>70</v>
      </c>
      <c r="Y646">
        <v>1</v>
      </c>
      <c r="Z646" t="s">
        <v>40</v>
      </c>
      <c r="AA646" t="s">
        <v>40</v>
      </c>
      <c r="AB646">
        <v>1</v>
      </c>
    </row>
    <row r="647" spans="1:28" x14ac:dyDescent="0.3">
      <c r="A647">
        <v>646</v>
      </c>
      <c r="B647" t="s">
        <v>41</v>
      </c>
      <c r="C647" t="s">
        <v>52</v>
      </c>
      <c r="D647" t="s">
        <v>53</v>
      </c>
      <c r="E647">
        <v>36</v>
      </c>
      <c r="F647" t="s">
        <v>62</v>
      </c>
      <c r="G647" t="s">
        <v>78</v>
      </c>
      <c r="H647">
        <v>7980</v>
      </c>
      <c r="I647" t="s">
        <v>31</v>
      </c>
      <c r="J647" t="s">
        <v>31</v>
      </c>
      <c r="K647" t="s">
        <v>76</v>
      </c>
      <c r="L647" t="s">
        <v>77</v>
      </c>
      <c r="M647">
        <v>4</v>
      </c>
      <c r="N647" t="s">
        <v>34</v>
      </c>
      <c r="O647" t="s">
        <v>35</v>
      </c>
      <c r="P647" t="s">
        <v>36</v>
      </c>
      <c r="Q647">
        <v>4</v>
      </c>
      <c r="R647" t="s">
        <v>68</v>
      </c>
      <c r="S647">
        <v>27</v>
      </c>
      <c r="T647" t="s">
        <v>98</v>
      </c>
      <c r="U647" t="s">
        <v>36</v>
      </c>
      <c r="V647" t="s">
        <v>69</v>
      </c>
      <c r="W647">
        <v>2</v>
      </c>
      <c r="X647" t="s">
        <v>39</v>
      </c>
      <c r="Y647">
        <v>1</v>
      </c>
      <c r="Z647" t="s">
        <v>40</v>
      </c>
      <c r="AA647" t="s">
        <v>40</v>
      </c>
      <c r="AB647">
        <v>2</v>
      </c>
    </row>
    <row r="648" spans="1:28" x14ac:dyDescent="0.3">
      <c r="A648">
        <v>647</v>
      </c>
      <c r="B648" t="s">
        <v>26</v>
      </c>
      <c r="C648" t="s">
        <v>27</v>
      </c>
      <c r="D648" t="s">
        <v>28</v>
      </c>
      <c r="E648">
        <v>30</v>
      </c>
      <c r="F648" t="s">
        <v>81</v>
      </c>
      <c r="G648" t="s">
        <v>58</v>
      </c>
      <c r="H648">
        <v>4583</v>
      </c>
      <c r="I648" t="s">
        <v>45</v>
      </c>
      <c r="J648" t="s">
        <v>46</v>
      </c>
      <c r="K648" t="s">
        <v>47</v>
      </c>
      <c r="L648" t="s">
        <v>48</v>
      </c>
      <c r="M648">
        <v>2</v>
      </c>
      <c r="N648" t="s">
        <v>34</v>
      </c>
      <c r="O648" t="s">
        <v>73</v>
      </c>
      <c r="P648" t="s">
        <v>59</v>
      </c>
      <c r="Q648">
        <v>2</v>
      </c>
      <c r="R648" t="s">
        <v>37</v>
      </c>
      <c r="S648">
        <v>32</v>
      </c>
      <c r="T648" t="s">
        <v>98</v>
      </c>
      <c r="U648" t="s">
        <v>36</v>
      </c>
      <c r="V648" t="s">
        <v>38</v>
      </c>
      <c r="W648">
        <v>2</v>
      </c>
      <c r="X648" t="s">
        <v>39</v>
      </c>
      <c r="Y648">
        <v>1</v>
      </c>
      <c r="Z648" t="s">
        <v>51</v>
      </c>
      <c r="AA648" t="s">
        <v>40</v>
      </c>
      <c r="AB648">
        <v>1</v>
      </c>
    </row>
    <row r="649" spans="1:28" x14ac:dyDescent="0.3">
      <c r="A649">
        <v>648</v>
      </c>
      <c r="B649" t="s">
        <v>41</v>
      </c>
      <c r="C649" t="s">
        <v>52</v>
      </c>
      <c r="D649" t="s">
        <v>53</v>
      </c>
      <c r="E649">
        <v>12</v>
      </c>
      <c r="F649" t="s">
        <v>44</v>
      </c>
      <c r="G649" t="s">
        <v>63</v>
      </c>
      <c r="H649">
        <v>1386</v>
      </c>
      <c r="I649" t="s">
        <v>65</v>
      </c>
      <c r="J649" t="s">
        <v>66</v>
      </c>
      <c r="K649" t="s">
        <v>47</v>
      </c>
      <c r="L649" t="s">
        <v>48</v>
      </c>
      <c r="M649">
        <v>2</v>
      </c>
      <c r="N649" t="s">
        <v>49</v>
      </c>
      <c r="O649" t="s">
        <v>50</v>
      </c>
      <c r="P649" t="s">
        <v>36</v>
      </c>
      <c r="Q649">
        <v>2</v>
      </c>
      <c r="R649" t="s">
        <v>60</v>
      </c>
      <c r="S649">
        <v>26</v>
      </c>
      <c r="T649" t="s">
        <v>98</v>
      </c>
      <c r="U649" t="s">
        <v>36</v>
      </c>
      <c r="V649" t="s">
        <v>38</v>
      </c>
      <c r="W649">
        <v>1</v>
      </c>
      <c r="X649" t="s">
        <v>39</v>
      </c>
      <c r="Y649">
        <v>1</v>
      </c>
      <c r="Z649" t="s">
        <v>51</v>
      </c>
      <c r="AA649" t="s">
        <v>40</v>
      </c>
      <c r="AB649">
        <v>2</v>
      </c>
    </row>
    <row r="650" spans="1:28" x14ac:dyDescent="0.3">
      <c r="A650">
        <v>649</v>
      </c>
      <c r="B650" t="s">
        <v>41</v>
      </c>
      <c r="C650" t="s">
        <v>83</v>
      </c>
      <c r="D650" t="s">
        <v>84</v>
      </c>
      <c r="E650">
        <v>24</v>
      </c>
      <c r="F650" t="s">
        <v>44</v>
      </c>
      <c r="G650" t="s">
        <v>63</v>
      </c>
      <c r="H650">
        <v>947</v>
      </c>
      <c r="I650" t="s">
        <v>45</v>
      </c>
      <c r="J650" t="s">
        <v>46</v>
      </c>
      <c r="K650" t="s">
        <v>55</v>
      </c>
      <c r="L650" t="s">
        <v>56</v>
      </c>
      <c r="M650">
        <v>4</v>
      </c>
      <c r="N650" t="s">
        <v>34</v>
      </c>
      <c r="O650" t="s">
        <v>35</v>
      </c>
      <c r="P650" t="s">
        <v>36</v>
      </c>
      <c r="Q650">
        <v>3</v>
      </c>
      <c r="R650" t="s">
        <v>64</v>
      </c>
      <c r="S650">
        <v>38</v>
      </c>
      <c r="T650" t="s">
        <v>98</v>
      </c>
      <c r="U650" t="s">
        <v>82</v>
      </c>
      <c r="V650" t="s">
        <v>61</v>
      </c>
      <c r="W650">
        <v>1</v>
      </c>
      <c r="X650" t="s">
        <v>39</v>
      </c>
      <c r="Y650">
        <v>2</v>
      </c>
      <c r="Z650" t="s">
        <v>51</v>
      </c>
      <c r="AA650" t="s">
        <v>40</v>
      </c>
      <c r="AB650">
        <v>2</v>
      </c>
    </row>
    <row r="651" spans="1:28" x14ac:dyDescent="0.3">
      <c r="A651">
        <v>650</v>
      </c>
      <c r="B651" t="s">
        <v>41</v>
      </c>
      <c r="C651" t="s">
        <v>27</v>
      </c>
      <c r="D651" t="s">
        <v>28</v>
      </c>
      <c r="E651">
        <v>12</v>
      </c>
      <c r="F651" t="s">
        <v>44</v>
      </c>
      <c r="G651" t="s">
        <v>54</v>
      </c>
      <c r="H651">
        <v>684</v>
      </c>
      <c r="I651" t="s">
        <v>45</v>
      </c>
      <c r="J651" t="s">
        <v>46</v>
      </c>
      <c r="K651" t="s">
        <v>47</v>
      </c>
      <c r="L651" t="s">
        <v>48</v>
      </c>
      <c r="M651">
        <v>4</v>
      </c>
      <c r="N651" t="s">
        <v>34</v>
      </c>
      <c r="O651" t="s">
        <v>35</v>
      </c>
      <c r="P651" t="s">
        <v>36</v>
      </c>
      <c r="Q651">
        <v>4</v>
      </c>
      <c r="R651" t="s">
        <v>68</v>
      </c>
      <c r="S651">
        <v>40</v>
      </c>
      <c r="T651" t="s">
        <v>97</v>
      </c>
      <c r="U651" t="s">
        <v>36</v>
      </c>
      <c r="V651" t="s">
        <v>69</v>
      </c>
      <c r="W651">
        <v>1</v>
      </c>
      <c r="X651" t="s">
        <v>57</v>
      </c>
      <c r="Y651">
        <v>2</v>
      </c>
      <c r="Z651" t="s">
        <v>51</v>
      </c>
      <c r="AA651" t="s">
        <v>40</v>
      </c>
      <c r="AB651">
        <v>2</v>
      </c>
    </row>
    <row r="652" spans="1:28" x14ac:dyDescent="0.3">
      <c r="A652">
        <v>651</v>
      </c>
      <c r="B652" t="s">
        <v>26</v>
      </c>
      <c r="C652" t="s">
        <v>27</v>
      </c>
      <c r="D652" t="s">
        <v>28</v>
      </c>
      <c r="E652">
        <v>48</v>
      </c>
      <c r="F652" t="s">
        <v>44</v>
      </c>
      <c r="G652" t="s">
        <v>54</v>
      </c>
      <c r="H652">
        <v>7476</v>
      </c>
      <c r="I652" t="s">
        <v>45</v>
      </c>
      <c r="J652" t="s">
        <v>46</v>
      </c>
      <c r="K652" t="s">
        <v>55</v>
      </c>
      <c r="L652" t="s">
        <v>56</v>
      </c>
      <c r="M652">
        <v>4</v>
      </c>
      <c r="N652" t="s">
        <v>34</v>
      </c>
      <c r="O652" t="s">
        <v>35</v>
      </c>
      <c r="P652" t="s">
        <v>36</v>
      </c>
      <c r="Q652">
        <v>1</v>
      </c>
      <c r="R652" t="s">
        <v>64</v>
      </c>
      <c r="S652">
        <v>50</v>
      </c>
      <c r="T652" t="s">
        <v>97</v>
      </c>
      <c r="U652" t="s">
        <v>36</v>
      </c>
      <c r="V652" t="s">
        <v>61</v>
      </c>
      <c r="W652">
        <v>1</v>
      </c>
      <c r="X652" t="s">
        <v>70</v>
      </c>
      <c r="Y652">
        <v>1</v>
      </c>
      <c r="Z652" t="s">
        <v>40</v>
      </c>
      <c r="AA652" t="s">
        <v>40</v>
      </c>
      <c r="AB652">
        <v>1</v>
      </c>
    </row>
    <row r="653" spans="1:28" x14ac:dyDescent="0.3">
      <c r="A653">
        <v>652</v>
      </c>
      <c r="B653" t="s">
        <v>41</v>
      </c>
      <c r="C653" t="s">
        <v>42</v>
      </c>
      <c r="D653" t="s">
        <v>43</v>
      </c>
      <c r="E653">
        <v>12</v>
      </c>
      <c r="F653" t="s">
        <v>44</v>
      </c>
      <c r="G653" t="s">
        <v>58</v>
      </c>
      <c r="H653">
        <v>1922</v>
      </c>
      <c r="I653" t="s">
        <v>45</v>
      </c>
      <c r="J653" t="s">
        <v>46</v>
      </c>
      <c r="K653" t="s">
        <v>47</v>
      </c>
      <c r="L653" t="s">
        <v>48</v>
      </c>
      <c r="M653">
        <v>4</v>
      </c>
      <c r="N653" t="s">
        <v>34</v>
      </c>
      <c r="O653" t="s">
        <v>35</v>
      </c>
      <c r="P653" t="s">
        <v>36</v>
      </c>
      <c r="Q653">
        <v>2</v>
      </c>
      <c r="R653" t="s">
        <v>60</v>
      </c>
      <c r="S653">
        <v>37</v>
      </c>
      <c r="T653" t="s">
        <v>98</v>
      </c>
      <c r="U653" t="s">
        <v>36</v>
      </c>
      <c r="V653" t="s">
        <v>38</v>
      </c>
      <c r="W653">
        <v>1</v>
      </c>
      <c r="X653" t="s">
        <v>57</v>
      </c>
      <c r="Y653">
        <v>1</v>
      </c>
      <c r="Z653" t="s">
        <v>51</v>
      </c>
      <c r="AA653" t="s">
        <v>40</v>
      </c>
      <c r="AB653">
        <v>2</v>
      </c>
    </row>
    <row r="654" spans="1:28" x14ac:dyDescent="0.3">
      <c r="A654">
        <v>653</v>
      </c>
      <c r="B654" t="s">
        <v>41</v>
      </c>
      <c r="C654" t="s">
        <v>27</v>
      </c>
      <c r="D654" t="s">
        <v>28</v>
      </c>
      <c r="E654">
        <v>24</v>
      </c>
      <c r="F654" t="s">
        <v>44</v>
      </c>
      <c r="G654" t="s">
        <v>63</v>
      </c>
      <c r="H654">
        <v>2303</v>
      </c>
      <c r="I654" t="s">
        <v>45</v>
      </c>
      <c r="J654" t="s">
        <v>46</v>
      </c>
      <c r="K654" t="s">
        <v>32</v>
      </c>
      <c r="L654" t="s">
        <v>33</v>
      </c>
      <c r="M654">
        <v>4</v>
      </c>
      <c r="N654" t="s">
        <v>34</v>
      </c>
      <c r="O654" t="s">
        <v>35</v>
      </c>
      <c r="P654" t="s">
        <v>87</v>
      </c>
      <c r="Q654">
        <v>1</v>
      </c>
      <c r="R654" t="s">
        <v>37</v>
      </c>
      <c r="S654">
        <v>45</v>
      </c>
      <c r="T654" t="s">
        <v>97</v>
      </c>
      <c r="U654" t="s">
        <v>36</v>
      </c>
      <c r="V654" t="s">
        <v>38</v>
      </c>
      <c r="W654">
        <v>1</v>
      </c>
      <c r="X654" t="s">
        <v>39</v>
      </c>
      <c r="Y654">
        <v>1</v>
      </c>
      <c r="Z654" t="s">
        <v>51</v>
      </c>
      <c r="AA654" t="s">
        <v>40</v>
      </c>
      <c r="AB654">
        <v>2</v>
      </c>
    </row>
    <row r="655" spans="1:28" x14ac:dyDescent="0.3">
      <c r="A655">
        <v>654</v>
      </c>
      <c r="B655" t="s">
        <v>41</v>
      </c>
      <c r="C655" t="s">
        <v>42</v>
      </c>
      <c r="D655" t="s">
        <v>43</v>
      </c>
      <c r="E655">
        <v>36</v>
      </c>
      <c r="F655" t="s">
        <v>62</v>
      </c>
      <c r="G655" t="s">
        <v>63</v>
      </c>
      <c r="H655">
        <v>8086</v>
      </c>
      <c r="I655" t="s">
        <v>79</v>
      </c>
      <c r="J655" t="s">
        <v>80</v>
      </c>
      <c r="K655" t="s">
        <v>32</v>
      </c>
      <c r="L655" t="s">
        <v>33</v>
      </c>
      <c r="M655">
        <v>2</v>
      </c>
      <c r="N655" t="s">
        <v>34</v>
      </c>
      <c r="O655" t="s">
        <v>35</v>
      </c>
      <c r="P655" t="s">
        <v>36</v>
      </c>
      <c r="Q655">
        <v>4</v>
      </c>
      <c r="R655" t="s">
        <v>68</v>
      </c>
      <c r="S655">
        <v>42</v>
      </c>
      <c r="T655" t="s">
        <v>97</v>
      </c>
      <c r="U655" t="s">
        <v>36</v>
      </c>
      <c r="V655" t="s">
        <v>38</v>
      </c>
      <c r="W655">
        <v>4</v>
      </c>
      <c r="X655" t="s">
        <v>70</v>
      </c>
      <c r="Y655">
        <v>1</v>
      </c>
      <c r="Z655" t="s">
        <v>40</v>
      </c>
      <c r="AA655" t="s">
        <v>40</v>
      </c>
      <c r="AB655">
        <v>2</v>
      </c>
    </row>
    <row r="656" spans="1:28" x14ac:dyDescent="0.3">
      <c r="A656">
        <v>655</v>
      </c>
      <c r="B656" t="s">
        <v>26</v>
      </c>
      <c r="C656" t="s">
        <v>52</v>
      </c>
      <c r="D656" t="s">
        <v>53</v>
      </c>
      <c r="E656">
        <v>24</v>
      </c>
      <c r="F656" t="s">
        <v>29</v>
      </c>
      <c r="G656" t="s">
        <v>67</v>
      </c>
      <c r="H656">
        <v>2346</v>
      </c>
      <c r="I656" t="s">
        <v>45</v>
      </c>
      <c r="J656" t="s">
        <v>46</v>
      </c>
      <c r="K656" t="s">
        <v>55</v>
      </c>
      <c r="L656" t="s">
        <v>56</v>
      </c>
      <c r="M656">
        <v>4</v>
      </c>
      <c r="N656" t="s">
        <v>34</v>
      </c>
      <c r="O656" t="s">
        <v>35</v>
      </c>
      <c r="P656" t="s">
        <v>36</v>
      </c>
      <c r="Q656">
        <v>3</v>
      </c>
      <c r="R656" t="s">
        <v>68</v>
      </c>
      <c r="S656">
        <v>35</v>
      </c>
      <c r="T656" t="s">
        <v>98</v>
      </c>
      <c r="U656" t="s">
        <v>36</v>
      </c>
      <c r="V656" t="s">
        <v>38</v>
      </c>
      <c r="W656">
        <v>2</v>
      </c>
      <c r="X656" t="s">
        <v>39</v>
      </c>
      <c r="Y656">
        <v>1</v>
      </c>
      <c r="Z656" t="s">
        <v>40</v>
      </c>
      <c r="AA656" t="s">
        <v>40</v>
      </c>
      <c r="AB656">
        <v>1</v>
      </c>
    </row>
    <row r="657" spans="1:28" x14ac:dyDescent="0.3">
      <c r="A657">
        <v>656</v>
      </c>
      <c r="B657" t="s">
        <v>26</v>
      </c>
      <c r="C657" t="s">
        <v>27</v>
      </c>
      <c r="D657" t="s">
        <v>28</v>
      </c>
      <c r="E657">
        <v>14</v>
      </c>
      <c r="F657" t="s">
        <v>44</v>
      </c>
      <c r="G657" t="s">
        <v>63</v>
      </c>
      <c r="H657">
        <v>3973</v>
      </c>
      <c r="I657" t="s">
        <v>45</v>
      </c>
      <c r="J657" t="s">
        <v>46</v>
      </c>
      <c r="K657" t="s">
        <v>74</v>
      </c>
      <c r="L657" t="s">
        <v>74</v>
      </c>
      <c r="M657">
        <v>1</v>
      </c>
      <c r="N657" t="s">
        <v>34</v>
      </c>
      <c r="O657" t="s">
        <v>35</v>
      </c>
      <c r="P657" t="s">
        <v>36</v>
      </c>
      <c r="Q657">
        <v>4</v>
      </c>
      <c r="R657" t="s">
        <v>64</v>
      </c>
      <c r="S657">
        <v>22</v>
      </c>
      <c r="T657" t="s">
        <v>96</v>
      </c>
      <c r="U657" t="s">
        <v>36</v>
      </c>
      <c r="V657" t="s">
        <v>61</v>
      </c>
      <c r="W657">
        <v>1</v>
      </c>
      <c r="X657" t="s">
        <v>39</v>
      </c>
      <c r="Y657">
        <v>1</v>
      </c>
      <c r="Z657" t="s">
        <v>51</v>
      </c>
      <c r="AA657" t="s">
        <v>40</v>
      </c>
      <c r="AB657">
        <v>1</v>
      </c>
    </row>
    <row r="658" spans="1:28" x14ac:dyDescent="0.3">
      <c r="A658">
        <v>657</v>
      </c>
      <c r="B658" t="s">
        <v>41</v>
      </c>
      <c r="C658" t="s">
        <v>42</v>
      </c>
      <c r="D658" t="s">
        <v>43</v>
      </c>
      <c r="E658">
        <v>12</v>
      </c>
      <c r="F658" t="s">
        <v>44</v>
      </c>
      <c r="G658" t="s">
        <v>63</v>
      </c>
      <c r="H658">
        <v>888</v>
      </c>
      <c r="I658" t="s">
        <v>45</v>
      </c>
      <c r="J658" t="s">
        <v>46</v>
      </c>
      <c r="K658" t="s">
        <v>32</v>
      </c>
      <c r="L658" t="s">
        <v>33</v>
      </c>
      <c r="M658">
        <v>4</v>
      </c>
      <c r="N658" t="s">
        <v>34</v>
      </c>
      <c r="O658" t="s">
        <v>35</v>
      </c>
      <c r="P658" t="s">
        <v>36</v>
      </c>
      <c r="Q658">
        <v>4</v>
      </c>
      <c r="R658" t="s">
        <v>68</v>
      </c>
      <c r="S658">
        <v>41</v>
      </c>
      <c r="T658" t="s">
        <v>97</v>
      </c>
      <c r="U658" t="s">
        <v>82</v>
      </c>
      <c r="V658" t="s">
        <v>38</v>
      </c>
      <c r="W658">
        <v>1</v>
      </c>
      <c r="X658" t="s">
        <v>57</v>
      </c>
      <c r="Y658">
        <v>2</v>
      </c>
      <c r="Z658" t="s">
        <v>51</v>
      </c>
      <c r="AA658" t="s">
        <v>40</v>
      </c>
      <c r="AB658">
        <v>2</v>
      </c>
    </row>
    <row r="659" spans="1:28" x14ac:dyDescent="0.3">
      <c r="A659">
        <v>658</v>
      </c>
      <c r="B659" t="s">
        <v>26</v>
      </c>
      <c r="C659" t="s">
        <v>52</v>
      </c>
      <c r="D659" t="s">
        <v>53</v>
      </c>
      <c r="E659">
        <v>48</v>
      </c>
      <c r="F659" t="s">
        <v>44</v>
      </c>
      <c r="G659" t="s">
        <v>30</v>
      </c>
      <c r="H659">
        <v>10222</v>
      </c>
      <c r="I659" t="s">
        <v>31</v>
      </c>
      <c r="J659" t="s">
        <v>31</v>
      </c>
      <c r="K659" t="s">
        <v>55</v>
      </c>
      <c r="L659" t="s">
        <v>56</v>
      </c>
      <c r="M659">
        <v>4</v>
      </c>
      <c r="N659" t="s">
        <v>34</v>
      </c>
      <c r="O659" t="s">
        <v>35</v>
      </c>
      <c r="P659" t="s">
        <v>36</v>
      </c>
      <c r="Q659">
        <v>3</v>
      </c>
      <c r="R659" t="s">
        <v>68</v>
      </c>
      <c r="S659">
        <v>37</v>
      </c>
      <c r="T659" t="s">
        <v>98</v>
      </c>
      <c r="U659" t="s">
        <v>86</v>
      </c>
      <c r="V659" t="s">
        <v>38</v>
      </c>
      <c r="W659">
        <v>1</v>
      </c>
      <c r="X659" t="s">
        <v>39</v>
      </c>
      <c r="Y659">
        <v>1</v>
      </c>
      <c r="Z659" t="s">
        <v>40</v>
      </c>
      <c r="AA659" t="s">
        <v>40</v>
      </c>
      <c r="AB659">
        <v>1</v>
      </c>
    </row>
    <row r="660" spans="1:28" x14ac:dyDescent="0.3">
      <c r="A660">
        <v>659</v>
      </c>
      <c r="B660" t="s">
        <v>26</v>
      </c>
      <c r="C660" t="s">
        <v>42</v>
      </c>
      <c r="D660" t="s">
        <v>43</v>
      </c>
      <c r="E660">
        <v>30</v>
      </c>
      <c r="F660" t="s">
        <v>81</v>
      </c>
      <c r="G660" t="s">
        <v>78</v>
      </c>
      <c r="H660">
        <v>4221</v>
      </c>
      <c r="I660" t="s">
        <v>45</v>
      </c>
      <c r="J660" t="s">
        <v>46</v>
      </c>
      <c r="K660" t="s">
        <v>47</v>
      </c>
      <c r="L660" t="s">
        <v>48</v>
      </c>
      <c r="M660">
        <v>2</v>
      </c>
      <c r="N660" t="s">
        <v>49</v>
      </c>
      <c r="O660" t="s">
        <v>50</v>
      </c>
      <c r="P660" t="s">
        <v>36</v>
      </c>
      <c r="Q660">
        <v>1</v>
      </c>
      <c r="R660" t="s">
        <v>68</v>
      </c>
      <c r="S660">
        <v>28</v>
      </c>
      <c r="T660" t="s">
        <v>98</v>
      </c>
      <c r="U660" t="s">
        <v>36</v>
      </c>
      <c r="V660" t="s">
        <v>38</v>
      </c>
      <c r="W660">
        <v>2</v>
      </c>
      <c r="X660" t="s">
        <v>39</v>
      </c>
      <c r="Y660">
        <v>1</v>
      </c>
      <c r="Z660" t="s">
        <v>51</v>
      </c>
      <c r="AA660" t="s">
        <v>40</v>
      </c>
      <c r="AB660">
        <v>1</v>
      </c>
    </row>
    <row r="661" spans="1:28" x14ac:dyDescent="0.3">
      <c r="A661">
        <v>660</v>
      </c>
      <c r="B661" t="s">
        <v>26</v>
      </c>
      <c r="C661" t="s">
        <v>42</v>
      </c>
      <c r="D661" t="s">
        <v>43</v>
      </c>
      <c r="E661">
        <v>18</v>
      </c>
      <c r="F661" t="s">
        <v>29</v>
      </c>
      <c r="G661" t="s">
        <v>58</v>
      </c>
      <c r="H661">
        <v>6361</v>
      </c>
      <c r="I661" t="s">
        <v>45</v>
      </c>
      <c r="J661" t="s">
        <v>46</v>
      </c>
      <c r="K661" t="s">
        <v>32</v>
      </c>
      <c r="L661" t="s">
        <v>33</v>
      </c>
      <c r="M661">
        <v>2</v>
      </c>
      <c r="N661" t="s">
        <v>34</v>
      </c>
      <c r="O661" t="s">
        <v>35</v>
      </c>
      <c r="P661" t="s">
        <v>36</v>
      </c>
      <c r="Q661">
        <v>1</v>
      </c>
      <c r="R661" t="s">
        <v>64</v>
      </c>
      <c r="S661">
        <v>41</v>
      </c>
      <c r="T661" t="s">
        <v>97</v>
      </c>
      <c r="U661" t="s">
        <v>36</v>
      </c>
      <c r="V661" t="s">
        <v>38</v>
      </c>
      <c r="W661">
        <v>1</v>
      </c>
      <c r="X661" t="s">
        <v>39</v>
      </c>
      <c r="Y661">
        <v>1</v>
      </c>
      <c r="Z661" t="s">
        <v>40</v>
      </c>
      <c r="AA661" t="s">
        <v>40</v>
      </c>
      <c r="AB661">
        <v>1</v>
      </c>
    </row>
    <row r="662" spans="1:28" x14ac:dyDescent="0.3">
      <c r="A662">
        <v>661</v>
      </c>
      <c r="B662" t="s">
        <v>26</v>
      </c>
      <c r="C662" t="s">
        <v>83</v>
      </c>
      <c r="D662" t="s">
        <v>84</v>
      </c>
      <c r="E662">
        <v>12</v>
      </c>
      <c r="F662" t="s">
        <v>44</v>
      </c>
      <c r="G662" t="s">
        <v>30</v>
      </c>
      <c r="H662">
        <v>1297</v>
      </c>
      <c r="I662" t="s">
        <v>45</v>
      </c>
      <c r="J662" t="s">
        <v>46</v>
      </c>
      <c r="K662" t="s">
        <v>47</v>
      </c>
      <c r="L662" t="s">
        <v>48</v>
      </c>
      <c r="M662">
        <v>3</v>
      </c>
      <c r="N662" t="s">
        <v>34</v>
      </c>
      <c r="O662" t="s">
        <v>75</v>
      </c>
      <c r="P662" t="s">
        <v>36</v>
      </c>
      <c r="Q662">
        <v>4</v>
      </c>
      <c r="R662" t="s">
        <v>37</v>
      </c>
      <c r="S662">
        <v>23</v>
      </c>
      <c r="T662" t="s">
        <v>96</v>
      </c>
      <c r="U662" t="s">
        <v>36</v>
      </c>
      <c r="V662" t="s">
        <v>69</v>
      </c>
      <c r="W662">
        <v>1</v>
      </c>
      <c r="X662" t="s">
        <v>39</v>
      </c>
      <c r="Y662">
        <v>1</v>
      </c>
      <c r="Z662" t="s">
        <v>51</v>
      </c>
      <c r="AA662" t="s">
        <v>40</v>
      </c>
      <c r="AB662">
        <v>1</v>
      </c>
    </row>
    <row r="663" spans="1:28" x14ac:dyDescent="0.3">
      <c r="A663">
        <v>662</v>
      </c>
      <c r="B663" t="s">
        <v>41</v>
      </c>
      <c r="C663" t="s">
        <v>27</v>
      </c>
      <c r="D663" t="s">
        <v>28</v>
      </c>
      <c r="E663">
        <v>12</v>
      </c>
      <c r="F663" t="s">
        <v>44</v>
      </c>
      <c r="G663" t="s">
        <v>63</v>
      </c>
      <c r="H663">
        <v>900</v>
      </c>
      <c r="I663" t="s">
        <v>31</v>
      </c>
      <c r="J663" t="s">
        <v>31</v>
      </c>
      <c r="K663" t="s">
        <v>47</v>
      </c>
      <c r="L663" t="s">
        <v>48</v>
      </c>
      <c r="M663">
        <v>4</v>
      </c>
      <c r="N663" t="s">
        <v>34</v>
      </c>
      <c r="O663" t="s">
        <v>75</v>
      </c>
      <c r="P663" t="s">
        <v>36</v>
      </c>
      <c r="Q663">
        <v>2</v>
      </c>
      <c r="R663" t="s">
        <v>68</v>
      </c>
      <c r="S663">
        <v>23</v>
      </c>
      <c r="T663" t="s">
        <v>96</v>
      </c>
      <c r="U663" t="s">
        <v>36</v>
      </c>
      <c r="V663" t="s">
        <v>38</v>
      </c>
      <c r="W663">
        <v>1</v>
      </c>
      <c r="X663" t="s">
        <v>39</v>
      </c>
      <c r="Y663">
        <v>1</v>
      </c>
      <c r="Z663" t="s">
        <v>51</v>
      </c>
      <c r="AA663" t="s">
        <v>40</v>
      </c>
      <c r="AB663">
        <v>2</v>
      </c>
    </row>
    <row r="664" spans="1:28" x14ac:dyDescent="0.3">
      <c r="A664">
        <v>663</v>
      </c>
      <c r="B664" t="s">
        <v>26</v>
      </c>
      <c r="C664" t="s">
        <v>52</v>
      </c>
      <c r="D664" t="s">
        <v>53</v>
      </c>
      <c r="E664">
        <v>21</v>
      </c>
      <c r="F664" t="s">
        <v>44</v>
      </c>
      <c r="G664" t="s">
        <v>58</v>
      </c>
      <c r="H664">
        <v>2241</v>
      </c>
      <c r="I664" t="s">
        <v>45</v>
      </c>
      <c r="J664" t="s">
        <v>46</v>
      </c>
      <c r="K664" t="s">
        <v>32</v>
      </c>
      <c r="L664" t="s">
        <v>33</v>
      </c>
      <c r="M664">
        <v>4</v>
      </c>
      <c r="N664" t="s">
        <v>34</v>
      </c>
      <c r="O664" t="s">
        <v>35</v>
      </c>
      <c r="P664" t="s">
        <v>36</v>
      </c>
      <c r="Q664">
        <v>2</v>
      </c>
      <c r="R664" t="s">
        <v>37</v>
      </c>
      <c r="S664">
        <v>50</v>
      </c>
      <c r="T664" t="s">
        <v>97</v>
      </c>
      <c r="U664" t="s">
        <v>36</v>
      </c>
      <c r="V664" t="s">
        <v>38</v>
      </c>
      <c r="W664">
        <v>2</v>
      </c>
      <c r="X664" t="s">
        <v>39</v>
      </c>
      <c r="Y664">
        <v>1</v>
      </c>
      <c r="Z664" t="s">
        <v>51</v>
      </c>
      <c r="AA664" t="s">
        <v>40</v>
      </c>
      <c r="AB664">
        <v>1</v>
      </c>
    </row>
    <row r="665" spans="1:28" x14ac:dyDescent="0.3">
      <c r="A665">
        <v>664</v>
      </c>
      <c r="B665" t="s">
        <v>26</v>
      </c>
      <c r="C665" t="s">
        <v>42</v>
      </c>
      <c r="D665" t="s">
        <v>43</v>
      </c>
      <c r="E665">
        <v>6</v>
      </c>
      <c r="F665" t="s">
        <v>62</v>
      </c>
      <c r="G665" t="s">
        <v>58</v>
      </c>
      <c r="H665">
        <v>1050</v>
      </c>
      <c r="I665" t="s">
        <v>45</v>
      </c>
      <c r="J665" t="s">
        <v>46</v>
      </c>
      <c r="K665" t="s">
        <v>74</v>
      </c>
      <c r="L665" t="s">
        <v>74</v>
      </c>
      <c r="M665">
        <v>4</v>
      </c>
      <c r="N665" t="s">
        <v>34</v>
      </c>
      <c r="O665" t="s">
        <v>35</v>
      </c>
      <c r="P665" t="s">
        <v>36</v>
      </c>
      <c r="Q665">
        <v>1</v>
      </c>
      <c r="R665" t="s">
        <v>60</v>
      </c>
      <c r="S665">
        <v>35</v>
      </c>
      <c r="T665" t="s">
        <v>98</v>
      </c>
      <c r="U665" t="s">
        <v>86</v>
      </c>
      <c r="V665" t="s">
        <v>38</v>
      </c>
      <c r="W665">
        <v>2</v>
      </c>
      <c r="X665" t="s">
        <v>70</v>
      </c>
      <c r="Y665">
        <v>1</v>
      </c>
      <c r="Z665" t="s">
        <v>40</v>
      </c>
      <c r="AA665" t="s">
        <v>40</v>
      </c>
      <c r="AB665">
        <v>1</v>
      </c>
    </row>
    <row r="666" spans="1:28" x14ac:dyDescent="0.3">
      <c r="A666">
        <v>665</v>
      </c>
      <c r="B666" t="s">
        <v>26</v>
      </c>
      <c r="C666" t="s">
        <v>83</v>
      </c>
      <c r="D666" t="s">
        <v>84</v>
      </c>
      <c r="E666">
        <v>6</v>
      </c>
      <c r="F666" t="s">
        <v>29</v>
      </c>
      <c r="G666" t="s">
        <v>54</v>
      </c>
      <c r="H666">
        <v>1047</v>
      </c>
      <c r="I666" t="s">
        <v>45</v>
      </c>
      <c r="J666" t="s">
        <v>46</v>
      </c>
      <c r="K666" t="s">
        <v>47</v>
      </c>
      <c r="L666" t="s">
        <v>48</v>
      </c>
      <c r="M666">
        <v>2</v>
      </c>
      <c r="N666" t="s">
        <v>49</v>
      </c>
      <c r="O666" t="s">
        <v>50</v>
      </c>
      <c r="P666" t="s">
        <v>36</v>
      </c>
      <c r="Q666">
        <v>4</v>
      </c>
      <c r="R666" t="s">
        <v>60</v>
      </c>
      <c r="S666">
        <v>50</v>
      </c>
      <c r="T666" t="s">
        <v>97</v>
      </c>
      <c r="U666" t="s">
        <v>36</v>
      </c>
      <c r="V666" t="s">
        <v>38</v>
      </c>
      <c r="W666">
        <v>1</v>
      </c>
      <c r="X666" t="s">
        <v>57</v>
      </c>
      <c r="Y666">
        <v>1</v>
      </c>
      <c r="Z666" t="s">
        <v>51</v>
      </c>
      <c r="AA666" t="s">
        <v>40</v>
      </c>
      <c r="AB666">
        <v>1</v>
      </c>
    </row>
    <row r="667" spans="1:28" x14ac:dyDescent="0.3">
      <c r="A667">
        <v>666</v>
      </c>
      <c r="B667" t="s">
        <v>26</v>
      </c>
      <c r="C667" t="s">
        <v>52</v>
      </c>
      <c r="D667" t="s">
        <v>53</v>
      </c>
      <c r="E667">
        <v>24</v>
      </c>
      <c r="F667" t="s">
        <v>29</v>
      </c>
      <c r="G667" t="s">
        <v>91</v>
      </c>
      <c r="H667">
        <v>6314</v>
      </c>
      <c r="I667" t="s">
        <v>45</v>
      </c>
      <c r="J667" t="s">
        <v>46</v>
      </c>
      <c r="K667" t="s">
        <v>74</v>
      </c>
      <c r="L667" t="s">
        <v>74</v>
      </c>
      <c r="M667">
        <v>4</v>
      </c>
      <c r="N667" t="s">
        <v>34</v>
      </c>
      <c r="O667" t="s">
        <v>35</v>
      </c>
      <c r="P667" t="s">
        <v>87</v>
      </c>
      <c r="Q667">
        <v>2</v>
      </c>
      <c r="R667" t="s">
        <v>64</v>
      </c>
      <c r="S667">
        <v>27</v>
      </c>
      <c r="T667" t="s">
        <v>98</v>
      </c>
      <c r="U667" t="s">
        <v>82</v>
      </c>
      <c r="V667" t="s">
        <v>38</v>
      </c>
      <c r="W667">
        <v>2</v>
      </c>
      <c r="X667" t="s">
        <v>70</v>
      </c>
      <c r="Y667">
        <v>1</v>
      </c>
      <c r="Z667" t="s">
        <v>40</v>
      </c>
      <c r="AA667" t="s">
        <v>40</v>
      </c>
      <c r="AB667">
        <v>1</v>
      </c>
    </row>
    <row r="668" spans="1:28" x14ac:dyDescent="0.3">
      <c r="A668">
        <v>667</v>
      </c>
      <c r="B668" t="s">
        <v>26</v>
      </c>
      <c r="C668" t="s">
        <v>42</v>
      </c>
      <c r="D668" t="s">
        <v>43</v>
      </c>
      <c r="E668">
        <v>30</v>
      </c>
      <c r="F668" t="s">
        <v>85</v>
      </c>
      <c r="G668" t="s">
        <v>58</v>
      </c>
      <c r="H668">
        <v>3496</v>
      </c>
      <c r="I668" t="s">
        <v>71</v>
      </c>
      <c r="J668" t="s">
        <v>72</v>
      </c>
      <c r="K668" t="s">
        <v>47</v>
      </c>
      <c r="L668" t="s">
        <v>48</v>
      </c>
      <c r="M668">
        <v>4</v>
      </c>
      <c r="N668" t="s">
        <v>34</v>
      </c>
      <c r="O668" t="s">
        <v>35</v>
      </c>
      <c r="P668" t="s">
        <v>36</v>
      </c>
      <c r="Q668">
        <v>2</v>
      </c>
      <c r="R668" t="s">
        <v>68</v>
      </c>
      <c r="S668">
        <v>34</v>
      </c>
      <c r="T668" t="s">
        <v>98</v>
      </c>
      <c r="U668" t="s">
        <v>86</v>
      </c>
      <c r="V668" t="s">
        <v>38</v>
      </c>
      <c r="W668">
        <v>1</v>
      </c>
      <c r="X668" t="s">
        <v>39</v>
      </c>
      <c r="Y668">
        <v>2</v>
      </c>
      <c r="Z668" t="s">
        <v>40</v>
      </c>
      <c r="AA668" t="s">
        <v>40</v>
      </c>
      <c r="AB668">
        <v>1</v>
      </c>
    </row>
    <row r="669" spans="1:28" x14ac:dyDescent="0.3">
      <c r="A669">
        <v>668</v>
      </c>
      <c r="B669" t="s">
        <v>26</v>
      </c>
      <c r="C669" t="s">
        <v>52</v>
      </c>
      <c r="D669" t="s">
        <v>53</v>
      </c>
      <c r="E669">
        <v>48</v>
      </c>
      <c r="F669" t="s">
        <v>85</v>
      </c>
      <c r="G669" t="s">
        <v>78</v>
      </c>
      <c r="H669">
        <v>3609</v>
      </c>
      <c r="I669" t="s">
        <v>45</v>
      </c>
      <c r="J669" t="s">
        <v>46</v>
      </c>
      <c r="K669" t="s">
        <v>47</v>
      </c>
      <c r="L669" t="s">
        <v>48</v>
      </c>
      <c r="M669">
        <v>1</v>
      </c>
      <c r="N669" t="s">
        <v>49</v>
      </c>
      <c r="O669" t="s">
        <v>50</v>
      </c>
      <c r="P669" t="s">
        <v>36</v>
      </c>
      <c r="Q669">
        <v>1</v>
      </c>
      <c r="R669" t="s">
        <v>37</v>
      </c>
      <c r="S669">
        <v>27</v>
      </c>
      <c r="T669" t="s">
        <v>98</v>
      </c>
      <c r="U669" t="s">
        <v>86</v>
      </c>
      <c r="V669" t="s">
        <v>38</v>
      </c>
      <c r="W669">
        <v>1</v>
      </c>
      <c r="X669" t="s">
        <v>39</v>
      </c>
      <c r="Y669">
        <v>1</v>
      </c>
      <c r="Z669" t="s">
        <v>51</v>
      </c>
      <c r="AA669" t="s">
        <v>40</v>
      </c>
      <c r="AB669">
        <v>1</v>
      </c>
    </row>
    <row r="670" spans="1:28" x14ac:dyDescent="0.3">
      <c r="A670">
        <v>669</v>
      </c>
      <c r="B670" t="s">
        <v>41</v>
      </c>
      <c r="C670" t="s">
        <v>27</v>
      </c>
      <c r="D670" t="s">
        <v>28</v>
      </c>
      <c r="E670">
        <v>12</v>
      </c>
      <c r="F670" t="s">
        <v>29</v>
      </c>
      <c r="G670" t="s">
        <v>63</v>
      </c>
      <c r="H670">
        <v>4843</v>
      </c>
      <c r="I670" t="s">
        <v>45</v>
      </c>
      <c r="J670" t="s">
        <v>46</v>
      </c>
      <c r="K670" t="s">
        <v>32</v>
      </c>
      <c r="L670" t="s">
        <v>33</v>
      </c>
      <c r="M670">
        <v>3</v>
      </c>
      <c r="N670" t="s">
        <v>34</v>
      </c>
      <c r="O670" t="s">
        <v>35</v>
      </c>
      <c r="P670" t="s">
        <v>87</v>
      </c>
      <c r="Q670">
        <v>4</v>
      </c>
      <c r="R670" t="s">
        <v>60</v>
      </c>
      <c r="S670">
        <v>43</v>
      </c>
      <c r="T670" t="s">
        <v>97</v>
      </c>
      <c r="U670" t="s">
        <v>36</v>
      </c>
      <c r="V670" t="s">
        <v>69</v>
      </c>
      <c r="W670">
        <v>2</v>
      </c>
      <c r="X670" t="s">
        <v>39</v>
      </c>
      <c r="Y670">
        <v>1</v>
      </c>
      <c r="Z670" t="s">
        <v>40</v>
      </c>
      <c r="AA670" t="s">
        <v>40</v>
      </c>
      <c r="AB670">
        <v>2</v>
      </c>
    </row>
    <row r="671" spans="1:28" x14ac:dyDescent="0.3">
      <c r="A671">
        <v>670</v>
      </c>
      <c r="B671" t="s">
        <v>26</v>
      </c>
      <c r="C671" t="s">
        <v>83</v>
      </c>
      <c r="D671" t="s">
        <v>84</v>
      </c>
      <c r="E671">
        <v>30</v>
      </c>
      <c r="F671" t="s">
        <v>29</v>
      </c>
      <c r="G671" t="s">
        <v>30</v>
      </c>
      <c r="H671">
        <v>3017</v>
      </c>
      <c r="I671" t="s">
        <v>45</v>
      </c>
      <c r="J671" t="s">
        <v>46</v>
      </c>
      <c r="K671" t="s">
        <v>32</v>
      </c>
      <c r="L671" t="s">
        <v>33</v>
      </c>
      <c r="M671">
        <v>4</v>
      </c>
      <c r="N671" t="s">
        <v>34</v>
      </c>
      <c r="O671" t="s">
        <v>35</v>
      </c>
      <c r="P671" t="s">
        <v>36</v>
      </c>
      <c r="Q671">
        <v>4</v>
      </c>
      <c r="R671" t="s">
        <v>60</v>
      </c>
      <c r="S671">
        <v>47</v>
      </c>
      <c r="T671" t="s">
        <v>97</v>
      </c>
      <c r="U671" t="s">
        <v>36</v>
      </c>
      <c r="V671" t="s">
        <v>38</v>
      </c>
      <c r="W671">
        <v>1</v>
      </c>
      <c r="X671" t="s">
        <v>39</v>
      </c>
      <c r="Y671">
        <v>1</v>
      </c>
      <c r="Z671" t="s">
        <v>51</v>
      </c>
      <c r="AA671" t="s">
        <v>40</v>
      </c>
      <c r="AB671">
        <v>1</v>
      </c>
    </row>
    <row r="672" spans="1:28" x14ac:dyDescent="0.3">
      <c r="A672">
        <v>671</v>
      </c>
      <c r="B672" t="s">
        <v>26</v>
      </c>
      <c r="C672" t="s">
        <v>52</v>
      </c>
      <c r="D672" t="s">
        <v>53</v>
      </c>
      <c r="E672">
        <v>24</v>
      </c>
      <c r="F672" t="s">
        <v>29</v>
      </c>
      <c r="G672" t="s">
        <v>78</v>
      </c>
      <c r="H672">
        <v>4139</v>
      </c>
      <c r="I672" t="s">
        <v>79</v>
      </c>
      <c r="J672" t="s">
        <v>80</v>
      </c>
      <c r="K672" t="s">
        <v>47</v>
      </c>
      <c r="L672" t="s">
        <v>48</v>
      </c>
      <c r="M672">
        <v>3</v>
      </c>
      <c r="N672" t="s">
        <v>34</v>
      </c>
      <c r="O672" t="s">
        <v>35</v>
      </c>
      <c r="P672" t="s">
        <v>36</v>
      </c>
      <c r="Q672">
        <v>3</v>
      </c>
      <c r="R672" t="s">
        <v>60</v>
      </c>
      <c r="S672">
        <v>27</v>
      </c>
      <c r="T672" t="s">
        <v>98</v>
      </c>
      <c r="U672" t="s">
        <v>36</v>
      </c>
      <c r="V672" t="s">
        <v>38</v>
      </c>
      <c r="W672">
        <v>2</v>
      </c>
      <c r="X672" t="s">
        <v>57</v>
      </c>
      <c r="Y672">
        <v>1</v>
      </c>
      <c r="Z672" t="s">
        <v>40</v>
      </c>
      <c r="AA672" t="s">
        <v>40</v>
      </c>
      <c r="AB672">
        <v>1</v>
      </c>
    </row>
    <row r="673" spans="1:28" x14ac:dyDescent="0.3">
      <c r="A673">
        <v>672</v>
      </c>
      <c r="B673" t="s">
        <v>26</v>
      </c>
      <c r="C673" t="s">
        <v>52</v>
      </c>
      <c r="D673" t="s">
        <v>53</v>
      </c>
      <c r="E673">
        <v>36</v>
      </c>
      <c r="F673" t="s">
        <v>44</v>
      </c>
      <c r="G673" t="s">
        <v>78</v>
      </c>
      <c r="H673">
        <v>5742</v>
      </c>
      <c r="I673" t="s">
        <v>79</v>
      </c>
      <c r="J673" t="s">
        <v>80</v>
      </c>
      <c r="K673" t="s">
        <v>55</v>
      </c>
      <c r="L673" t="s">
        <v>56</v>
      </c>
      <c r="M673">
        <v>2</v>
      </c>
      <c r="N673" t="s">
        <v>34</v>
      </c>
      <c r="O673" t="s">
        <v>35</v>
      </c>
      <c r="P673" t="s">
        <v>36</v>
      </c>
      <c r="Q673">
        <v>2</v>
      </c>
      <c r="R673" t="s">
        <v>68</v>
      </c>
      <c r="S673">
        <v>31</v>
      </c>
      <c r="T673" t="s">
        <v>98</v>
      </c>
      <c r="U673" t="s">
        <v>36</v>
      </c>
      <c r="V673" t="s">
        <v>38</v>
      </c>
      <c r="W673">
        <v>2</v>
      </c>
      <c r="X673" t="s">
        <v>39</v>
      </c>
      <c r="Y673">
        <v>1</v>
      </c>
      <c r="Z673" t="s">
        <v>40</v>
      </c>
      <c r="AA673" t="s">
        <v>40</v>
      </c>
      <c r="AB673">
        <v>1</v>
      </c>
    </row>
    <row r="674" spans="1:28" x14ac:dyDescent="0.3">
      <c r="A674">
        <v>673</v>
      </c>
      <c r="B674" t="s">
        <v>26</v>
      </c>
      <c r="C674" t="s">
        <v>52</v>
      </c>
      <c r="D674" t="s">
        <v>53</v>
      </c>
      <c r="E674">
        <v>60</v>
      </c>
      <c r="F674" t="s">
        <v>44</v>
      </c>
      <c r="G674" t="s">
        <v>63</v>
      </c>
      <c r="H674">
        <v>10366</v>
      </c>
      <c r="I674" t="s">
        <v>45</v>
      </c>
      <c r="J674" t="s">
        <v>46</v>
      </c>
      <c r="K674" t="s">
        <v>32</v>
      </c>
      <c r="L674" t="s">
        <v>33</v>
      </c>
      <c r="M674">
        <v>2</v>
      </c>
      <c r="N674" t="s">
        <v>34</v>
      </c>
      <c r="O674" t="s">
        <v>35</v>
      </c>
      <c r="P674" t="s">
        <v>36</v>
      </c>
      <c r="Q674">
        <v>4</v>
      </c>
      <c r="R674" t="s">
        <v>60</v>
      </c>
      <c r="S674">
        <v>42</v>
      </c>
      <c r="T674" t="s">
        <v>97</v>
      </c>
      <c r="U674" t="s">
        <v>36</v>
      </c>
      <c r="V674" t="s">
        <v>38</v>
      </c>
      <c r="W674">
        <v>1</v>
      </c>
      <c r="X674" t="s">
        <v>70</v>
      </c>
      <c r="Y674">
        <v>1</v>
      </c>
      <c r="Z674" t="s">
        <v>40</v>
      </c>
      <c r="AA674" t="s">
        <v>40</v>
      </c>
      <c r="AB674">
        <v>1</v>
      </c>
    </row>
    <row r="675" spans="1:28" x14ac:dyDescent="0.3">
      <c r="A675">
        <v>674</v>
      </c>
      <c r="B675" t="s">
        <v>26</v>
      </c>
      <c r="C675" t="s">
        <v>52</v>
      </c>
      <c r="D675" t="s">
        <v>53</v>
      </c>
      <c r="E675">
        <v>6</v>
      </c>
      <c r="F675" t="s">
        <v>29</v>
      </c>
      <c r="G675" t="s">
        <v>63</v>
      </c>
      <c r="H675">
        <v>2080</v>
      </c>
      <c r="I675" t="s">
        <v>65</v>
      </c>
      <c r="J675" t="s">
        <v>66</v>
      </c>
      <c r="K675" t="s">
        <v>47</v>
      </c>
      <c r="L675" t="s">
        <v>48</v>
      </c>
      <c r="M675">
        <v>1</v>
      </c>
      <c r="N675" t="s">
        <v>34</v>
      </c>
      <c r="O675" t="s">
        <v>75</v>
      </c>
      <c r="P675" t="s">
        <v>36</v>
      </c>
      <c r="Q675">
        <v>2</v>
      </c>
      <c r="R675" t="s">
        <v>68</v>
      </c>
      <c r="S675">
        <v>24</v>
      </c>
      <c r="T675" t="s">
        <v>96</v>
      </c>
      <c r="U675" t="s">
        <v>36</v>
      </c>
      <c r="V675" t="s">
        <v>38</v>
      </c>
      <c r="W675">
        <v>1</v>
      </c>
      <c r="X675" t="s">
        <v>39</v>
      </c>
      <c r="Y675">
        <v>1</v>
      </c>
      <c r="Z675" t="s">
        <v>51</v>
      </c>
      <c r="AA675" t="s">
        <v>40</v>
      </c>
      <c r="AB675">
        <v>1</v>
      </c>
    </row>
    <row r="676" spans="1:28" x14ac:dyDescent="0.3">
      <c r="A676">
        <v>675</v>
      </c>
      <c r="B676" t="s">
        <v>41</v>
      </c>
      <c r="C676" t="s">
        <v>52</v>
      </c>
      <c r="D676" t="s">
        <v>53</v>
      </c>
      <c r="E676">
        <v>21</v>
      </c>
      <c r="F676" t="s">
        <v>62</v>
      </c>
      <c r="G676" t="s">
        <v>78</v>
      </c>
      <c r="H676">
        <v>2580</v>
      </c>
      <c r="I676" t="s">
        <v>65</v>
      </c>
      <c r="J676" t="s">
        <v>66</v>
      </c>
      <c r="K676" t="s">
        <v>76</v>
      </c>
      <c r="L676" t="s">
        <v>77</v>
      </c>
      <c r="M676">
        <v>4</v>
      </c>
      <c r="N676" t="s">
        <v>34</v>
      </c>
      <c r="O676" t="s">
        <v>35</v>
      </c>
      <c r="P676" t="s">
        <v>36</v>
      </c>
      <c r="Q676">
        <v>2</v>
      </c>
      <c r="R676" t="s">
        <v>37</v>
      </c>
      <c r="S676">
        <v>41</v>
      </c>
      <c r="T676" t="s">
        <v>97</v>
      </c>
      <c r="U676" t="s">
        <v>82</v>
      </c>
      <c r="V676" t="s">
        <v>38</v>
      </c>
      <c r="W676">
        <v>1</v>
      </c>
      <c r="X676" t="s">
        <v>57</v>
      </c>
      <c r="Y676">
        <v>2</v>
      </c>
      <c r="Z676" t="s">
        <v>51</v>
      </c>
      <c r="AA676" t="s">
        <v>40</v>
      </c>
      <c r="AB676">
        <v>2</v>
      </c>
    </row>
    <row r="677" spans="1:28" x14ac:dyDescent="0.3">
      <c r="A677">
        <v>676</v>
      </c>
      <c r="B677" t="s">
        <v>26</v>
      </c>
      <c r="C677" t="s">
        <v>52</v>
      </c>
      <c r="D677" t="s">
        <v>53</v>
      </c>
      <c r="E677">
        <v>30</v>
      </c>
      <c r="F677" t="s">
        <v>29</v>
      </c>
      <c r="G677" t="s">
        <v>30</v>
      </c>
      <c r="H677">
        <v>4530</v>
      </c>
      <c r="I677" t="s">
        <v>45</v>
      </c>
      <c r="J677" t="s">
        <v>46</v>
      </c>
      <c r="K677" t="s">
        <v>55</v>
      </c>
      <c r="L677" t="s">
        <v>56</v>
      </c>
      <c r="M677">
        <v>4</v>
      </c>
      <c r="N677" t="s">
        <v>49</v>
      </c>
      <c r="O677" t="s">
        <v>50</v>
      </c>
      <c r="P677" t="s">
        <v>36</v>
      </c>
      <c r="Q677">
        <v>4</v>
      </c>
      <c r="R677" t="s">
        <v>68</v>
      </c>
      <c r="S677">
        <v>26</v>
      </c>
      <c r="T677" t="s">
        <v>98</v>
      </c>
      <c r="U677" t="s">
        <v>36</v>
      </c>
      <c r="V677" t="s">
        <v>69</v>
      </c>
      <c r="W677">
        <v>1</v>
      </c>
      <c r="X677" t="s">
        <v>70</v>
      </c>
      <c r="Y677">
        <v>1</v>
      </c>
      <c r="Z677" t="s">
        <v>40</v>
      </c>
      <c r="AA677" t="s">
        <v>40</v>
      </c>
      <c r="AB677">
        <v>1</v>
      </c>
    </row>
    <row r="678" spans="1:28" x14ac:dyDescent="0.3">
      <c r="A678">
        <v>677</v>
      </c>
      <c r="B678" t="s">
        <v>26</v>
      </c>
      <c r="C678" t="s">
        <v>52</v>
      </c>
      <c r="D678" t="s">
        <v>53</v>
      </c>
      <c r="E678">
        <v>24</v>
      </c>
      <c r="F678" t="s">
        <v>29</v>
      </c>
      <c r="G678" t="s">
        <v>58</v>
      </c>
      <c r="H678">
        <v>5150</v>
      </c>
      <c r="I678" t="s">
        <v>45</v>
      </c>
      <c r="J678" t="s">
        <v>46</v>
      </c>
      <c r="K678" t="s">
        <v>32</v>
      </c>
      <c r="L678" t="s">
        <v>33</v>
      </c>
      <c r="M678">
        <v>4</v>
      </c>
      <c r="N678" t="s">
        <v>34</v>
      </c>
      <c r="O678" t="s">
        <v>35</v>
      </c>
      <c r="P678" t="s">
        <v>36</v>
      </c>
      <c r="Q678">
        <v>4</v>
      </c>
      <c r="R678" t="s">
        <v>68</v>
      </c>
      <c r="S678">
        <v>33</v>
      </c>
      <c r="T678" t="s">
        <v>98</v>
      </c>
      <c r="U678" t="s">
        <v>36</v>
      </c>
      <c r="V678" t="s">
        <v>38</v>
      </c>
      <c r="W678">
        <v>1</v>
      </c>
      <c r="X678" t="s">
        <v>39</v>
      </c>
      <c r="Y678">
        <v>1</v>
      </c>
      <c r="Z678" t="s">
        <v>40</v>
      </c>
      <c r="AA678" t="s">
        <v>40</v>
      </c>
      <c r="AB678">
        <v>1</v>
      </c>
    </row>
    <row r="679" spans="1:28" x14ac:dyDescent="0.3">
      <c r="A679">
        <v>678</v>
      </c>
      <c r="B679" t="s">
        <v>41</v>
      </c>
      <c r="C679" t="s">
        <v>42</v>
      </c>
      <c r="D679" t="s">
        <v>43</v>
      </c>
      <c r="E679">
        <v>72</v>
      </c>
      <c r="F679" t="s">
        <v>44</v>
      </c>
      <c r="G679" t="s">
        <v>30</v>
      </c>
      <c r="H679">
        <v>5595</v>
      </c>
      <c r="I679" t="s">
        <v>79</v>
      </c>
      <c r="J679" t="s">
        <v>80</v>
      </c>
      <c r="K679" t="s">
        <v>47</v>
      </c>
      <c r="L679" t="s">
        <v>48</v>
      </c>
      <c r="M679">
        <v>2</v>
      </c>
      <c r="N679" t="s">
        <v>34</v>
      </c>
      <c r="O679" t="s">
        <v>75</v>
      </c>
      <c r="P679" t="s">
        <v>36</v>
      </c>
      <c r="Q679">
        <v>2</v>
      </c>
      <c r="R679" t="s">
        <v>68</v>
      </c>
      <c r="S679">
        <v>24</v>
      </c>
      <c r="T679" t="s">
        <v>96</v>
      </c>
      <c r="U679" t="s">
        <v>36</v>
      </c>
      <c r="V679" t="s">
        <v>38</v>
      </c>
      <c r="W679">
        <v>1</v>
      </c>
      <c r="X679" t="s">
        <v>39</v>
      </c>
      <c r="Y679">
        <v>1</v>
      </c>
      <c r="Z679" t="s">
        <v>51</v>
      </c>
      <c r="AA679" t="s">
        <v>40</v>
      </c>
      <c r="AB679">
        <v>2</v>
      </c>
    </row>
    <row r="680" spans="1:28" x14ac:dyDescent="0.3">
      <c r="A680">
        <v>679</v>
      </c>
      <c r="B680" t="s">
        <v>26</v>
      </c>
      <c r="C680" t="s">
        <v>27</v>
      </c>
      <c r="D680" t="s">
        <v>28</v>
      </c>
      <c r="E680">
        <v>24</v>
      </c>
      <c r="F680" t="s">
        <v>44</v>
      </c>
      <c r="G680" t="s">
        <v>30</v>
      </c>
      <c r="H680">
        <v>2384</v>
      </c>
      <c r="I680" t="s">
        <v>45</v>
      </c>
      <c r="J680" t="s">
        <v>46</v>
      </c>
      <c r="K680" t="s">
        <v>32</v>
      </c>
      <c r="L680" t="s">
        <v>33</v>
      </c>
      <c r="M680">
        <v>4</v>
      </c>
      <c r="N680" t="s">
        <v>34</v>
      </c>
      <c r="O680" t="s">
        <v>35</v>
      </c>
      <c r="P680" t="s">
        <v>36</v>
      </c>
      <c r="Q680">
        <v>4</v>
      </c>
      <c r="R680" t="s">
        <v>37</v>
      </c>
      <c r="S680">
        <v>64</v>
      </c>
      <c r="T680" t="s">
        <v>95</v>
      </c>
      <c r="U680" t="s">
        <v>82</v>
      </c>
      <c r="V680" t="s">
        <v>69</v>
      </c>
      <c r="W680">
        <v>1</v>
      </c>
      <c r="X680" t="s">
        <v>57</v>
      </c>
      <c r="Y680">
        <v>1</v>
      </c>
      <c r="Z680" t="s">
        <v>51</v>
      </c>
      <c r="AA680" t="s">
        <v>40</v>
      </c>
      <c r="AB680">
        <v>1</v>
      </c>
    </row>
    <row r="681" spans="1:28" x14ac:dyDescent="0.3">
      <c r="A681">
        <v>680</v>
      </c>
      <c r="B681" t="s">
        <v>26</v>
      </c>
      <c r="C681" t="s">
        <v>52</v>
      </c>
      <c r="D681" t="s">
        <v>53</v>
      </c>
      <c r="E681">
        <v>18</v>
      </c>
      <c r="F681" t="s">
        <v>44</v>
      </c>
      <c r="G681" t="s">
        <v>30</v>
      </c>
      <c r="H681">
        <v>1453</v>
      </c>
      <c r="I681" t="s">
        <v>45</v>
      </c>
      <c r="J681" t="s">
        <v>46</v>
      </c>
      <c r="K681" t="s">
        <v>76</v>
      </c>
      <c r="L681" t="s">
        <v>77</v>
      </c>
      <c r="M681">
        <v>3</v>
      </c>
      <c r="N681" t="s">
        <v>49</v>
      </c>
      <c r="O681" t="s">
        <v>50</v>
      </c>
      <c r="P681" t="s">
        <v>36</v>
      </c>
      <c r="Q681">
        <v>1</v>
      </c>
      <c r="R681" t="s">
        <v>37</v>
      </c>
      <c r="S681">
        <v>26</v>
      </c>
      <c r="T681" t="s">
        <v>98</v>
      </c>
      <c r="U681" t="s">
        <v>36</v>
      </c>
      <c r="V681" t="s">
        <v>38</v>
      </c>
      <c r="W681">
        <v>1</v>
      </c>
      <c r="X681" t="s">
        <v>39</v>
      </c>
      <c r="Y681">
        <v>1</v>
      </c>
      <c r="Z681" t="s">
        <v>51</v>
      </c>
      <c r="AA681" t="s">
        <v>40</v>
      </c>
      <c r="AB681">
        <v>1</v>
      </c>
    </row>
    <row r="682" spans="1:28" x14ac:dyDescent="0.3">
      <c r="A682">
        <v>681</v>
      </c>
      <c r="B682" t="s">
        <v>26</v>
      </c>
      <c r="C682" t="s">
        <v>52</v>
      </c>
      <c r="D682" t="s">
        <v>53</v>
      </c>
      <c r="E682">
        <v>6</v>
      </c>
      <c r="F682" t="s">
        <v>44</v>
      </c>
      <c r="G682" t="s">
        <v>54</v>
      </c>
      <c r="H682">
        <v>1538</v>
      </c>
      <c r="I682" t="s">
        <v>45</v>
      </c>
      <c r="J682" t="s">
        <v>46</v>
      </c>
      <c r="K682" t="s">
        <v>76</v>
      </c>
      <c r="L682" t="s">
        <v>77</v>
      </c>
      <c r="M682">
        <v>1</v>
      </c>
      <c r="N682" t="s">
        <v>49</v>
      </c>
      <c r="O682" t="s">
        <v>50</v>
      </c>
      <c r="P682" t="s">
        <v>36</v>
      </c>
      <c r="Q682">
        <v>2</v>
      </c>
      <c r="R682" t="s">
        <v>64</v>
      </c>
      <c r="S682">
        <v>56</v>
      </c>
      <c r="T682" t="s">
        <v>97</v>
      </c>
      <c r="U682" t="s">
        <v>36</v>
      </c>
      <c r="V682" t="s">
        <v>38</v>
      </c>
      <c r="W682">
        <v>1</v>
      </c>
      <c r="X682" t="s">
        <v>39</v>
      </c>
      <c r="Y682">
        <v>1</v>
      </c>
      <c r="Z682" t="s">
        <v>51</v>
      </c>
      <c r="AA682" t="s">
        <v>40</v>
      </c>
      <c r="AB682">
        <v>1</v>
      </c>
    </row>
    <row r="683" spans="1:28" x14ac:dyDescent="0.3">
      <c r="A683">
        <v>682</v>
      </c>
      <c r="B683" t="s">
        <v>26</v>
      </c>
      <c r="C683" t="s">
        <v>52</v>
      </c>
      <c r="D683" t="s">
        <v>53</v>
      </c>
      <c r="E683">
        <v>12</v>
      </c>
      <c r="F683" t="s">
        <v>44</v>
      </c>
      <c r="G683" t="s">
        <v>30</v>
      </c>
      <c r="H683">
        <v>2279</v>
      </c>
      <c r="I683" t="s">
        <v>31</v>
      </c>
      <c r="J683" t="s">
        <v>31</v>
      </c>
      <c r="K683" t="s">
        <v>47</v>
      </c>
      <c r="L683" t="s">
        <v>48</v>
      </c>
      <c r="M683">
        <v>4</v>
      </c>
      <c r="N683" t="s">
        <v>34</v>
      </c>
      <c r="O683" t="s">
        <v>35</v>
      </c>
      <c r="P683" t="s">
        <v>36</v>
      </c>
      <c r="Q683">
        <v>4</v>
      </c>
      <c r="R683" t="s">
        <v>64</v>
      </c>
      <c r="S683">
        <v>37</v>
      </c>
      <c r="T683" t="s">
        <v>98</v>
      </c>
      <c r="U683" t="s">
        <v>36</v>
      </c>
      <c r="V683" t="s">
        <v>61</v>
      </c>
      <c r="W683">
        <v>1</v>
      </c>
      <c r="X683" t="s">
        <v>39</v>
      </c>
      <c r="Y683">
        <v>1</v>
      </c>
      <c r="Z683" t="s">
        <v>40</v>
      </c>
      <c r="AA683" t="s">
        <v>40</v>
      </c>
      <c r="AB683">
        <v>1</v>
      </c>
    </row>
    <row r="684" spans="1:28" x14ac:dyDescent="0.3">
      <c r="A684">
        <v>683</v>
      </c>
      <c r="B684" t="s">
        <v>26</v>
      </c>
      <c r="C684" t="s">
        <v>52</v>
      </c>
      <c r="D684" t="s">
        <v>53</v>
      </c>
      <c r="E684">
        <v>15</v>
      </c>
      <c r="F684" t="s">
        <v>62</v>
      </c>
      <c r="G684" t="s">
        <v>30</v>
      </c>
      <c r="H684">
        <v>1478</v>
      </c>
      <c r="I684" t="s">
        <v>45</v>
      </c>
      <c r="J684" t="s">
        <v>46</v>
      </c>
      <c r="K684" t="s">
        <v>47</v>
      </c>
      <c r="L684" t="s">
        <v>48</v>
      </c>
      <c r="M684">
        <v>4</v>
      </c>
      <c r="N684" t="s">
        <v>34</v>
      </c>
      <c r="O684" t="s">
        <v>75</v>
      </c>
      <c r="P684" t="s">
        <v>36</v>
      </c>
      <c r="Q684">
        <v>3</v>
      </c>
      <c r="R684" t="s">
        <v>37</v>
      </c>
      <c r="S684">
        <v>33</v>
      </c>
      <c r="T684" t="s">
        <v>98</v>
      </c>
      <c r="U684" t="s">
        <v>82</v>
      </c>
      <c r="V684" t="s">
        <v>38</v>
      </c>
      <c r="W684">
        <v>2</v>
      </c>
      <c r="X684" t="s">
        <v>39</v>
      </c>
      <c r="Y684">
        <v>1</v>
      </c>
      <c r="Z684" t="s">
        <v>51</v>
      </c>
      <c r="AA684" t="s">
        <v>40</v>
      </c>
      <c r="AB684">
        <v>1</v>
      </c>
    </row>
    <row r="685" spans="1:28" x14ac:dyDescent="0.3">
      <c r="A685">
        <v>684</v>
      </c>
      <c r="B685" t="s">
        <v>26</v>
      </c>
      <c r="C685" t="s">
        <v>52</v>
      </c>
      <c r="D685" t="s">
        <v>53</v>
      </c>
      <c r="E685">
        <v>24</v>
      </c>
      <c r="F685" t="s">
        <v>29</v>
      </c>
      <c r="G685" t="s">
        <v>30</v>
      </c>
      <c r="H685">
        <v>5103</v>
      </c>
      <c r="I685" t="s">
        <v>45</v>
      </c>
      <c r="J685" t="s">
        <v>46</v>
      </c>
      <c r="K685" t="s">
        <v>76</v>
      </c>
      <c r="L685" t="s">
        <v>77</v>
      </c>
      <c r="M685">
        <v>3</v>
      </c>
      <c r="N685" t="s">
        <v>34</v>
      </c>
      <c r="O685" t="s">
        <v>75</v>
      </c>
      <c r="P685" t="s">
        <v>36</v>
      </c>
      <c r="Q685">
        <v>3</v>
      </c>
      <c r="R685" t="s">
        <v>64</v>
      </c>
      <c r="S685">
        <v>47</v>
      </c>
      <c r="T685" t="s">
        <v>97</v>
      </c>
      <c r="U685" t="s">
        <v>36</v>
      </c>
      <c r="V685" t="s">
        <v>61</v>
      </c>
      <c r="W685">
        <v>3</v>
      </c>
      <c r="X685" t="s">
        <v>39</v>
      </c>
      <c r="Y685">
        <v>1</v>
      </c>
      <c r="Z685" t="s">
        <v>40</v>
      </c>
      <c r="AA685" t="s">
        <v>40</v>
      </c>
      <c r="AB685">
        <v>1</v>
      </c>
    </row>
    <row r="686" spans="1:28" x14ac:dyDescent="0.3">
      <c r="A686">
        <v>685</v>
      </c>
      <c r="B686" t="s">
        <v>26</v>
      </c>
      <c r="C686" t="s">
        <v>42</v>
      </c>
      <c r="D686" t="s">
        <v>43</v>
      </c>
      <c r="E686">
        <v>36</v>
      </c>
      <c r="F686" t="s">
        <v>62</v>
      </c>
      <c r="G686" t="s">
        <v>78</v>
      </c>
      <c r="H686">
        <v>9857</v>
      </c>
      <c r="I686" t="s">
        <v>79</v>
      </c>
      <c r="J686" t="s">
        <v>80</v>
      </c>
      <c r="K686" t="s">
        <v>55</v>
      </c>
      <c r="L686" t="s">
        <v>56</v>
      </c>
      <c r="M686">
        <v>1</v>
      </c>
      <c r="N686" t="s">
        <v>34</v>
      </c>
      <c r="O686" t="s">
        <v>35</v>
      </c>
      <c r="P686" t="s">
        <v>36</v>
      </c>
      <c r="Q686">
        <v>3</v>
      </c>
      <c r="R686" t="s">
        <v>60</v>
      </c>
      <c r="S686">
        <v>31</v>
      </c>
      <c r="T686" t="s">
        <v>98</v>
      </c>
      <c r="U686" t="s">
        <v>36</v>
      </c>
      <c r="V686" t="s">
        <v>38</v>
      </c>
      <c r="W686">
        <v>2</v>
      </c>
      <c r="X686" t="s">
        <v>57</v>
      </c>
      <c r="Y686">
        <v>2</v>
      </c>
      <c r="Z686" t="s">
        <v>40</v>
      </c>
      <c r="AA686" t="s">
        <v>40</v>
      </c>
      <c r="AB686">
        <v>1</v>
      </c>
    </row>
    <row r="687" spans="1:28" x14ac:dyDescent="0.3">
      <c r="A687">
        <v>686</v>
      </c>
      <c r="B687" t="s">
        <v>26</v>
      </c>
      <c r="C687" t="s">
        <v>52</v>
      </c>
      <c r="D687" t="s">
        <v>53</v>
      </c>
      <c r="E687">
        <v>60</v>
      </c>
      <c r="F687" t="s">
        <v>44</v>
      </c>
      <c r="G687" t="s">
        <v>63</v>
      </c>
      <c r="H687">
        <v>6527</v>
      </c>
      <c r="I687" t="s">
        <v>31</v>
      </c>
      <c r="J687" t="s">
        <v>31</v>
      </c>
      <c r="K687" t="s">
        <v>47</v>
      </c>
      <c r="L687" t="s">
        <v>48</v>
      </c>
      <c r="M687">
        <v>4</v>
      </c>
      <c r="N687" t="s">
        <v>34</v>
      </c>
      <c r="O687" t="s">
        <v>35</v>
      </c>
      <c r="P687" t="s">
        <v>36</v>
      </c>
      <c r="Q687">
        <v>4</v>
      </c>
      <c r="R687" t="s">
        <v>64</v>
      </c>
      <c r="S687">
        <v>34</v>
      </c>
      <c r="T687" t="s">
        <v>98</v>
      </c>
      <c r="U687" t="s">
        <v>36</v>
      </c>
      <c r="V687" t="s">
        <v>61</v>
      </c>
      <c r="W687">
        <v>1</v>
      </c>
      <c r="X687" t="s">
        <v>39</v>
      </c>
      <c r="Y687">
        <v>2</v>
      </c>
      <c r="Z687" t="s">
        <v>40</v>
      </c>
      <c r="AA687" t="s">
        <v>40</v>
      </c>
      <c r="AB687">
        <v>1</v>
      </c>
    </row>
    <row r="688" spans="1:28" x14ac:dyDescent="0.3">
      <c r="A688">
        <v>687</v>
      </c>
      <c r="B688" t="s">
        <v>26</v>
      </c>
      <c r="C688" t="s">
        <v>83</v>
      </c>
      <c r="D688" t="s">
        <v>84</v>
      </c>
      <c r="E688">
        <v>10</v>
      </c>
      <c r="F688" t="s">
        <v>29</v>
      </c>
      <c r="G688" t="s">
        <v>30</v>
      </c>
      <c r="H688">
        <v>1347</v>
      </c>
      <c r="I688" t="s">
        <v>31</v>
      </c>
      <c r="J688" t="s">
        <v>31</v>
      </c>
      <c r="K688" t="s">
        <v>55</v>
      </c>
      <c r="L688" t="s">
        <v>56</v>
      </c>
      <c r="M688">
        <v>4</v>
      </c>
      <c r="N688" t="s">
        <v>34</v>
      </c>
      <c r="O688" t="s">
        <v>35</v>
      </c>
      <c r="P688" t="s">
        <v>36</v>
      </c>
      <c r="Q688">
        <v>2</v>
      </c>
      <c r="R688" t="s">
        <v>60</v>
      </c>
      <c r="S688">
        <v>27</v>
      </c>
      <c r="T688" t="s">
        <v>98</v>
      </c>
      <c r="U688" t="s">
        <v>36</v>
      </c>
      <c r="V688" t="s">
        <v>38</v>
      </c>
      <c r="W688">
        <v>2</v>
      </c>
      <c r="X688" t="s">
        <v>39</v>
      </c>
      <c r="Y688">
        <v>1</v>
      </c>
      <c r="Z688" t="s">
        <v>40</v>
      </c>
      <c r="AA688" t="s">
        <v>40</v>
      </c>
      <c r="AB688">
        <v>1</v>
      </c>
    </row>
    <row r="689" spans="1:28" x14ac:dyDescent="0.3">
      <c r="A689">
        <v>688</v>
      </c>
      <c r="B689" t="s">
        <v>26</v>
      </c>
      <c r="C689" t="s">
        <v>42</v>
      </c>
      <c r="D689" t="s">
        <v>43</v>
      </c>
      <c r="E689">
        <v>36</v>
      </c>
      <c r="F689" t="s">
        <v>62</v>
      </c>
      <c r="G689" t="s">
        <v>63</v>
      </c>
      <c r="H689">
        <v>2862</v>
      </c>
      <c r="I689" t="s">
        <v>79</v>
      </c>
      <c r="J689" t="s">
        <v>80</v>
      </c>
      <c r="K689" t="s">
        <v>32</v>
      </c>
      <c r="L689" t="s">
        <v>33</v>
      </c>
      <c r="M689">
        <v>4</v>
      </c>
      <c r="N689" t="s">
        <v>34</v>
      </c>
      <c r="O689" t="s">
        <v>35</v>
      </c>
      <c r="P689" t="s">
        <v>36</v>
      </c>
      <c r="Q689">
        <v>3</v>
      </c>
      <c r="R689" t="s">
        <v>64</v>
      </c>
      <c r="S689">
        <v>30</v>
      </c>
      <c r="T689" t="s">
        <v>98</v>
      </c>
      <c r="U689" t="s">
        <v>36</v>
      </c>
      <c r="V689" t="s">
        <v>61</v>
      </c>
      <c r="W689">
        <v>1</v>
      </c>
      <c r="X689" t="s">
        <v>39</v>
      </c>
      <c r="Y689">
        <v>1</v>
      </c>
      <c r="Z689" t="s">
        <v>51</v>
      </c>
      <c r="AA689" t="s">
        <v>40</v>
      </c>
      <c r="AB689">
        <v>1</v>
      </c>
    </row>
    <row r="690" spans="1:28" x14ac:dyDescent="0.3">
      <c r="A690">
        <v>689</v>
      </c>
      <c r="B690" t="s">
        <v>26</v>
      </c>
      <c r="C690" t="s">
        <v>52</v>
      </c>
      <c r="D690" t="s">
        <v>53</v>
      </c>
      <c r="E690">
        <v>9</v>
      </c>
      <c r="F690" t="s">
        <v>44</v>
      </c>
      <c r="G690" t="s">
        <v>30</v>
      </c>
      <c r="H690">
        <v>2753</v>
      </c>
      <c r="I690" t="s">
        <v>79</v>
      </c>
      <c r="J690" t="s">
        <v>80</v>
      </c>
      <c r="K690" t="s">
        <v>32</v>
      </c>
      <c r="L690" t="s">
        <v>33</v>
      </c>
      <c r="M690">
        <v>3</v>
      </c>
      <c r="N690" t="s">
        <v>34</v>
      </c>
      <c r="O690" t="s">
        <v>35</v>
      </c>
      <c r="P690" t="s">
        <v>87</v>
      </c>
      <c r="Q690">
        <v>4</v>
      </c>
      <c r="R690" t="s">
        <v>68</v>
      </c>
      <c r="S690">
        <v>35</v>
      </c>
      <c r="T690" t="s">
        <v>98</v>
      </c>
      <c r="U690" t="s">
        <v>36</v>
      </c>
      <c r="V690" t="s">
        <v>38</v>
      </c>
      <c r="W690">
        <v>1</v>
      </c>
      <c r="X690" t="s">
        <v>39</v>
      </c>
      <c r="Y690">
        <v>1</v>
      </c>
      <c r="Z690" t="s">
        <v>40</v>
      </c>
      <c r="AA690" t="s">
        <v>40</v>
      </c>
      <c r="AB690">
        <v>1</v>
      </c>
    </row>
    <row r="691" spans="1:28" x14ac:dyDescent="0.3">
      <c r="A691">
        <v>690</v>
      </c>
      <c r="B691" t="s">
        <v>26</v>
      </c>
      <c r="C691" t="s">
        <v>27</v>
      </c>
      <c r="D691" t="s">
        <v>28</v>
      </c>
      <c r="E691">
        <v>12</v>
      </c>
      <c r="F691" t="s">
        <v>44</v>
      </c>
      <c r="G691" t="s">
        <v>63</v>
      </c>
      <c r="H691">
        <v>3651</v>
      </c>
      <c r="I691" t="s">
        <v>71</v>
      </c>
      <c r="J691" t="s">
        <v>72</v>
      </c>
      <c r="K691" t="s">
        <v>47</v>
      </c>
      <c r="L691" t="s">
        <v>48</v>
      </c>
      <c r="M691">
        <v>1</v>
      </c>
      <c r="N691" t="s">
        <v>34</v>
      </c>
      <c r="O691" t="s">
        <v>35</v>
      </c>
      <c r="P691" t="s">
        <v>36</v>
      </c>
      <c r="Q691">
        <v>3</v>
      </c>
      <c r="R691" t="s">
        <v>60</v>
      </c>
      <c r="S691">
        <v>31</v>
      </c>
      <c r="T691" t="s">
        <v>98</v>
      </c>
      <c r="U691" t="s">
        <v>36</v>
      </c>
      <c r="V691" t="s">
        <v>38</v>
      </c>
      <c r="W691">
        <v>1</v>
      </c>
      <c r="X691" t="s">
        <v>39</v>
      </c>
      <c r="Y691">
        <v>2</v>
      </c>
      <c r="Z691" t="s">
        <v>51</v>
      </c>
      <c r="AA691" t="s">
        <v>40</v>
      </c>
      <c r="AB691">
        <v>1</v>
      </c>
    </row>
    <row r="692" spans="1:28" x14ac:dyDescent="0.3">
      <c r="A692">
        <v>691</v>
      </c>
      <c r="B692" t="s">
        <v>26</v>
      </c>
      <c r="C692" t="s">
        <v>27</v>
      </c>
      <c r="D692" t="s">
        <v>28</v>
      </c>
      <c r="E692">
        <v>15</v>
      </c>
      <c r="F692" t="s">
        <v>29</v>
      </c>
      <c r="G692" t="s">
        <v>58</v>
      </c>
      <c r="H692">
        <v>975</v>
      </c>
      <c r="I692" t="s">
        <v>45</v>
      </c>
      <c r="J692" t="s">
        <v>46</v>
      </c>
      <c r="K692" t="s">
        <v>47</v>
      </c>
      <c r="L692" t="s">
        <v>48</v>
      </c>
      <c r="M692">
        <v>2</v>
      </c>
      <c r="N692" t="s">
        <v>34</v>
      </c>
      <c r="O692" t="s">
        <v>73</v>
      </c>
      <c r="P692" t="s">
        <v>36</v>
      </c>
      <c r="Q692">
        <v>3</v>
      </c>
      <c r="R692" t="s">
        <v>60</v>
      </c>
      <c r="S692">
        <v>25</v>
      </c>
      <c r="T692" t="s">
        <v>98</v>
      </c>
      <c r="U692" t="s">
        <v>36</v>
      </c>
      <c r="V692" t="s">
        <v>38</v>
      </c>
      <c r="W692">
        <v>2</v>
      </c>
      <c r="X692" t="s">
        <v>39</v>
      </c>
      <c r="Y692">
        <v>1</v>
      </c>
      <c r="Z692" t="s">
        <v>51</v>
      </c>
      <c r="AA692" t="s">
        <v>40</v>
      </c>
      <c r="AB692">
        <v>1</v>
      </c>
    </row>
    <row r="693" spans="1:28" x14ac:dyDescent="0.3">
      <c r="A693">
        <v>692</v>
      </c>
      <c r="B693" t="s">
        <v>26</v>
      </c>
      <c r="C693" t="s">
        <v>42</v>
      </c>
      <c r="D693" t="s">
        <v>43</v>
      </c>
      <c r="E693">
        <v>15</v>
      </c>
      <c r="F693" t="s">
        <v>44</v>
      </c>
      <c r="G693" t="s">
        <v>89</v>
      </c>
      <c r="H693">
        <v>2631</v>
      </c>
      <c r="I693" t="s">
        <v>79</v>
      </c>
      <c r="J693" t="s">
        <v>80</v>
      </c>
      <c r="K693" t="s">
        <v>47</v>
      </c>
      <c r="L693" t="s">
        <v>48</v>
      </c>
      <c r="M693">
        <v>3</v>
      </c>
      <c r="N693" t="s">
        <v>49</v>
      </c>
      <c r="O693" t="s">
        <v>50</v>
      </c>
      <c r="P693" t="s">
        <v>36</v>
      </c>
      <c r="Q693">
        <v>2</v>
      </c>
      <c r="R693" t="s">
        <v>37</v>
      </c>
      <c r="S693">
        <v>25</v>
      </c>
      <c r="T693" t="s">
        <v>98</v>
      </c>
      <c r="U693" t="s">
        <v>36</v>
      </c>
      <c r="V693" t="s">
        <v>38</v>
      </c>
      <c r="W693">
        <v>1</v>
      </c>
      <c r="X693" t="s">
        <v>57</v>
      </c>
      <c r="Y693">
        <v>1</v>
      </c>
      <c r="Z693" t="s">
        <v>51</v>
      </c>
      <c r="AA693" t="s">
        <v>40</v>
      </c>
      <c r="AB693">
        <v>1</v>
      </c>
    </row>
    <row r="694" spans="1:28" x14ac:dyDescent="0.3">
      <c r="A694">
        <v>693</v>
      </c>
      <c r="B694" t="s">
        <v>26</v>
      </c>
      <c r="C694" t="s">
        <v>42</v>
      </c>
      <c r="D694" t="s">
        <v>43</v>
      </c>
      <c r="E694">
        <v>24</v>
      </c>
      <c r="F694" t="s">
        <v>44</v>
      </c>
      <c r="G694" t="s">
        <v>30</v>
      </c>
      <c r="H694">
        <v>2896</v>
      </c>
      <c r="I694" t="s">
        <v>79</v>
      </c>
      <c r="J694" t="s">
        <v>80</v>
      </c>
      <c r="K694" t="s">
        <v>76</v>
      </c>
      <c r="L694" t="s">
        <v>77</v>
      </c>
      <c r="M694">
        <v>2</v>
      </c>
      <c r="N694" t="s">
        <v>34</v>
      </c>
      <c r="O694" t="s">
        <v>35</v>
      </c>
      <c r="P694" t="s">
        <v>36</v>
      </c>
      <c r="Q694">
        <v>1</v>
      </c>
      <c r="R694" t="s">
        <v>68</v>
      </c>
      <c r="S694">
        <v>29</v>
      </c>
      <c r="T694" t="s">
        <v>98</v>
      </c>
      <c r="U694" t="s">
        <v>36</v>
      </c>
      <c r="V694" t="s">
        <v>38</v>
      </c>
      <c r="W694">
        <v>1</v>
      </c>
      <c r="X694" t="s">
        <v>39</v>
      </c>
      <c r="Y694">
        <v>1</v>
      </c>
      <c r="Z694" t="s">
        <v>51</v>
      </c>
      <c r="AA694" t="s">
        <v>40</v>
      </c>
      <c r="AB694">
        <v>1</v>
      </c>
    </row>
    <row r="695" spans="1:28" x14ac:dyDescent="0.3">
      <c r="A695">
        <v>694</v>
      </c>
      <c r="B695" t="s">
        <v>26</v>
      </c>
      <c r="C695" t="s">
        <v>27</v>
      </c>
      <c r="D695" t="s">
        <v>28</v>
      </c>
      <c r="E695">
        <v>6</v>
      </c>
      <c r="F695" t="s">
        <v>29</v>
      </c>
      <c r="G695" t="s">
        <v>63</v>
      </c>
      <c r="H695">
        <v>4716</v>
      </c>
      <c r="I695" t="s">
        <v>31</v>
      </c>
      <c r="J695" t="s">
        <v>31</v>
      </c>
      <c r="K695" t="s">
        <v>76</v>
      </c>
      <c r="L695" t="s">
        <v>77</v>
      </c>
      <c r="M695">
        <v>1</v>
      </c>
      <c r="N695" t="s">
        <v>34</v>
      </c>
      <c r="O695" t="s">
        <v>35</v>
      </c>
      <c r="P695" t="s">
        <v>36</v>
      </c>
      <c r="Q695">
        <v>3</v>
      </c>
      <c r="R695" t="s">
        <v>37</v>
      </c>
      <c r="S695">
        <v>44</v>
      </c>
      <c r="T695" t="s">
        <v>97</v>
      </c>
      <c r="U695" t="s">
        <v>36</v>
      </c>
      <c r="V695" t="s">
        <v>38</v>
      </c>
      <c r="W695">
        <v>2</v>
      </c>
      <c r="X695" t="s">
        <v>57</v>
      </c>
      <c r="Y695">
        <v>2</v>
      </c>
      <c r="Z695" t="s">
        <v>51</v>
      </c>
      <c r="AA695" t="s">
        <v>40</v>
      </c>
      <c r="AB695">
        <v>1</v>
      </c>
    </row>
    <row r="696" spans="1:28" x14ac:dyDescent="0.3">
      <c r="A696">
        <v>695</v>
      </c>
      <c r="B696" t="s">
        <v>26</v>
      </c>
      <c r="C696" t="s">
        <v>52</v>
      </c>
      <c r="D696" t="s">
        <v>53</v>
      </c>
      <c r="E696">
        <v>24</v>
      </c>
      <c r="F696" t="s">
        <v>44</v>
      </c>
      <c r="G696" t="s">
        <v>30</v>
      </c>
      <c r="H696">
        <v>2284</v>
      </c>
      <c r="I696" t="s">
        <v>45</v>
      </c>
      <c r="J696" t="s">
        <v>46</v>
      </c>
      <c r="K696" t="s">
        <v>55</v>
      </c>
      <c r="L696" t="s">
        <v>56</v>
      </c>
      <c r="M696">
        <v>4</v>
      </c>
      <c r="N696" t="s">
        <v>34</v>
      </c>
      <c r="O696" t="s">
        <v>35</v>
      </c>
      <c r="P696" t="s">
        <v>36</v>
      </c>
      <c r="Q696">
        <v>2</v>
      </c>
      <c r="R696" t="s">
        <v>68</v>
      </c>
      <c r="S696">
        <v>28</v>
      </c>
      <c r="T696" t="s">
        <v>98</v>
      </c>
      <c r="U696" t="s">
        <v>36</v>
      </c>
      <c r="V696" t="s">
        <v>38</v>
      </c>
      <c r="W696">
        <v>1</v>
      </c>
      <c r="X696" t="s">
        <v>39</v>
      </c>
      <c r="Y696">
        <v>1</v>
      </c>
      <c r="Z696" t="s">
        <v>40</v>
      </c>
      <c r="AA696" t="s">
        <v>40</v>
      </c>
      <c r="AB696">
        <v>1</v>
      </c>
    </row>
    <row r="697" spans="1:28" x14ac:dyDescent="0.3">
      <c r="A697">
        <v>696</v>
      </c>
      <c r="B697" t="s">
        <v>26</v>
      </c>
      <c r="C697" t="s">
        <v>52</v>
      </c>
      <c r="D697" t="s">
        <v>53</v>
      </c>
      <c r="E697">
        <v>6</v>
      </c>
      <c r="F697" t="s">
        <v>44</v>
      </c>
      <c r="G697" t="s">
        <v>67</v>
      </c>
      <c r="H697">
        <v>1236</v>
      </c>
      <c r="I697" t="s">
        <v>65</v>
      </c>
      <c r="J697" t="s">
        <v>66</v>
      </c>
      <c r="K697" t="s">
        <v>47</v>
      </c>
      <c r="L697" t="s">
        <v>48</v>
      </c>
      <c r="M697">
        <v>2</v>
      </c>
      <c r="N697" t="s">
        <v>34</v>
      </c>
      <c r="O697" t="s">
        <v>35</v>
      </c>
      <c r="P697" t="s">
        <v>36</v>
      </c>
      <c r="Q697">
        <v>4</v>
      </c>
      <c r="R697" t="s">
        <v>60</v>
      </c>
      <c r="S697">
        <v>50</v>
      </c>
      <c r="T697" t="s">
        <v>97</v>
      </c>
      <c r="U697" t="s">
        <v>36</v>
      </c>
      <c r="V697" t="s">
        <v>69</v>
      </c>
      <c r="W697">
        <v>1</v>
      </c>
      <c r="X697" t="s">
        <v>39</v>
      </c>
      <c r="Y697">
        <v>1</v>
      </c>
      <c r="Z697" t="s">
        <v>51</v>
      </c>
      <c r="AA697" t="s">
        <v>40</v>
      </c>
      <c r="AB697">
        <v>1</v>
      </c>
    </row>
    <row r="698" spans="1:28" x14ac:dyDescent="0.3">
      <c r="A698">
        <v>697</v>
      </c>
      <c r="B698" t="s">
        <v>26</v>
      </c>
      <c r="C698" t="s">
        <v>42</v>
      </c>
      <c r="D698" t="s">
        <v>43</v>
      </c>
      <c r="E698">
        <v>12</v>
      </c>
      <c r="F698" t="s">
        <v>44</v>
      </c>
      <c r="G698" t="s">
        <v>30</v>
      </c>
      <c r="H698">
        <v>1103</v>
      </c>
      <c r="I698" t="s">
        <v>45</v>
      </c>
      <c r="J698" t="s">
        <v>46</v>
      </c>
      <c r="K698" t="s">
        <v>55</v>
      </c>
      <c r="L698" t="s">
        <v>56</v>
      </c>
      <c r="M698">
        <v>4</v>
      </c>
      <c r="N698" t="s">
        <v>34</v>
      </c>
      <c r="O698" t="s">
        <v>35</v>
      </c>
      <c r="P698" t="s">
        <v>59</v>
      </c>
      <c r="Q698">
        <v>3</v>
      </c>
      <c r="R698" t="s">
        <v>37</v>
      </c>
      <c r="S698">
        <v>29</v>
      </c>
      <c r="T698" t="s">
        <v>98</v>
      </c>
      <c r="U698" t="s">
        <v>36</v>
      </c>
      <c r="V698" t="s">
        <v>38</v>
      </c>
      <c r="W698">
        <v>2</v>
      </c>
      <c r="X698" t="s">
        <v>39</v>
      </c>
      <c r="Y698">
        <v>1</v>
      </c>
      <c r="Z698" t="s">
        <v>51</v>
      </c>
      <c r="AA698" t="s">
        <v>51</v>
      </c>
      <c r="AB698">
        <v>1</v>
      </c>
    </row>
    <row r="699" spans="1:28" x14ac:dyDescent="0.3">
      <c r="A699">
        <v>698</v>
      </c>
      <c r="B699" t="s">
        <v>26</v>
      </c>
      <c r="C699" t="s">
        <v>52</v>
      </c>
      <c r="D699" t="s">
        <v>53</v>
      </c>
      <c r="E699">
        <v>12</v>
      </c>
      <c r="F699" t="s">
        <v>29</v>
      </c>
      <c r="G699" t="s">
        <v>63</v>
      </c>
      <c r="H699">
        <v>926</v>
      </c>
      <c r="I699" t="s">
        <v>45</v>
      </c>
      <c r="J699" t="s">
        <v>46</v>
      </c>
      <c r="K699" t="s">
        <v>74</v>
      </c>
      <c r="L699" t="s">
        <v>74</v>
      </c>
      <c r="M699">
        <v>1</v>
      </c>
      <c r="N699" t="s">
        <v>49</v>
      </c>
      <c r="O699" t="s">
        <v>50</v>
      </c>
      <c r="P699" t="s">
        <v>36</v>
      </c>
      <c r="Q699">
        <v>2</v>
      </c>
      <c r="R699" t="s">
        <v>60</v>
      </c>
      <c r="S699">
        <v>38</v>
      </c>
      <c r="T699" t="s">
        <v>98</v>
      </c>
      <c r="U699" t="s">
        <v>36</v>
      </c>
      <c r="V699" t="s">
        <v>38</v>
      </c>
      <c r="W699">
        <v>1</v>
      </c>
      <c r="X699" t="s">
        <v>90</v>
      </c>
      <c r="Y699">
        <v>1</v>
      </c>
      <c r="Z699" t="s">
        <v>51</v>
      </c>
      <c r="AA699" t="s">
        <v>40</v>
      </c>
      <c r="AB699">
        <v>1</v>
      </c>
    </row>
    <row r="700" spans="1:28" x14ac:dyDescent="0.3">
      <c r="A700">
        <v>699</v>
      </c>
      <c r="B700" t="s">
        <v>26</v>
      </c>
      <c r="C700" t="s">
        <v>52</v>
      </c>
      <c r="D700" t="s">
        <v>53</v>
      </c>
      <c r="E700">
        <v>18</v>
      </c>
      <c r="F700" t="s">
        <v>29</v>
      </c>
      <c r="G700" t="s">
        <v>30</v>
      </c>
      <c r="H700">
        <v>1800</v>
      </c>
      <c r="I700" t="s">
        <v>45</v>
      </c>
      <c r="J700" t="s">
        <v>46</v>
      </c>
      <c r="K700" t="s">
        <v>47</v>
      </c>
      <c r="L700" t="s">
        <v>48</v>
      </c>
      <c r="M700">
        <v>4</v>
      </c>
      <c r="N700" t="s">
        <v>34</v>
      </c>
      <c r="O700" t="s">
        <v>35</v>
      </c>
      <c r="P700" t="s">
        <v>36</v>
      </c>
      <c r="Q700">
        <v>2</v>
      </c>
      <c r="R700" t="s">
        <v>68</v>
      </c>
      <c r="S700">
        <v>24</v>
      </c>
      <c r="T700" t="s">
        <v>96</v>
      </c>
      <c r="U700" t="s">
        <v>36</v>
      </c>
      <c r="V700" t="s">
        <v>38</v>
      </c>
      <c r="W700">
        <v>2</v>
      </c>
      <c r="X700" t="s">
        <v>39</v>
      </c>
      <c r="Y700">
        <v>1</v>
      </c>
      <c r="Z700" t="s">
        <v>51</v>
      </c>
      <c r="AA700" t="s">
        <v>40</v>
      </c>
      <c r="AB700">
        <v>1</v>
      </c>
    </row>
    <row r="701" spans="1:28" x14ac:dyDescent="0.3">
      <c r="A701">
        <v>700</v>
      </c>
      <c r="B701" t="s">
        <v>26</v>
      </c>
      <c r="C701" t="s">
        <v>83</v>
      </c>
      <c r="D701" t="s">
        <v>84</v>
      </c>
      <c r="E701">
        <v>15</v>
      </c>
      <c r="F701" t="s">
        <v>44</v>
      </c>
      <c r="G701" t="s">
        <v>54</v>
      </c>
      <c r="H701">
        <v>1905</v>
      </c>
      <c r="I701" t="s">
        <v>45</v>
      </c>
      <c r="J701" t="s">
        <v>46</v>
      </c>
      <c r="K701" t="s">
        <v>32</v>
      </c>
      <c r="L701" t="s">
        <v>33</v>
      </c>
      <c r="M701">
        <v>4</v>
      </c>
      <c r="N701" t="s">
        <v>34</v>
      </c>
      <c r="O701" t="s">
        <v>35</v>
      </c>
      <c r="P701" t="s">
        <v>36</v>
      </c>
      <c r="Q701">
        <v>4</v>
      </c>
      <c r="R701" t="s">
        <v>68</v>
      </c>
      <c r="S701">
        <v>40</v>
      </c>
      <c r="T701" t="s">
        <v>97</v>
      </c>
      <c r="U701" t="s">
        <v>36</v>
      </c>
      <c r="V701" t="s">
        <v>69</v>
      </c>
      <c r="W701">
        <v>1</v>
      </c>
      <c r="X701" t="s">
        <v>70</v>
      </c>
      <c r="Y701">
        <v>1</v>
      </c>
      <c r="Z701" t="s">
        <v>40</v>
      </c>
      <c r="AA701" t="s">
        <v>40</v>
      </c>
      <c r="AB701">
        <v>1</v>
      </c>
    </row>
    <row r="702" spans="1:28" x14ac:dyDescent="0.3">
      <c r="A702">
        <v>701</v>
      </c>
      <c r="B702" t="s">
        <v>41</v>
      </c>
      <c r="C702" t="s">
        <v>52</v>
      </c>
      <c r="D702" t="s">
        <v>53</v>
      </c>
      <c r="E702">
        <v>12</v>
      </c>
      <c r="F702" t="s">
        <v>44</v>
      </c>
      <c r="G702" t="s">
        <v>58</v>
      </c>
      <c r="H702">
        <v>1123</v>
      </c>
      <c r="I702" t="s">
        <v>65</v>
      </c>
      <c r="J702" t="s">
        <v>66</v>
      </c>
      <c r="K702" t="s">
        <v>47</v>
      </c>
      <c r="L702" t="s">
        <v>48</v>
      </c>
      <c r="M702">
        <v>4</v>
      </c>
      <c r="N702" t="s">
        <v>49</v>
      </c>
      <c r="O702" t="s">
        <v>50</v>
      </c>
      <c r="P702" t="s">
        <v>36</v>
      </c>
      <c r="Q702">
        <v>4</v>
      </c>
      <c r="R702" t="s">
        <v>68</v>
      </c>
      <c r="S702">
        <v>29</v>
      </c>
      <c r="T702" t="s">
        <v>98</v>
      </c>
      <c r="U702" t="s">
        <v>36</v>
      </c>
      <c r="V702" t="s">
        <v>69</v>
      </c>
      <c r="W702">
        <v>1</v>
      </c>
      <c r="X702" t="s">
        <v>57</v>
      </c>
      <c r="Y702">
        <v>1</v>
      </c>
      <c r="Z702" t="s">
        <v>51</v>
      </c>
      <c r="AA702" t="s">
        <v>40</v>
      </c>
      <c r="AB702">
        <v>2</v>
      </c>
    </row>
    <row r="703" spans="1:28" x14ac:dyDescent="0.3">
      <c r="A703">
        <v>702</v>
      </c>
      <c r="B703" t="s">
        <v>41</v>
      </c>
      <c r="C703" t="s">
        <v>27</v>
      </c>
      <c r="D703" t="s">
        <v>28</v>
      </c>
      <c r="E703">
        <v>48</v>
      </c>
      <c r="F703" t="s">
        <v>29</v>
      </c>
      <c r="G703" t="s">
        <v>67</v>
      </c>
      <c r="H703">
        <v>6331</v>
      </c>
      <c r="I703" t="s">
        <v>45</v>
      </c>
      <c r="J703" t="s">
        <v>46</v>
      </c>
      <c r="K703" t="s">
        <v>32</v>
      </c>
      <c r="L703" t="s">
        <v>33</v>
      </c>
      <c r="M703">
        <v>4</v>
      </c>
      <c r="N703" t="s">
        <v>34</v>
      </c>
      <c r="O703" t="s">
        <v>35</v>
      </c>
      <c r="P703" t="s">
        <v>36</v>
      </c>
      <c r="Q703">
        <v>4</v>
      </c>
      <c r="R703" t="s">
        <v>64</v>
      </c>
      <c r="S703">
        <v>46</v>
      </c>
      <c r="T703" t="s">
        <v>97</v>
      </c>
      <c r="U703" t="s">
        <v>36</v>
      </c>
      <c r="V703" t="s">
        <v>61</v>
      </c>
      <c r="W703">
        <v>2</v>
      </c>
      <c r="X703" t="s">
        <v>39</v>
      </c>
      <c r="Y703">
        <v>1</v>
      </c>
      <c r="Z703" t="s">
        <v>40</v>
      </c>
      <c r="AA703" t="s">
        <v>40</v>
      </c>
      <c r="AB703">
        <v>2</v>
      </c>
    </row>
    <row r="704" spans="1:28" x14ac:dyDescent="0.3">
      <c r="A704">
        <v>703</v>
      </c>
      <c r="B704" t="s">
        <v>26</v>
      </c>
      <c r="C704" t="s">
        <v>83</v>
      </c>
      <c r="D704" t="s">
        <v>84</v>
      </c>
      <c r="E704">
        <v>24</v>
      </c>
      <c r="F704" t="s">
        <v>44</v>
      </c>
      <c r="G704" t="s">
        <v>30</v>
      </c>
      <c r="H704">
        <v>1377</v>
      </c>
      <c r="I704" t="s">
        <v>79</v>
      </c>
      <c r="J704" t="s">
        <v>80</v>
      </c>
      <c r="K704" t="s">
        <v>32</v>
      </c>
      <c r="L704" t="s">
        <v>33</v>
      </c>
      <c r="M704">
        <v>4</v>
      </c>
      <c r="N704" t="s">
        <v>49</v>
      </c>
      <c r="O704" t="s">
        <v>50</v>
      </c>
      <c r="P704" t="s">
        <v>36</v>
      </c>
      <c r="Q704">
        <v>2</v>
      </c>
      <c r="R704" t="s">
        <v>64</v>
      </c>
      <c r="S704">
        <v>47</v>
      </c>
      <c r="T704" t="s">
        <v>97</v>
      </c>
      <c r="U704" t="s">
        <v>36</v>
      </c>
      <c r="V704" t="s">
        <v>61</v>
      </c>
      <c r="W704">
        <v>1</v>
      </c>
      <c r="X704" t="s">
        <v>39</v>
      </c>
      <c r="Y704">
        <v>1</v>
      </c>
      <c r="Z704" t="s">
        <v>40</v>
      </c>
      <c r="AA704" t="s">
        <v>40</v>
      </c>
      <c r="AB704">
        <v>1</v>
      </c>
    </row>
    <row r="705" spans="1:28" x14ac:dyDescent="0.3">
      <c r="A705">
        <v>704</v>
      </c>
      <c r="B705" t="s">
        <v>26</v>
      </c>
      <c r="C705" t="s">
        <v>42</v>
      </c>
      <c r="D705" t="s">
        <v>43</v>
      </c>
      <c r="E705">
        <v>30</v>
      </c>
      <c r="F705" t="s">
        <v>62</v>
      </c>
      <c r="G705" t="s">
        <v>78</v>
      </c>
      <c r="H705">
        <v>2503</v>
      </c>
      <c r="I705" t="s">
        <v>79</v>
      </c>
      <c r="J705" t="s">
        <v>80</v>
      </c>
      <c r="K705" t="s">
        <v>32</v>
      </c>
      <c r="L705" t="s">
        <v>33</v>
      </c>
      <c r="M705">
        <v>4</v>
      </c>
      <c r="N705" t="s">
        <v>34</v>
      </c>
      <c r="O705" t="s">
        <v>35</v>
      </c>
      <c r="P705" t="s">
        <v>36</v>
      </c>
      <c r="Q705">
        <v>2</v>
      </c>
      <c r="R705" t="s">
        <v>60</v>
      </c>
      <c r="S705">
        <v>41</v>
      </c>
      <c r="T705" t="s">
        <v>97</v>
      </c>
      <c r="U705" t="s">
        <v>86</v>
      </c>
      <c r="V705" t="s">
        <v>38</v>
      </c>
      <c r="W705">
        <v>2</v>
      </c>
      <c r="X705" t="s">
        <v>39</v>
      </c>
      <c r="Y705">
        <v>1</v>
      </c>
      <c r="Z705" t="s">
        <v>51</v>
      </c>
      <c r="AA705" t="s">
        <v>40</v>
      </c>
      <c r="AB705">
        <v>1</v>
      </c>
    </row>
    <row r="706" spans="1:28" x14ac:dyDescent="0.3">
      <c r="A706">
        <v>705</v>
      </c>
      <c r="B706" t="s">
        <v>26</v>
      </c>
      <c r="C706" t="s">
        <v>42</v>
      </c>
      <c r="D706" t="s">
        <v>43</v>
      </c>
      <c r="E706">
        <v>27</v>
      </c>
      <c r="F706" t="s">
        <v>44</v>
      </c>
      <c r="G706" t="s">
        <v>78</v>
      </c>
      <c r="H706">
        <v>2528</v>
      </c>
      <c r="I706" t="s">
        <v>45</v>
      </c>
      <c r="J706" t="s">
        <v>46</v>
      </c>
      <c r="K706" t="s">
        <v>76</v>
      </c>
      <c r="L706" t="s">
        <v>77</v>
      </c>
      <c r="M706">
        <v>4</v>
      </c>
      <c r="N706" t="s">
        <v>49</v>
      </c>
      <c r="O706" t="s">
        <v>50</v>
      </c>
      <c r="P706" t="s">
        <v>36</v>
      </c>
      <c r="Q706">
        <v>1</v>
      </c>
      <c r="R706" t="s">
        <v>60</v>
      </c>
      <c r="S706">
        <v>32</v>
      </c>
      <c r="T706" t="s">
        <v>98</v>
      </c>
      <c r="U706" t="s">
        <v>36</v>
      </c>
      <c r="V706" t="s">
        <v>38</v>
      </c>
      <c r="W706">
        <v>1</v>
      </c>
      <c r="X706" t="s">
        <v>39</v>
      </c>
      <c r="Y706">
        <v>2</v>
      </c>
      <c r="Z706" t="s">
        <v>40</v>
      </c>
      <c r="AA706" t="s">
        <v>40</v>
      </c>
      <c r="AB706">
        <v>1</v>
      </c>
    </row>
    <row r="707" spans="1:28" x14ac:dyDescent="0.3">
      <c r="A707">
        <v>706</v>
      </c>
      <c r="B707" t="s">
        <v>26</v>
      </c>
      <c r="C707" t="s">
        <v>52</v>
      </c>
      <c r="D707" t="s">
        <v>53</v>
      </c>
      <c r="E707">
        <v>15</v>
      </c>
      <c r="F707" t="s">
        <v>44</v>
      </c>
      <c r="G707" t="s">
        <v>63</v>
      </c>
      <c r="H707">
        <v>5324</v>
      </c>
      <c r="I707" t="s">
        <v>65</v>
      </c>
      <c r="J707" t="s">
        <v>66</v>
      </c>
      <c r="K707" t="s">
        <v>32</v>
      </c>
      <c r="L707" t="s">
        <v>33</v>
      </c>
      <c r="M707">
        <v>1</v>
      </c>
      <c r="N707" t="s">
        <v>49</v>
      </c>
      <c r="O707" t="s">
        <v>50</v>
      </c>
      <c r="P707" t="s">
        <v>36</v>
      </c>
      <c r="Q707">
        <v>4</v>
      </c>
      <c r="R707" t="s">
        <v>64</v>
      </c>
      <c r="S707">
        <v>35</v>
      </c>
      <c r="T707" t="s">
        <v>98</v>
      </c>
      <c r="U707" t="s">
        <v>36</v>
      </c>
      <c r="V707" t="s">
        <v>61</v>
      </c>
      <c r="W707">
        <v>1</v>
      </c>
      <c r="X707" t="s">
        <v>39</v>
      </c>
      <c r="Y707">
        <v>1</v>
      </c>
      <c r="Z707" t="s">
        <v>51</v>
      </c>
      <c r="AA707" t="s">
        <v>40</v>
      </c>
      <c r="AB707">
        <v>1</v>
      </c>
    </row>
    <row r="708" spans="1:28" x14ac:dyDescent="0.3">
      <c r="A708">
        <v>707</v>
      </c>
      <c r="B708" t="s">
        <v>41</v>
      </c>
      <c r="C708" t="s">
        <v>42</v>
      </c>
      <c r="D708" t="s">
        <v>43</v>
      </c>
      <c r="E708">
        <v>48</v>
      </c>
      <c r="F708" t="s">
        <v>44</v>
      </c>
      <c r="G708" t="s">
        <v>63</v>
      </c>
      <c r="H708">
        <v>6560</v>
      </c>
      <c r="I708" t="s">
        <v>79</v>
      </c>
      <c r="J708" t="s">
        <v>80</v>
      </c>
      <c r="K708" t="s">
        <v>55</v>
      </c>
      <c r="L708" t="s">
        <v>56</v>
      </c>
      <c r="M708">
        <v>3</v>
      </c>
      <c r="N708" t="s">
        <v>34</v>
      </c>
      <c r="O708" t="s">
        <v>35</v>
      </c>
      <c r="P708" t="s">
        <v>36</v>
      </c>
      <c r="Q708">
        <v>2</v>
      </c>
      <c r="R708" t="s">
        <v>60</v>
      </c>
      <c r="S708">
        <v>24</v>
      </c>
      <c r="T708" t="s">
        <v>96</v>
      </c>
      <c r="U708" t="s">
        <v>36</v>
      </c>
      <c r="V708" t="s">
        <v>38</v>
      </c>
      <c r="W708">
        <v>1</v>
      </c>
      <c r="X708" t="s">
        <v>39</v>
      </c>
      <c r="Y708">
        <v>1</v>
      </c>
      <c r="Z708" t="s">
        <v>51</v>
      </c>
      <c r="AA708" t="s">
        <v>40</v>
      </c>
      <c r="AB708">
        <v>2</v>
      </c>
    </row>
    <row r="709" spans="1:28" x14ac:dyDescent="0.3">
      <c r="A709">
        <v>708</v>
      </c>
      <c r="B709" t="s">
        <v>41</v>
      </c>
      <c r="C709" t="s">
        <v>42</v>
      </c>
      <c r="D709" t="s">
        <v>43</v>
      </c>
      <c r="E709">
        <v>12</v>
      </c>
      <c r="F709" t="s">
        <v>81</v>
      </c>
      <c r="G709" t="s">
        <v>58</v>
      </c>
      <c r="H709">
        <v>2969</v>
      </c>
      <c r="I709" t="s">
        <v>45</v>
      </c>
      <c r="J709" t="s">
        <v>46</v>
      </c>
      <c r="K709" t="s">
        <v>76</v>
      </c>
      <c r="L709" t="s">
        <v>77</v>
      </c>
      <c r="M709">
        <v>4</v>
      </c>
      <c r="N709" t="s">
        <v>49</v>
      </c>
      <c r="O709" t="s">
        <v>50</v>
      </c>
      <c r="P709" t="s">
        <v>36</v>
      </c>
      <c r="Q709">
        <v>3</v>
      </c>
      <c r="R709" t="s">
        <v>60</v>
      </c>
      <c r="S709">
        <v>25</v>
      </c>
      <c r="T709" t="s">
        <v>98</v>
      </c>
      <c r="U709" t="s">
        <v>36</v>
      </c>
      <c r="V709" t="s">
        <v>69</v>
      </c>
      <c r="W709">
        <v>2</v>
      </c>
      <c r="X709" t="s">
        <v>39</v>
      </c>
      <c r="Y709">
        <v>1</v>
      </c>
      <c r="Z709" t="s">
        <v>51</v>
      </c>
      <c r="AA709" t="s">
        <v>40</v>
      </c>
      <c r="AB709">
        <v>2</v>
      </c>
    </row>
    <row r="710" spans="1:28" x14ac:dyDescent="0.3">
      <c r="A710">
        <v>709</v>
      </c>
      <c r="B710" t="s">
        <v>26</v>
      </c>
      <c r="C710" t="s">
        <v>42</v>
      </c>
      <c r="D710" t="s">
        <v>43</v>
      </c>
      <c r="E710">
        <v>9</v>
      </c>
      <c r="F710" t="s">
        <v>44</v>
      </c>
      <c r="G710" t="s">
        <v>30</v>
      </c>
      <c r="H710">
        <v>1206</v>
      </c>
      <c r="I710" t="s">
        <v>45</v>
      </c>
      <c r="J710" t="s">
        <v>46</v>
      </c>
      <c r="K710" t="s">
        <v>32</v>
      </c>
      <c r="L710" t="s">
        <v>33</v>
      </c>
      <c r="M710">
        <v>4</v>
      </c>
      <c r="N710" t="s">
        <v>49</v>
      </c>
      <c r="O710" t="s">
        <v>50</v>
      </c>
      <c r="P710" t="s">
        <v>36</v>
      </c>
      <c r="Q710">
        <v>4</v>
      </c>
      <c r="R710" t="s">
        <v>37</v>
      </c>
      <c r="S710">
        <v>25</v>
      </c>
      <c r="T710" t="s">
        <v>98</v>
      </c>
      <c r="U710" t="s">
        <v>36</v>
      </c>
      <c r="V710" t="s">
        <v>38</v>
      </c>
      <c r="W710">
        <v>1</v>
      </c>
      <c r="X710" t="s">
        <v>39</v>
      </c>
      <c r="Y710">
        <v>1</v>
      </c>
      <c r="Z710" t="s">
        <v>51</v>
      </c>
      <c r="AA710" t="s">
        <v>40</v>
      </c>
      <c r="AB710">
        <v>1</v>
      </c>
    </row>
    <row r="711" spans="1:28" x14ac:dyDescent="0.3">
      <c r="A711">
        <v>710</v>
      </c>
      <c r="B711" t="s">
        <v>26</v>
      </c>
      <c r="C711" t="s">
        <v>42</v>
      </c>
      <c r="D711" t="s">
        <v>43</v>
      </c>
      <c r="E711">
        <v>9</v>
      </c>
      <c r="F711" t="s">
        <v>44</v>
      </c>
      <c r="G711" t="s">
        <v>30</v>
      </c>
      <c r="H711">
        <v>2118</v>
      </c>
      <c r="I711" t="s">
        <v>45</v>
      </c>
      <c r="J711" t="s">
        <v>46</v>
      </c>
      <c r="K711" t="s">
        <v>47</v>
      </c>
      <c r="L711" t="s">
        <v>48</v>
      </c>
      <c r="M711">
        <v>2</v>
      </c>
      <c r="N711" t="s">
        <v>34</v>
      </c>
      <c r="O711" t="s">
        <v>35</v>
      </c>
      <c r="P711" t="s">
        <v>36</v>
      </c>
      <c r="Q711">
        <v>2</v>
      </c>
      <c r="R711" t="s">
        <v>37</v>
      </c>
      <c r="S711">
        <v>37</v>
      </c>
      <c r="T711" t="s">
        <v>98</v>
      </c>
      <c r="U711" t="s">
        <v>36</v>
      </c>
      <c r="V711" t="s">
        <v>38</v>
      </c>
      <c r="W711">
        <v>1</v>
      </c>
      <c r="X711" t="s">
        <v>57</v>
      </c>
      <c r="Y711">
        <v>2</v>
      </c>
      <c r="Z711" t="s">
        <v>51</v>
      </c>
      <c r="AA711" t="s">
        <v>40</v>
      </c>
      <c r="AB711">
        <v>1</v>
      </c>
    </row>
    <row r="712" spans="1:28" x14ac:dyDescent="0.3">
      <c r="A712">
        <v>711</v>
      </c>
      <c r="B712" t="s">
        <v>26</v>
      </c>
      <c r="C712" t="s">
        <v>52</v>
      </c>
      <c r="D712" t="s">
        <v>53</v>
      </c>
      <c r="E712">
        <v>18</v>
      </c>
      <c r="F712" t="s">
        <v>29</v>
      </c>
      <c r="G712" t="s">
        <v>30</v>
      </c>
      <c r="H712">
        <v>629</v>
      </c>
      <c r="I712" t="s">
        <v>65</v>
      </c>
      <c r="J712" t="s">
        <v>66</v>
      </c>
      <c r="K712" t="s">
        <v>32</v>
      </c>
      <c r="L712" t="s">
        <v>33</v>
      </c>
      <c r="M712">
        <v>4</v>
      </c>
      <c r="N712" t="s">
        <v>34</v>
      </c>
      <c r="O712" t="s">
        <v>35</v>
      </c>
      <c r="P712" t="s">
        <v>36</v>
      </c>
      <c r="Q712">
        <v>3</v>
      </c>
      <c r="R712" t="s">
        <v>60</v>
      </c>
      <c r="S712">
        <v>32</v>
      </c>
      <c r="T712" t="s">
        <v>98</v>
      </c>
      <c r="U712" t="s">
        <v>82</v>
      </c>
      <c r="V712" t="s">
        <v>38</v>
      </c>
      <c r="W712">
        <v>2</v>
      </c>
      <c r="X712" t="s">
        <v>70</v>
      </c>
      <c r="Y712">
        <v>1</v>
      </c>
      <c r="Z712" t="s">
        <v>40</v>
      </c>
      <c r="AA712" t="s">
        <v>40</v>
      </c>
      <c r="AB712">
        <v>1</v>
      </c>
    </row>
    <row r="713" spans="1:28" x14ac:dyDescent="0.3">
      <c r="A713">
        <v>712</v>
      </c>
      <c r="B713" t="s">
        <v>41</v>
      </c>
      <c r="C713" t="s">
        <v>27</v>
      </c>
      <c r="D713" t="s">
        <v>28</v>
      </c>
      <c r="E713">
        <v>6</v>
      </c>
      <c r="F713" t="s">
        <v>85</v>
      </c>
      <c r="G713" t="s">
        <v>54</v>
      </c>
      <c r="H713">
        <v>1198</v>
      </c>
      <c r="I713" t="s">
        <v>45</v>
      </c>
      <c r="J713" t="s">
        <v>46</v>
      </c>
      <c r="K713" t="s">
        <v>32</v>
      </c>
      <c r="L713" t="s">
        <v>33</v>
      </c>
      <c r="M713">
        <v>4</v>
      </c>
      <c r="N713" t="s">
        <v>49</v>
      </c>
      <c r="O713" t="s">
        <v>50</v>
      </c>
      <c r="P713" t="s">
        <v>36</v>
      </c>
      <c r="Q713">
        <v>4</v>
      </c>
      <c r="R713" t="s">
        <v>64</v>
      </c>
      <c r="S713">
        <v>35</v>
      </c>
      <c r="T713" t="s">
        <v>98</v>
      </c>
      <c r="U713" t="s">
        <v>36</v>
      </c>
      <c r="V713" t="s">
        <v>61</v>
      </c>
      <c r="W713">
        <v>1</v>
      </c>
      <c r="X713" t="s">
        <v>39</v>
      </c>
      <c r="Y713">
        <v>1</v>
      </c>
      <c r="Z713" t="s">
        <v>51</v>
      </c>
      <c r="AA713" t="s">
        <v>40</v>
      </c>
      <c r="AB713">
        <v>2</v>
      </c>
    </row>
    <row r="714" spans="1:28" x14ac:dyDescent="0.3">
      <c r="A714">
        <v>713</v>
      </c>
      <c r="B714" t="s">
        <v>26</v>
      </c>
      <c r="C714" t="s">
        <v>52</v>
      </c>
      <c r="D714" t="s">
        <v>53</v>
      </c>
      <c r="E714">
        <v>21</v>
      </c>
      <c r="F714" t="s">
        <v>44</v>
      </c>
      <c r="G714" t="s">
        <v>67</v>
      </c>
      <c r="H714">
        <v>2476</v>
      </c>
      <c r="I714" t="s">
        <v>31</v>
      </c>
      <c r="J714" t="s">
        <v>31</v>
      </c>
      <c r="K714" t="s">
        <v>32</v>
      </c>
      <c r="L714" t="s">
        <v>33</v>
      </c>
      <c r="M714">
        <v>4</v>
      </c>
      <c r="N714" t="s">
        <v>34</v>
      </c>
      <c r="O714" t="s">
        <v>35</v>
      </c>
      <c r="P714" t="s">
        <v>36</v>
      </c>
      <c r="Q714">
        <v>4</v>
      </c>
      <c r="R714" t="s">
        <v>37</v>
      </c>
      <c r="S714">
        <v>46</v>
      </c>
      <c r="T714" t="s">
        <v>97</v>
      </c>
      <c r="U714" t="s">
        <v>36</v>
      </c>
      <c r="V714" t="s">
        <v>38</v>
      </c>
      <c r="W714">
        <v>1</v>
      </c>
      <c r="X714" t="s">
        <v>70</v>
      </c>
      <c r="Y714">
        <v>1</v>
      </c>
      <c r="Z714" t="s">
        <v>40</v>
      </c>
      <c r="AA714" t="s">
        <v>40</v>
      </c>
      <c r="AB714">
        <v>1</v>
      </c>
    </row>
    <row r="715" spans="1:28" x14ac:dyDescent="0.3">
      <c r="A715">
        <v>714</v>
      </c>
      <c r="B715" t="s">
        <v>26</v>
      </c>
      <c r="C715" t="s">
        <v>27</v>
      </c>
      <c r="D715" t="s">
        <v>28</v>
      </c>
      <c r="E715">
        <v>9</v>
      </c>
      <c r="F715" t="s">
        <v>29</v>
      </c>
      <c r="G715" t="s">
        <v>30</v>
      </c>
      <c r="H715">
        <v>1138</v>
      </c>
      <c r="I715" t="s">
        <v>45</v>
      </c>
      <c r="J715" t="s">
        <v>46</v>
      </c>
      <c r="K715" t="s">
        <v>47</v>
      </c>
      <c r="L715" t="s">
        <v>48</v>
      </c>
      <c r="M715">
        <v>4</v>
      </c>
      <c r="N715" t="s">
        <v>34</v>
      </c>
      <c r="O715" t="s">
        <v>35</v>
      </c>
      <c r="P715" t="s">
        <v>36</v>
      </c>
      <c r="Q715">
        <v>4</v>
      </c>
      <c r="R715" t="s">
        <v>37</v>
      </c>
      <c r="S715">
        <v>25</v>
      </c>
      <c r="T715" t="s">
        <v>98</v>
      </c>
      <c r="U715" t="s">
        <v>36</v>
      </c>
      <c r="V715" t="s">
        <v>38</v>
      </c>
      <c r="W715">
        <v>2</v>
      </c>
      <c r="X715" t="s">
        <v>57</v>
      </c>
      <c r="Y715">
        <v>1</v>
      </c>
      <c r="Z715" t="s">
        <v>51</v>
      </c>
      <c r="AA715" t="s">
        <v>40</v>
      </c>
      <c r="AB715">
        <v>1</v>
      </c>
    </row>
    <row r="716" spans="1:28" x14ac:dyDescent="0.3">
      <c r="A716">
        <v>715</v>
      </c>
      <c r="B716" t="s">
        <v>41</v>
      </c>
      <c r="C716" t="s">
        <v>42</v>
      </c>
      <c r="D716" t="s">
        <v>43</v>
      </c>
      <c r="E716">
        <v>60</v>
      </c>
      <c r="F716" t="s">
        <v>44</v>
      </c>
      <c r="G716" t="s">
        <v>63</v>
      </c>
      <c r="H716">
        <v>14027</v>
      </c>
      <c r="I716" t="s">
        <v>45</v>
      </c>
      <c r="J716" t="s">
        <v>46</v>
      </c>
      <c r="K716" t="s">
        <v>55</v>
      </c>
      <c r="L716" t="s">
        <v>56</v>
      </c>
      <c r="M716">
        <v>4</v>
      </c>
      <c r="N716" t="s">
        <v>34</v>
      </c>
      <c r="O716" t="s">
        <v>35</v>
      </c>
      <c r="P716" t="s">
        <v>36</v>
      </c>
      <c r="Q716">
        <v>2</v>
      </c>
      <c r="R716" t="s">
        <v>64</v>
      </c>
      <c r="S716">
        <v>27</v>
      </c>
      <c r="T716" t="s">
        <v>98</v>
      </c>
      <c r="U716" t="s">
        <v>36</v>
      </c>
      <c r="V716" t="s">
        <v>38</v>
      </c>
      <c r="W716">
        <v>1</v>
      </c>
      <c r="X716" t="s">
        <v>70</v>
      </c>
      <c r="Y716">
        <v>1</v>
      </c>
      <c r="Z716" t="s">
        <v>40</v>
      </c>
      <c r="AA716" t="s">
        <v>40</v>
      </c>
      <c r="AB716">
        <v>2</v>
      </c>
    </row>
    <row r="717" spans="1:28" x14ac:dyDescent="0.3">
      <c r="A717">
        <v>716</v>
      </c>
      <c r="B717" t="s">
        <v>26</v>
      </c>
      <c r="C717" t="s">
        <v>52</v>
      </c>
      <c r="D717" t="s">
        <v>53</v>
      </c>
      <c r="E717">
        <v>30</v>
      </c>
      <c r="F717" t="s">
        <v>29</v>
      </c>
      <c r="G717" t="s">
        <v>67</v>
      </c>
      <c r="H717">
        <v>7596</v>
      </c>
      <c r="I717" t="s">
        <v>31</v>
      </c>
      <c r="J717" t="s">
        <v>31</v>
      </c>
      <c r="K717" t="s">
        <v>32</v>
      </c>
      <c r="L717" t="s">
        <v>33</v>
      </c>
      <c r="M717">
        <v>1</v>
      </c>
      <c r="N717" t="s">
        <v>34</v>
      </c>
      <c r="O717" t="s">
        <v>35</v>
      </c>
      <c r="P717" t="s">
        <v>36</v>
      </c>
      <c r="Q717">
        <v>4</v>
      </c>
      <c r="R717" t="s">
        <v>68</v>
      </c>
      <c r="S717">
        <v>63</v>
      </c>
      <c r="T717" t="s">
        <v>95</v>
      </c>
      <c r="U717" t="s">
        <v>36</v>
      </c>
      <c r="V717" t="s">
        <v>38</v>
      </c>
      <c r="W717">
        <v>2</v>
      </c>
      <c r="X717" t="s">
        <v>39</v>
      </c>
      <c r="Y717">
        <v>1</v>
      </c>
      <c r="Z717" t="s">
        <v>51</v>
      </c>
      <c r="AA717" t="s">
        <v>40</v>
      </c>
      <c r="AB717">
        <v>1</v>
      </c>
    </row>
    <row r="718" spans="1:28" x14ac:dyDescent="0.3">
      <c r="A718">
        <v>717</v>
      </c>
      <c r="B718" t="s">
        <v>26</v>
      </c>
      <c r="C718" t="s">
        <v>52</v>
      </c>
      <c r="D718" t="s">
        <v>53</v>
      </c>
      <c r="E718">
        <v>30</v>
      </c>
      <c r="F718" t="s">
        <v>29</v>
      </c>
      <c r="G718" t="s">
        <v>30</v>
      </c>
      <c r="H718">
        <v>3077</v>
      </c>
      <c r="I718" t="s">
        <v>31</v>
      </c>
      <c r="J718" t="s">
        <v>31</v>
      </c>
      <c r="K718" t="s">
        <v>32</v>
      </c>
      <c r="L718" t="s">
        <v>33</v>
      </c>
      <c r="M718">
        <v>3</v>
      </c>
      <c r="N718" t="s">
        <v>34</v>
      </c>
      <c r="O718" t="s">
        <v>35</v>
      </c>
      <c r="P718" t="s">
        <v>36</v>
      </c>
      <c r="Q718">
        <v>2</v>
      </c>
      <c r="R718" t="s">
        <v>68</v>
      </c>
      <c r="S718">
        <v>40</v>
      </c>
      <c r="T718" t="s">
        <v>97</v>
      </c>
      <c r="U718" t="s">
        <v>36</v>
      </c>
      <c r="V718" t="s">
        <v>38</v>
      </c>
      <c r="W718">
        <v>2</v>
      </c>
      <c r="X718" t="s">
        <v>39</v>
      </c>
      <c r="Y718">
        <v>2</v>
      </c>
      <c r="Z718" t="s">
        <v>40</v>
      </c>
      <c r="AA718" t="s">
        <v>40</v>
      </c>
      <c r="AB718">
        <v>1</v>
      </c>
    </row>
    <row r="719" spans="1:28" x14ac:dyDescent="0.3">
      <c r="A719">
        <v>718</v>
      </c>
      <c r="B719" t="s">
        <v>26</v>
      </c>
      <c r="C719" t="s">
        <v>52</v>
      </c>
      <c r="D719" t="s">
        <v>53</v>
      </c>
      <c r="E719">
        <v>18</v>
      </c>
      <c r="F719" t="s">
        <v>44</v>
      </c>
      <c r="G719" t="s">
        <v>30</v>
      </c>
      <c r="H719">
        <v>1505</v>
      </c>
      <c r="I719" t="s">
        <v>45</v>
      </c>
      <c r="J719" t="s">
        <v>46</v>
      </c>
      <c r="K719" t="s">
        <v>47</v>
      </c>
      <c r="L719" t="s">
        <v>48</v>
      </c>
      <c r="M719">
        <v>4</v>
      </c>
      <c r="N719" t="s">
        <v>34</v>
      </c>
      <c r="O719" t="s">
        <v>35</v>
      </c>
      <c r="P719" t="s">
        <v>36</v>
      </c>
      <c r="Q719">
        <v>2</v>
      </c>
      <c r="R719" t="s">
        <v>64</v>
      </c>
      <c r="S719">
        <v>32</v>
      </c>
      <c r="T719" t="s">
        <v>98</v>
      </c>
      <c r="U719" t="s">
        <v>36</v>
      </c>
      <c r="V719" t="s">
        <v>61</v>
      </c>
      <c r="W719">
        <v>1</v>
      </c>
      <c r="X719" t="s">
        <v>70</v>
      </c>
      <c r="Y719">
        <v>1</v>
      </c>
      <c r="Z719" t="s">
        <v>40</v>
      </c>
      <c r="AA719" t="s">
        <v>40</v>
      </c>
      <c r="AB719">
        <v>1</v>
      </c>
    </row>
    <row r="720" spans="1:28" x14ac:dyDescent="0.3">
      <c r="A720">
        <v>719</v>
      </c>
      <c r="B720" t="s">
        <v>26</v>
      </c>
      <c r="C720" t="s">
        <v>83</v>
      </c>
      <c r="D720" t="s">
        <v>84</v>
      </c>
      <c r="E720">
        <v>24</v>
      </c>
      <c r="F720" t="s">
        <v>29</v>
      </c>
      <c r="G720" t="s">
        <v>30</v>
      </c>
      <c r="H720">
        <v>3148</v>
      </c>
      <c r="I720" t="s">
        <v>31</v>
      </c>
      <c r="J720" t="s">
        <v>31</v>
      </c>
      <c r="K720" t="s">
        <v>47</v>
      </c>
      <c r="L720" t="s">
        <v>48</v>
      </c>
      <c r="M720">
        <v>3</v>
      </c>
      <c r="N720" t="s">
        <v>34</v>
      </c>
      <c r="O720" t="s">
        <v>35</v>
      </c>
      <c r="P720" t="s">
        <v>36</v>
      </c>
      <c r="Q720">
        <v>2</v>
      </c>
      <c r="R720" t="s">
        <v>68</v>
      </c>
      <c r="S720">
        <v>31</v>
      </c>
      <c r="T720" t="s">
        <v>98</v>
      </c>
      <c r="U720" t="s">
        <v>36</v>
      </c>
      <c r="V720" t="s">
        <v>38</v>
      </c>
      <c r="W720">
        <v>2</v>
      </c>
      <c r="X720" t="s">
        <v>39</v>
      </c>
      <c r="Y720">
        <v>1</v>
      </c>
      <c r="Z720" t="s">
        <v>40</v>
      </c>
      <c r="AA720" t="s">
        <v>40</v>
      </c>
      <c r="AB720">
        <v>1</v>
      </c>
    </row>
    <row r="721" spans="1:28" x14ac:dyDescent="0.3">
      <c r="A721">
        <v>720</v>
      </c>
      <c r="B721" t="s">
        <v>26</v>
      </c>
      <c r="C721" t="s">
        <v>42</v>
      </c>
      <c r="D721" t="s">
        <v>43</v>
      </c>
      <c r="E721">
        <v>20</v>
      </c>
      <c r="F721" t="s">
        <v>81</v>
      </c>
      <c r="G721" t="s">
        <v>67</v>
      </c>
      <c r="H721">
        <v>6148</v>
      </c>
      <c r="I721" t="s">
        <v>79</v>
      </c>
      <c r="J721" t="s">
        <v>80</v>
      </c>
      <c r="K721" t="s">
        <v>32</v>
      </c>
      <c r="L721" t="s">
        <v>33</v>
      </c>
      <c r="M721">
        <v>3</v>
      </c>
      <c r="N721" t="s">
        <v>34</v>
      </c>
      <c r="O721" t="s">
        <v>75</v>
      </c>
      <c r="P721" t="s">
        <v>36</v>
      </c>
      <c r="Q721">
        <v>4</v>
      </c>
      <c r="R721" t="s">
        <v>68</v>
      </c>
      <c r="S721">
        <v>31</v>
      </c>
      <c r="T721" t="s">
        <v>98</v>
      </c>
      <c r="U721" t="s">
        <v>82</v>
      </c>
      <c r="V721" t="s">
        <v>38</v>
      </c>
      <c r="W721">
        <v>2</v>
      </c>
      <c r="X721" t="s">
        <v>39</v>
      </c>
      <c r="Y721">
        <v>1</v>
      </c>
      <c r="Z721" t="s">
        <v>40</v>
      </c>
      <c r="AA721" t="s">
        <v>40</v>
      </c>
      <c r="AB721">
        <v>1</v>
      </c>
    </row>
    <row r="722" spans="1:28" x14ac:dyDescent="0.3">
      <c r="A722">
        <v>721</v>
      </c>
      <c r="B722" t="s">
        <v>41</v>
      </c>
      <c r="C722" t="s">
        <v>83</v>
      </c>
      <c r="D722" t="s">
        <v>84</v>
      </c>
      <c r="E722">
        <v>9</v>
      </c>
      <c r="F722" t="s">
        <v>81</v>
      </c>
      <c r="G722" t="s">
        <v>30</v>
      </c>
      <c r="H722">
        <v>1337</v>
      </c>
      <c r="I722" t="s">
        <v>45</v>
      </c>
      <c r="J722" t="s">
        <v>46</v>
      </c>
      <c r="K722" t="s">
        <v>76</v>
      </c>
      <c r="L722" t="s">
        <v>77</v>
      </c>
      <c r="M722">
        <v>4</v>
      </c>
      <c r="N722" t="s">
        <v>34</v>
      </c>
      <c r="O722" t="s">
        <v>35</v>
      </c>
      <c r="P722" t="s">
        <v>36</v>
      </c>
      <c r="Q722">
        <v>2</v>
      </c>
      <c r="R722" t="s">
        <v>68</v>
      </c>
      <c r="S722">
        <v>34</v>
      </c>
      <c r="T722" t="s">
        <v>98</v>
      </c>
      <c r="U722" t="s">
        <v>36</v>
      </c>
      <c r="V722" t="s">
        <v>38</v>
      </c>
      <c r="W722">
        <v>2</v>
      </c>
      <c r="X722" t="s">
        <v>70</v>
      </c>
      <c r="Y722">
        <v>1</v>
      </c>
      <c r="Z722" t="s">
        <v>40</v>
      </c>
      <c r="AA722" t="s">
        <v>40</v>
      </c>
      <c r="AB722">
        <v>2</v>
      </c>
    </row>
    <row r="723" spans="1:28" x14ac:dyDescent="0.3">
      <c r="A723">
        <v>722</v>
      </c>
      <c r="B723" t="s">
        <v>41</v>
      </c>
      <c r="C723" t="s">
        <v>42</v>
      </c>
      <c r="D723" t="s">
        <v>43</v>
      </c>
      <c r="E723">
        <v>6</v>
      </c>
      <c r="F723" t="s">
        <v>85</v>
      </c>
      <c r="G723" t="s">
        <v>54</v>
      </c>
      <c r="H723">
        <v>433</v>
      </c>
      <c r="I723" t="s">
        <v>71</v>
      </c>
      <c r="J723" t="s">
        <v>72</v>
      </c>
      <c r="K723" t="s">
        <v>76</v>
      </c>
      <c r="L723" t="s">
        <v>77</v>
      </c>
      <c r="M723">
        <v>4</v>
      </c>
      <c r="N723" t="s">
        <v>49</v>
      </c>
      <c r="O723" t="s">
        <v>50</v>
      </c>
      <c r="P723" t="s">
        <v>36</v>
      </c>
      <c r="Q723">
        <v>2</v>
      </c>
      <c r="R723" t="s">
        <v>60</v>
      </c>
      <c r="S723">
        <v>24</v>
      </c>
      <c r="T723" t="s">
        <v>96</v>
      </c>
      <c r="U723" t="s">
        <v>82</v>
      </c>
      <c r="V723" t="s">
        <v>69</v>
      </c>
      <c r="W723">
        <v>1</v>
      </c>
      <c r="X723" t="s">
        <v>39</v>
      </c>
      <c r="Y723">
        <v>2</v>
      </c>
      <c r="Z723" t="s">
        <v>51</v>
      </c>
      <c r="AA723" t="s">
        <v>40</v>
      </c>
      <c r="AB723">
        <v>2</v>
      </c>
    </row>
    <row r="724" spans="1:28" x14ac:dyDescent="0.3">
      <c r="A724">
        <v>723</v>
      </c>
      <c r="B724" t="s">
        <v>41</v>
      </c>
      <c r="C724" t="s">
        <v>27</v>
      </c>
      <c r="D724" t="s">
        <v>28</v>
      </c>
      <c r="E724">
        <v>12</v>
      </c>
      <c r="F724" t="s">
        <v>44</v>
      </c>
      <c r="G724" t="s">
        <v>63</v>
      </c>
      <c r="H724">
        <v>1228</v>
      </c>
      <c r="I724" t="s">
        <v>45</v>
      </c>
      <c r="J724" t="s">
        <v>46</v>
      </c>
      <c r="K724" t="s">
        <v>47</v>
      </c>
      <c r="L724" t="s">
        <v>48</v>
      </c>
      <c r="M724">
        <v>4</v>
      </c>
      <c r="N724" t="s">
        <v>49</v>
      </c>
      <c r="O724" t="s">
        <v>50</v>
      </c>
      <c r="P724" t="s">
        <v>36</v>
      </c>
      <c r="Q724">
        <v>2</v>
      </c>
      <c r="R724" t="s">
        <v>37</v>
      </c>
      <c r="S724">
        <v>24</v>
      </c>
      <c r="T724" t="s">
        <v>96</v>
      </c>
      <c r="U724" t="s">
        <v>36</v>
      </c>
      <c r="V724" t="s">
        <v>38</v>
      </c>
      <c r="W724">
        <v>1</v>
      </c>
      <c r="X724" t="s">
        <v>57</v>
      </c>
      <c r="Y724">
        <v>1</v>
      </c>
      <c r="Z724" t="s">
        <v>51</v>
      </c>
      <c r="AA724" t="s">
        <v>40</v>
      </c>
      <c r="AB724">
        <v>2</v>
      </c>
    </row>
    <row r="725" spans="1:28" x14ac:dyDescent="0.3">
      <c r="A725">
        <v>724</v>
      </c>
      <c r="B725" t="s">
        <v>26</v>
      </c>
      <c r="C725" t="s">
        <v>42</v>
      </c>
      <c r="D725" t="s">
        <v>43</v>
      </c>
      <c r="E725">
        <v>9</v>
      </c>
      <c r="F725" t="s">
        <v>44</v>
      </c>
      <c r="G725" t="s">
        <v>30</v>
      </c>
      <c r="H725">
        <v>790</v>
      </c>
      <c r="I725" t="s">
        <v>65</v>
      </c>
      <c r="J725" t="s">
        <v>66</v>
      </c>
      <c r="K725" t="s">
        <v>47</v>
      </c>
      <c r="L725" t="s">
        <v>48</v>
      </c>
      <c r="M725">
        <v>4</v>
      </c>
      <c r="N725" t="s">
        <v>49</v>
      </c>
      <c r="O725" t="s">
        <v>50</v>
      </c>
      <c r="P725" t="s">
        <v>36</v>
      </c>
      <c r="Q725">
        <v>3</v>
      </c>
      <c r="R725" t="s">
        <v>37</v>
      </c>
      <c r="S725">
        <v>66</v>
      </c>
      <c r="T725" t="s">
        <v>95</v>
      </c>
      <c r="U725" t="s">
        <v>36</v>
      </c>
      <c r="V725" t="s">
        <v>38</v>
      </c>
      <c r="W725">
        <v>1</v>
      </c>
      <c r="X725" t="s">
        <v>57</v>
      </c>
      <c r="Y725">
        <v>1</v>
      </c>
      <c r="Z725" t="s">
        <v>51</v>
      </c>
      <c r="AA725" t="s">
        <v>40</v>
      </c>
      <c r="AB725">
        <v>1</v>
      </c>
    </row>
    <row r="726" spans="1:28" x14ac:dyDescent="0.3">
      <c r="A726">
        <v>725</v>
      </c>
      <c r="B726" t="s">
        <v>41</v>
      </c>
      <c r="C726" t="s">
        <v>52</v>
      </c>
      <c r="D726" t="s">
        <v>53</v>
      </c>
      <c r="E726">
        <v>27</v>
      </c>
      <c r="F726" t="s">
        <v>44</v>
      </c>
      <c r="G726" t="s">
        <v>63</v>
      </c>
      <c r="H726">
        <v>2570</v>
      </c>
      <c r="I726" t="s">
        <v>45</v>
      </c>
      <c r="J726" t="s">
        <v>46</v>
      </c>
      <c r="K726" t="s">
        <v>47</v>
      </c>
      <c r="L726" t="s">
        <v>48</v>
      </c>
      <c r="M726">
        <v>3</v>
      </c>
      <c r="N726" t="s">
        <v>49</v>
      </c>
      <c r="O726" t="s">
        <v>50</v>
      </c>
      <c r="P726" t="s">
        <v>36</v>
      </c>
      <c r="Q726">
        <v>3</v>
      </c>
      <c r="R726" t="s">
        <v>37</v>
      </c>
      <c r="S726">
        <v>21</v>
      </c>
      <c r="T726" t="s">
        <v>96</v>
      </c>
      <c r="U726" t="s">
        <v>36</v>
      </c>
      <c r="V726" t="s">
        <v>69</v>
      </c>
      <c r="W726">
        <v>1</v>
      </c>
      <c r="X726" t="s">
        <v>39</v>
      </c>
      <c r="Y726">
        <v>1</v>
      </c>
      <c r="Z726" t="s">
        <v>51</v>
      </c>
      <c r="AA726" t="s">
        <v>40</v>
      </c>
      <c r="AB726">
        <v>2</v>
      </c>
    </row>
    <row r="727" spans="1:28" x14ac:dyDescent="0.3">
      <c r="A727">
        <v>726</v>
      </c>
      <c r="B727" t="s">
        <v>26</v>
      </c>
      <c r="C727" t="s">
        <v>52</v>
      </c>
      <c r="D727" t="s">
        <v>53</v>
      </c>
      <c r="E727">
        <v>6</v>
      </c>
      <c r="F727" t="s">
        <v>29</v>
      </c>
      <c r="G727" t="s">
        <v>63</v>
      </c>
      <c r="H727">
        <v>250</v>
      </c>
      <c r="I727" t="s">
        <v>71</v>
      </c>
      <c r="J727" t="s">
        <v>72</v>
      </c>
      <c r="K727" t="s">
        <v>47</v>
      </c>
      <c r="L727" t="s">
        <v>48</v>
      </c>
      <c r="M727">
        <v>2</v>
      </c>
      <c r="N727" t="s">
        <v>49</v>
      </c>
      <c r="O727" t="s">
        <v>50</v>
      </c>
      <c r="P727" t="s">
        <v>36</v>
      </c>
      <c r="Q727">
        <v>2</v>
      </c>
      <c r="R727" t="s">
        <v>37</v>
      </c>
      <c r="S727">
        <v>41</v>
      </c>
      <c r="T727" t="s">
        <v>97</v>
      </c>
      <c r="U727" t="s">
        <v>82</v>
      </c>
      <c r="V727" t="s">
        <v>38</v>
      </c>
      <c r="W727">
        <v>2</v>
      </c>
      <c r="X727" t="s">
        <v>57</v>
      </c>
      <c r="Y727">
        <v>1</v>
      </c>
      <c r="Z727" t="s">
        <v>51</v>
      </c>
      <c r="AA727" t="s">
        <v>40</v>
      </c>
      <c r="AB727">
        <v>1</v>
      </c>
    </row>
    <row r="728" spans="1:28" x14ac:dyDescent="0.3">
      <c r="A728">
        <v>727</v>
      </c>
      <c r="B728" t="s">
        <v>26</v>
      </c>
      <c r="C728" t="s">
        <v>52</v>
      </c>
      <c r="D728" t="s">
        <v>53</v>
      </c>
      <c r="E728">
        <v>15</v>
      </c>
      <c r="F728" t="s">
        <v>29</v>
      </c>
      <c r="G728" t="s">
        <v>30</v>
      </c>
      <c r="H728">
        <v>1316</v>
      </c>
      <c r="I728" t="s">
        <v>65</v>
      </c>
      <c r="J728" t="s">
        <v>66</v>
      </c>
      <c r="K728" t="s">
        <v>47</v>
      </c>
      <c r="L728" t="s">
        <v>48</v>
      </c>
      <c r="M728">
        <v>2</v>
      </c>
      <c r="N728" t="s">
        <v>34</v>
      </c>
      <c r="O728" t="s">
        <v>75</v>
      </c>
      <c r="P728" t="s">
        <v>36</v>
      </c>
      <c r="Q728">
        <v>2</v>
      </c>
      <c r="R728" t="s">
        <v>60</v>
      </c>
      <c r="S728">
        <v>47</v>
      </c>
      <c r="T728" t="s">
        <v>97</v>
      </c>
      <c r="U728" t="s">
        <v>36</v>
      </c>
      <c r="V728" t="s">
        <v>38</v>
      </c>
      <c r="W728">
        <v>2</v>
      </c>
      <c r="X728" t="s">
        <v>57</v>
      </c>
      <c r="Y728">
        <v>1</v>
      </c>
      <c r="Z728" t="s">
        <v>51</v>
      </c>
      <c r="AA728" t="s">
        <v>40</v>
      </c>
      <c r="AB728">
        <v>1</v>
      </c>
    </row>
    <row r="729" spans="1:28" x14ac:dyDescent="0.3">
      <c r="A729">
        <v>728</v>
      </c>
      <c r="B729" t="s">
        <v>41</v>
      </c>
      <c r="C729" t="s">
        <v>27</v>
      </c>
      <c r="D729" t="s">
        <v>28</v>
      </c>
      <c r="E729">
        <v>18</v>
      </c>
      <c r="F729" t="s">
        <v>44</v>
      </c>
      <c r="G729" t="s">
        <v>30</v>
      </c>
      <c r="H729">
        <v>1882</v>
      </c>
      <c r="I729" t="s">
        <v>45</v>
      </c>
      <c r="J729" t="s">
        <v>46</v>
      </c>
      <c r="K729" t="s">
        <v>47</v>
      </c>
      <c r="L729" t="s">
        <v>48</v>
      </c>
      <c r="M729">
        <v>4</v>
      </c>
      <c r="N729" t="s">
        <v>49</v>
      </c>
      <c r="O729" t="s">
        <v>50</v>
      </c>
      <c r="P729" t="s">
        <v>36</v>
      </c>
      <c r="Q729">
        <v>4</v>
      </c>
      <c r="R729" t="s">
        <v>68</v>
      </c>
      <c r="S729">
        <v>25</v>
      </c>
      <c r="T729" t="s">
        <v>98</v>
      </c>
      <c r="U729" t="s">
        <v>82</v>
      </c>
      <c r="V729" t="s">
        <v>69</v>
      </c>
      <c r="W729">
        <v>2</v>
      </c>
      <c r="X729" t="s">
        <v>39</v>
      </c>
      <c r="Y729">
        <v>1</v>
      </c>
      <c r="Z729" t="s">
        <v>51</v>
      </c>
      <c r="AA729" t="s">
        <v>40</v>
      </c>
      <c r="AB729">
        <v>2</v>
      </c>
    </row>
    <row r="730" spans="1:28" x14ac:dyDescent="0.3">
      <c r="A730">
        <v>729</v>
      </c>
      <c r="B730" t="s">
        <v>41</v>
      </c>
      <c r="C730" t="s">
        <v>42</v>
      </c>
      <c r="D730" t="s">
        <v>43</v>
      </c>
      <c r="E730">
        <v>48</v>
      </c>
      <c r="F730" t="s">
        <v>85</v>
      </c>
      <c r="G730" t="s">
        <v>78</v>
      </c>
      <c r="H730">
        <v>6416</v>
      </c>
      <c r="I730" t="s">
        <v>45</v>
      </c>
      <c r="J730" t="s">
        <v>46</v>
      </c>
      <c r="K730" t="s">
        <v>32</v>
      </c>
      <c r="L730" t="s">
        <v>33</v>
      </c>
      <c r="M730">
        <v>4</v>
      </c>
      <c r="N730" t="s">
        <v>49</v>
      </c>
      <c r="O730" t="s">
        <v>50</v>
      </c>
      <c r="P730" t="s">
        <v>36</v>
      </c>
      <c r="Q730">
        <v>3</v>
      </c>
      <c r="R730" t="s">
        <v>64</v>
      </c>
      <c r="S730">
        <v>59</v>
      </c>
      <c r="T730" t="s">
        <v>97</v>
      </c>
      <c r="U730" t="s">
        <v>36</v>
      </c>
      <c r="V730" t="s">
        <v>69</v>
      </c>
      <c r="W730">
        <v>1</v>
      </c>
      <c r="X730" t="s">
        <v>39</v>
      </c>
      <c r="Y730">
        <v>1</v>
      </c>
      <c r="Z730" t="s">
        <v>51</v>
      </c>
      <c r="AA730" t="s">
        <v>40</v>
      </c>
      <c r="AB730">
        <v>2</v>
      </c>
    </row>
    <row r="731" spans="1:28" x14ac:dyDescent="0.3">
      <c r="A731">
        <v>730</v>
      </c>
      <c r="B731" t="s">
        <v>26</v>
      </c>
      <c r="C731" t="s">
        <v>83</v>
      </c>
      <c r="D731" t="s">
        <v>84</v>
      </c>
      <c r="E731">
        <v>24</v>
      </c>
      <c r="F731" t="s">
        <v>29</v>
      </c>
      <c r="G731" t="s">
        <v>78</v>
      </c>
      <c r="H731">
        <v>1275</v>
      </c>
      <c r="I731" t="s">
        <v>71</v>
      </c>
      <c r="J731" t="s">
        <v>72</v>
      </c>
      <c r="K731" t="s">
        <v>47</v>
      </c>
      <c r="L731" t="s">
        <v>48</v>
      </c>
      <c r="M731">
        <v>2</v>
      </c>
      <c r="N731" t="s">
        <v>34</v>
      </c>
      <c r="O731" t="s">
        <v>73</v>
      </c>
      <c r="P731" t="s">
        <v>36</v>
      </c>
      <c r="Q731">
        <v>4</v>
      </c>
      <c r="R731" t="s">
        <v>37</v>
      </c>
      <c r="S731">
        <v>36</v>
      </c>
      <c r="T731" t="s">
        <v>98</v>
      </c>
      <c r="U731" t="s">
        <v>36</v>
      </c>
      <c r="V731" t="s">
        <v>38</v>
      </c>
      <c r="W731">
        <v>2</v>
      </c>
      <c r="X731" t="s">
        <v>39</v>
      </c>
      <c r="Y731">
        <v>1</v>
      </c>
      <c r="Z731" t="s">
        <v>40</v>
      </c>
      <c r="AA731" t="s">
        <v>40</v>
      </c>
      <c r="AB731">
        <v>1</v>
      </c>
    </row>
    <row r="732" spans="1:28" x14ac:dyDescent="0.3">
      <c r="A732">
        <v>731</v>
      </c>
      <c r="B732" t="s">
        <v>26</v>
      </c>
      <c r="C732" t="s">
        <v>42</v>
      </c>
      <c r="D732" t="s">
        <v>43</v>
      </c>
      <c r="E732">
        <v>24</v>
      </c>
      <c r="F732" t="s">
        <v>62</v>
      </c>
      <c r="G732" t="s">
        <v>30</v>
      </c>
      <c r="H732">
        <v>6403</v>
      </c>
      <c r="I732" t="s">
        <v>45</v>
      </c>
      <c r="J732" t="s">
        <v>46</v>
      </c>
      <c r="K732" t="s">
        <v>76</v>
      </c>
      <c r="L732" t="s">
        <v>77</v>
      </c>
      <c r="M732">
        <v>1</v>
      </c>
      <c r="N732" t="s">
        <v>34</v>
      </c>
      <c r="O732" t="s">
        <v>35</v>
      </c>
      <c r="P732" t="s">
        <v>36</v>
      </c>
      <c r="Q732">
        <v>2</v>
      </c>
      <c r="R732" t="s">
        <v>68</v>
      </c>
      <c r="S732">
        <v>33</v>
      </c>
      <c r="T732" t="s">
        <v>98</v>
      </c>
      <c r="U732" t="s">
        <v>36</v>
      </c>
      <c r="V732" t="s">
        <v>38</v>
      </c>
      <c r="W732">
        <v>1</v>
      </c>
      <c r="X732" t="s">
        <v>39</v>
      </c>
      <c r="Y732">
        <v>1</v>
      </c>
      <c r="Z732" t="s">
        <v>51</v>
      </c>
      <c r="AA732" t="s">
        <v>40</v>
      </c>
      <c r="AB732">
        <v>1</v>
      </c>
    </row>
    <row r="733" spans="1:28" x14ac:dyDescent="0.3">
      <c r="A733">
        <v>732</v>
      </c>
      <c r="B733" t="s">
        <v>41</v>
      </c>
      <c r="C733" t="s">
        <v>27</v>
      </c>
      <c r="D733" t="s">
        <v>28</v>
      </c>
      <c r="E733">
        <v>24</v>
      </c>
      <c r="F733" t="s">
        <v>44</v>
      </c>
      <c r="G733" t="s">
        <v>30</v>
      </c>
      <c r="H733">
        <v>1987</v>
      </c>
      <c r="I733" t="s">
        <v>45</v>
      </c>
      <c r="J733" t="s">
        <v>46</v>
      </c>
      <c r="K733" t="s">
        <v>47</v>
      </c>
      <c r="L733" t="s">
        <v>48</v>
      </c>
      <c r="M733">
        <v>2</v>
      </c>
      <c r="N733" t="s">
        <v>34</v>
      </c>
      <c r="O733" t="s">
        <v>35</v>
      </c>
      <c r="P733" t="s">
        <v>36</v>
      </c>
      <c r="Q733">
        <v>4</v>
      </c>
      <c r="R733" t="s">
        <v>37</v>
      </c>
      <c r="S733">
        <v>21</v>
      </c>
      <c r="T733" t="s">
        <v>96</v>
      </c>
      <c r="U733" t="s">
        <v>36</v>
      </c>
      <c r="V733" t="s">
        <v>69</v>
      </c>
      <c r="W733">
        <v>1</v>
      </c>
      <c r="X733" t="s">
        <v>57</v>
      </c>
      <c r="Y733">
        <v>2</v>
      </c>
      <c r="Z733" t="s">
        <v>51</v>
      </c>
      <c r="AA733" t="s">
        <v>40</v>
      </c>
      <c r="AB733">
        <v>2</v>
      </c>
    </row>
    <row r="734" spans="1:28" x14ac:dyDescent="0.3">
      <c r="A734">
        <v>733</v>
      </c>
      <c r="B734" t="s">
        <v>26</v>
      </c>
      <c r="C734" t="s">
        <v>42</v>
      </c>
      <c r="D734" t="s">
        <v>43</v>
      </c>
      <c r="E734">
        <v>8</v>
      </c>
      <c r="F734" t="s">
        <v>44</v>
      </c>
      <c r="G734" t="s">
        <v>30</v>
      </c>
      <c r="H734">
        <v>760</v>
      </c>
      <c r="I734" t="s">
        <v>45</v>
      </c>
      <c r="J734" t="s">
        <v>46</v>
      </c>
      <c r="K734" t="s">
        <v>55</v>
      </c>
      <c r="L734" t="s">
        <v>56</v>
      </c>
      <c r="M734">
        <v>4</v>
      </c>
      <c r="N734" t="s">
        <v>49</v>
      </c>
      <c r="O734" t="s">
        <v>50</v>
      </c>
      <c r="P734" t="s">
        <v>59</v>
      </c>
      <c r="Q734">
        <v>2</v>
      </c>
      <c r="R734" t="s">
        <v>37</v>
      </c>
      <c r="S734">
        <v>44</v>
      </c>
      <c r="T734" t="s">
        <v>97</v>
      </c>
      <c r="U734" t="s">
        <v>36</v>
      </c>
      <c r="V734" t="s">
        <v>38</v>
      </c>
      <c r="W734">
        <v>1</v>
      </c>
      <c r="X734" t="s">
        <v>57</v>
      </c>
      <c r="Y734">
        <v>1</v>
      </c>
      <c r="Z734" t="s">
        <v>51</v>
      </c>
      <c r="AA734" t="s">
        <v>40</v>
      </c>
      <c r="AB734">
        <v>1</v>
      </c>
    </row>
    <row r="735" spans="1:28" x14ac:dyDescent="0.3">
      <c r="A735">
        <v>734</v>
      </c>
      <c r="B735" t="s">
        <v>26</v>
      </c>
      <c r="C735" t="s">
        <v>52</v>
      </c>
      <c r="D735" t="s">
        <v>53</v>
      </c>
      <c r="E735">
        <v>24</v>
      </c>
      <c r="F735" t="s">
        <v>44</v>
      </c>
      <c r="G735" t="s">
        <v>67</v>
      </c>
      <c r="H735">
        <v>2603</v>
      </c>
      <c r="I735" t="s">
        <v>71</v>
      </c>
      <c r="J735" t="s">
        <v>72</v>
      </c>
      <c r="K735" t="s">
        <v>47</v>
      </c>
      <c r="L735" t="s">
        <v>48</v>
      </c>
      <c r="M735">
        <v>2</v>
      </c>
      <c r="N735" t="s">
        <v>49</v>
      </c>
      <c r="O735" t="s">
        <v>50</v>
      </c>
      <c r="P735" t="s">
        <v>36</v>
      </c>
      <c r="Q735">
        <v>4</v>
      </c>
      <c r="R735" t="s">
        <v>68</v>
      </c>
      <c r="S735">
        <v>28</v>
      </c>
      <c r="T735" t="s">
        <v>98</v>
      </c>
      <c r="U735" t="s">
        <v>36</v>
      </c>
      <c r="V735" t="s">
        <v>69</v>
      </c>
      <c r="W735">
        <v>1</v>
      </c>
      <c r="X735" t="s">
        <v>39</v>
      </c>
      <c r="Y735">
        <v>1</v>
      </c>
      <c r="Z735" t="s">
        <v>40</v>
      </c>
      <c r="AA735" t="s">
        <v>40</v>
      </c>
      <c r="AB735">
        <v>1</v>
      </c>
    </row>
    <row r="736" spans="1:28" x14ac:dyDescent="0.3">
      <c r="A736">
        <v>735</v>
      </c>
      <c r="B736" t="s">
        <v>26</v>
      </c>
      <c r="C736" t="s">
        <v>52</v>
      </c>
      <c r="D736" t="s">
        <v>53</v>
      </c>
      <c r="E736">
        <v>4</v>
      </c>
      <c r="F736" t="s">
        <v>29</v>
      </c>
      <c r="G736" t="s">
        <v>63</v>
      </c>
      <c r="H736">
        <v>3380</v>
      </c>
      <c r="I736" t="s">
        <v>45</v>
      </c>
      <c r="J736" t="s">
        <v>46</v>
      </c>
      <c r="K736" t="s">
        <v>55</v>
      </c>
      <c r="L736" t="s">
        <v>56</v>
      </c>
      <c r="M736">
        <v>1</v>
      </c>
      <c r="N736" t="s">
        <v>49</v>
      </c>
      <c r="O736" t="s">
        <v>50</v>
      </c>
      <c r="P736" t="s">
        <v>36</v>
      </c>
      <c r="Q736">
        <v>1</v>
      </c>
      <c r="R736" t="s">
        <v>37</v>
      </c>
      <c r="S736">
        <v>37</v>
      </c>
      <c r="T736" t="s">
        <v>98</v>
      </c>
      <c r="U736" t="s">
        <v>36</v>
      </c>
      <c r="V736" t="s">
        <v>38</v>
      </c>
      <c r="W736">
        <v>1</v>
      </c>
      <c r="X736" t="s">
        <v>39</v>
      </c>
      <c r="Y736">
        <v>2</v>
      </c>
      <c r="Z736" t="s">
        <v>51</v>
      </c>
      <c r="AA736" t="s">
        <v>40</v>
      </c>
      <c r="AB736">
        <v>1</v>
      </c>
    </row>
    <row r="737" spans="1:28" x14ac:dyDescent="0.3">
      <c r="A737">
        <v>736</v>
      </c>
      <c r="B737" t="s">
        <v>26</v>
      </c>
      <c r="C737" t="s">
        <v>42</v>
      </c>
      <c r="D737" t="s">
        <v>43</v>
      </c>
      <c r="E737">
        <v>36</v>
      </c>
      <c r="F737" t="s">
        <v>85</v>
      </c>
      <c r="G737" t="s">
        <v>88</v>
      </c>
      <c r="H737">
        <v>3990</v>
      </c>
      <c r="I737" t="s">
        <v>31</v>
      </c>
      <c r="J737" t="s">
        <v>31</v>
      </c>
      <c r="K737" t="s">
        <v>76</v>
      </c>
      <c r="L737" t="s">
        <v>77</v>
      </c>
      <c r="M737">
        <v>3</v>
      </c>
      <c r="N737" t="s">
        <v>49</v>
      </c>
      <c r="O737" t="s">
        <v>50</v>
      </c>
      <c r="P737" t="s">
        <v>36</v>
      </c>
      <c r="Q737">
        <v>2</v>
      </c>
      <c r="R737" t="s">
        <v>64</v>
      </c>
      <c r="S737">
        <v>29</v>
      </c>
      <c r="T737" t="s">
        <v>98</v>
      </c>
      <c r="U737" t="s">
        <v>82</v>
      </c>
      <c r="V737" t="s">
        <v>38</v>
      </c>
      <c r="W737">
        <v>1</v>
      </c>
      <c r="X737" t="s">
        <v>90</v>
      </c>
      <c r="Y737">
        <v>1</v>
      </c>
      <c r="Z737" t="s">
        <v>51</v>
      </c>
      <c r="AA737" t="s">
        <v>40</v>
      </c>
      <c r="AB737">
        <v>1</v>
      </c>
    </row>
    <row r="738" spans="1:28" x14ac:dyDescent="0.3">
      <c r="A738">
        <v>737</v>
      </c>
      <c r="B738" t="s">
        <v>41</v>
      </c>
      <c r="C738" t="s">
        <v>42</v>
      </c>
      <c r="D738" t="s">
        <v>43</v>
      </c>
      <c r="E738">
        <v>24</v>
      </c>
      <c r="F738" t="s">
        <v>44</v>
      </c>
      <c r="G738" t="s">
        <v>67</v>
      </c>
      <c r="H738">
        <v>11560</v>
      </c>
      <c r="I738" t="s">
        <v>45</v>
      </c>
      <c r="J738" t="s">
        <v>46</v>
      </c>
      <c r="K738" t="s">
        <v>47</v>
      </c>
      <c r="L738" t="s">
        <v>48</v>
      </c>
      <c r="M738">
        <v>1</v>
      </c>
      <c r="N738" t="s">
        <v>49</v>
      </c>
      <c r="O738" t="s">
        <v>50</v>
      </c>
      <c r="P738" t="s">
        <v>36</v>
      </c>
      <c r="Q738">
        <v>4</v>
      </c>
      <c r="R738" t="s">
        <v>68</v>
      </c>
      <c r="S738">
        <v>23</v>
      </c>
      <c r="T738" t="s">
        <v>96</v>
      </c>
      <c r="U738" t="s">
        <v>36</v>
      </c>
      <c r="V738" t="s">
        <v>69</v>
      </c>
      <c r="W738">
        <v>2</v>
      </c>
      <c r="X738" t="s">
        <v>70</v>
      </c>
      <c r="Y738">
        <v>1</v>
      </c>
      <c r="Z738" t="s">
        <v>51</v>
      </c>
      <c r="AA738" t="s">
        <v>40</v>
      </c>
      <c r="AB738">
        <v>2</v>
      </c>
    </row>
    <row r="739" spans="1:28" x14ac:dyDescent="0.3">
      <c r="A739">
        <v>738</v>
      </c>
      <c r="B739" t="s">
        <v>26</v>
      </c>
      <c r="C739" t="s">
        <v>27</v>
      </c>
      <c r="D739" t="s">
        <v>28</v>
      </c>
      <c r="E739">
        <v>18</v>
      </c>
      <c r="F739" t="s">
        <v>44</v>
      </c>
      <c r="G739" t="s">
        <v>63</v>
      </c>
      <c r="H739">
        <v>4380</v>
      </c>
      <c r="I739" t="s">
        <v>79</v>
      </c>
      <c r="J739" t="s">
        <v>80</v>
      </c>
      <c r="K739" t="s">
        <v>47</v>
      </c>
      <c r="L739" t="s">
        <v>48</v>
      </c>
      <c r="M739">
        <v>3</v>
      </c>
      <c r="N739" t="s">
        <v>34</v>
      </c>
      <c r="O739" t="s">
        <v>35</v>
      </c>
      <c r="P739" t="s">
        <v>36</v>
      </c>
      <c r="Q739">
        <v>4</v>
      </c>
      <c r="R739" t="s">
        <v>68</v>
      </c>
      <c r="S739">
        <v>35</v>
      </c>
      <c r="T739" t="s">
        <v>98</v>
      </c>
      <c r="U739" t="s">
        <v>36</v>
      </c>
      <c r="V739" t="s">
        <v>38</v>
      </c>
      <c r="W739">
        <v>1</v>
      </c>
      <c r="X739" t="s">
        <v>57</v>
      </c>
      <c r="Y739">
        <v>2</v>
      </c>
      <c r="Z739" t="s">
        <v>40</v>
      </c>
      <c r="AA739" t="s">
        <v>40</v>
      </c>
      <c r="AB739">
        <v>1</v>
      </c>
    </row>
    <row r="740" spans="1:28" x14ac:dyDescent="0.3">
      <c r="A740">
        <v>739</v>
      </c>
      <c r="B740" t="s">
        <v>26</v>
      </c>
      <c r="C740" t="s">
        <v>52</v>
      </c>
      <c r="D740" t="s">
        <v>53</v>
      </c>
      <c r="E740">
        <v>6</v>
      </c>
      <c r="F740" t="s">
        <v>29</v>
      </c>
      <c r="G740" t="s">
        <v>63</v>
      </c>
      <c r="H740">
        <v>6761</v>
      </c>
      <c r="I740" t="s">
        <v>45</v>
      </c>
      <c r="J740" t="s">
        <v>46</v>
      </c>
      <c r="K740" t="s">
        <v>55</v>
      </c>
      <c r="L740" t="s">
        <v>56</v>
      </c>
      <c r="M740">
        <v>1</v>
      </c>
      <c r="N740" t="s">
        <v>34</v>
      </c>
      <c r="O740" t="s">
        <v>35</v>
      </c>
      <c r="P740" t="s">
        <v>36</v>
      </c>
      <c r="Q740">
        <v>3</v>
      </c>
      <c r="R740" t="s">
        <v>64</v>
      </c>
      <c r="S740">
        <v>45</v>
      </c>
      <c r="T740" t="s">
        <v>97</v>
      </c>
      <c r="U740" t="s">
        <v>36</v>
      </c>
      <c r="V740" t="s">
        <v>38</v>
      </c>
      <c r="W740">
        <v>2</v>
      </c>
      <c r="X740" t="s">
        <v>70</v>
      </c>
      <c r="Y740">
        <v>2</v>
      </c>
      <c r="Z740" t="s">
        <v>40</v>
      </c>
      <c r="AA740" t="s">
        <v>40</v>
      </c>
      <c r="AB740">
        <v>1</v>
      </c>
    </row>
    <row r="741" spans="1:28" x14ac:dyDescent="0.3">
      <c r="A741">
        <v>740</v>
      </c>
      <c r="B741" t="s">
        <v>41</v>
      </c>
      <c r="C741" t="s">
        <v>42</v>
      </c>
      <c r="D741" t="s">
        <v>43</v>
      </c>
      <c r="E741">
        <v>30</v>
      </c>
      <c r="F741" t="s">
        <v>81</v>
      </c>
      <c r="G741" t="s">
        <v>78</v>
      </c>
      <c r="H741">
        <v>4280</v>
      </c>
      <c r="I741" t="s">
        <v>79</v>
      </c>
      <c r="J741" t="s">
        <v>80</v>
      </c>
      <c r="K741" t="s">
        <v>47</v>
      </c>
      <c r="L741" t="s">
        <v>48</v>
      </c>
      <c r="M741">
        <v>4</v>
      </c>
      <c r="N741" t="s">
        <v>49</v>
      </c>
      <c r="O741" t="s">
        <v>50</v>
      </c>
      <c r="P741" t="s">
        <v>36</v>
      </c>
      <c r="Q741">
        <v>4</v>
      </c>
      <c r="R741" t="s">
        <v>68</v>
      </c>
      <c r="S741">
        <v>26</v>
      </c>
      <c r="T741" t="s">
        <v>98</v>
      </c>
      <c r="U741" t="s">
        <v>36</v>
      </c>
      <c r="V741" t="s">
        <v>69</v>
      </c>
      <c r="W741">
        <v>2</v>
      </c>
      <c r="X741" t="s">
        <v>57</v>
      </c>
      <c r="Y741">
        <v>1</v>
      </c>
      <c r="Z741" t="s">
        <v>51</v>
      </c>
      <c r="AA741" t="s">
        <v>40</v>
      </c>
      <c r="AB741">
        <v>2</v>
      </c>
    </row>
    <row r="742" spans="1:28" x14ac:dyDescent="0.3">
      <c r="A742">
        <v>741</v>
      </c>
      <c r="B742" t="s">
        <v>26</v>
      </c>
      <c r="C742" t="s">
        <v>27</v>
      </c>
      <c r="D742" t="s">
        <v>28</v>
      </c>
      <c r="E742">
        <v>24</v>
      </c>
      <c r="F742" t="s">
        <v>85</v>
      </c>
      <c r="G742" t="s">
        <v>63</v>
      </c>
      <c r="H742">
        <v>2325</v>
      </c>
      <c r="I742" t="s">
        <v>79</v>
      </c>
      <c r="J742" t="s">
        <v>80</v>
      </c>
      <c r="K742" t="s">
        <v>55</v>
      </c>
      <c r="L742" t="s">
        <v>56</v>
      </c>
      <c r="M742">
        <v>2</v>
      </c>
      <c r="N742" t="s">
        <v>34</v>
      </c>
      <c r="O742" t="s">
        <v>35</v>
      </c>
      <c r="P742" t="s">
        <v>36</v>
      </c>
      <c r="Q742">
        <v>3</v>
      </c>
      <c r="R742" t="s">
        <v>68</v>
      </c>
      <c r="S742">
        <v>32</v>
      </c>
      <c r="T742" t="s">
        <v>98</v>
      </c>
      <c r="U742" t="s">
        <v>82</v>
      </c>
      <c r="V742" t="s">
        <v>38</v>
      </c>
      <c r="W742">
        <v>1</v>
      </c>
      <c r="X742" t="s">
        <v>39</v>
      </c>
      <c r="Y742">
        <v>1</v>
      </c>
      <c r="Z742" t="s">
        <v>51</v>
      </c>
      <c r="AA742" t="s">
        <v>40</v>
      </c>
      <c r="AB742">
        <v>1</v>
      </c>
    </row>
    <row r="743" spans="1:28" x14ac:dyDescent="0.3">
      <c r="A743">
        <v>742</v>
      </c>
      <c r="B743" t="s">
        <v>26</v>
      </c>
      <c r="C743" t="s">
        <v>42</v>
      </c>
      <c r="D743" t="s">
        <v>43</v>
      </c>
      <c r="E743">
        <v>10</v>
      </c>
      <c r="F743" t="s">
        <v>85</v>
      </c>
      <c r="G743" t="s">
        <v>30</v>
      </c>
      <c r="H743">
        <v>1048</v>
      </c>
      <c r="I743" t="s">
        <v>45</v>
      </c>
      <c r="J743" t="s">
        <v>46</v>
      </c>
      <c r="K743" t="s">
        <v>47</v>
      </c>
      <c r="L743" t="s">
        <v>48</v>
      </c>
      <c r="M743">
        <v>4</v>
      </c>
      <c r="N743" t="s">
        <v>34</v>
      </c>
      <c r="O743" t="s">
        <v>35</v>
      </c>
      <c r="P743" t="s">
        <v>36</v>
      </c>
      <c r="Q743">
        <v>4</v>
      </c>
      <c r="R743" t="s">
        <v>37</v>
      </c>
      <c r="S743">
        <v>23</v>
      </c>
      <c r="T743" t="s">
        <v>96</v>
      </c>
      <c r="U743" t="s">
        <v>86</v>
      </c>
      <c r="V743" t="s">
        <v>38</v>
      </c>
      <c r="W743">
        <v>1</v>
      </c>
      <c r="X743" t="s">
        <v>57</v>
      </c>
      <c r="Y743">
        <v>1</v>
      </c>
      <c r="Z743" t="s">
        <v>51</v>
      </c>
      <c r="AA743" t="s">
        <v>40</v>
      </c>
      <c r="AB743">
        <v>1</v>
      </c>
    </row>
    <row r="744" spans="1:28" x14ac:dyDescent="0.3">
      <c r="A744">
        <v>743</v>
      </c>
      <c r="B744" t="s">
        <v>26</v>
      </c>
      <c r="C744" t="s">
        <v>52</v>
      </c>
      <c r="D744" t="s">
        <v>53</v>
      </c>
      <c r="E744">
        <v>21</v>
      </c>
      <c r="F744" t="s">
        <v>44</v>
      </c>
      <c r="G744" t="s">
        <v>30</v>
      </c>
      <c r="H744">
        <v>3160</v>
      </c>
      <c r="I744" t="s">
        <v>31</v>
      </c>
      <c r="J744" t="s">
        <v>31</v>
      </c>
      <c r="K744" t="s">
        <v>32</v>
      </c>
      <c r="L744" t="s">
        <v>33</v>
      </c>
      <c r="M744">
        <v>4</v>
      </c>
      <c r="N744" t="s">
        <v>34</v>
      </c>
      <c r="O744" t="s">
        <v>35</v>
      </c>
      <c r="P744" t="s">
        <v>36</v>
      </c>
      <c r="Q744">
        <v>3</v>
      </c>
      <c r="R744" t="s">
        <v>60</v>
      </c>
      <c r="S744">
        <v>41</v>
      </c>
      <c r="T744" t="s">
        <v>97</v>
      </c>
      <c r="U744" t="s">
        <v>36</v>
      </c>
      <c r="V744" t="s">
        <v>38</v>
      </c>
      <c r="W744">
        <v>1</v>
      </c>
      <c r="X744" t="s">
        <v>39</v>
      </c>
      <c r="Y744">
        <v>1</v>
      </c>
      <c r="Z744" t="s">
        <v>40</v>
      </c>
      <c r="AA744" t="s">
        <v>40</v>
      </c>
      <c r="AB744">
        <v>1</v>
      </c>
    </row>
    <row r="745" spans="1:28" x14ac:dyDescent="0.3">
      <c r="A745">
        <v>744</v>
      </c>
      <c r="B745" t="s">
        <v>26</v>
      </c>
      <c r="C745" t="s">
        <v>27</v>
      </c>
      <c r="D745" t="s">
        <v>28</v>
      </c>
      <c r="E745">
        <v>24</v>
      </c>
      <c r="F745" t="s">
        <v>85</v>
      </c>
      <c r="G745" t="s">
        <v>58</v>
      </c>
      <c r="H745">
        <v>2483</v>
      </c>
      <c r="I745" t="s">
        <v>65</v>
      </c>
      <c r="J745" t="s">
        <v>66</v>
      </c>
      <c r="K745" t="s">
        <v>47</v>
      </c>
      <c r="L745" t="s">
        <v>48</v>
      </c>
      <c r="M745">
        <v>4</v>
      </c>
      <c r="N745" t="s">
        <v>34</v>
      </c>
      <c r="O745" t="s">
        <v>35</v>
      </c>
      <c r="P745" t="s">
        <v>36</v>
      </c>
      <c r="Q745">
        <v>4</v>
      </c>
      <c r="R745" t="s">
        <v>37</v>
      </c>
      <c r="S745">
        <v>22</v>
      </c>
      <c r="T745" t="s">
        <v>96</v>
      </c>
      <c r="U745" t="s">
        <v>86</v>
      </c>
      <c r="V745" t="s">
        <v>38</v>
      </c>
      <c r="W745">
        <v>1</v>
      </c>
      <c r="X745" t="s">
        <v>39</v>
      </c>
      <c r="Y745">
        <v>1</v>
      </c>
      <c r="Z745" t="s">
        <v>40</v>
      </c>
      <c r="AA745" t="s">
        <v>40</v>
      </c>
      <c r="AB745">
        <v>1</v>
      </c>
    </row>
    <row r="746" spans="1:28" x14ac:dyDescent="0.3">
      <c r="A746">
        <v>745</v>
      </c>
      <c r="B746" t="s">
        <v>26</v>
      </c>
      <c r="C746" t="s">
        <v>27</v>
      </c>
      <c r="D746" t="s">
        <v>28</v>
      </c>
      <c r="E746">
        <v>39</v>
      </c>
      <c r="F746" t="s">
        <v>29</v>
      </c>
      <c r="G746" t="s">
        <v>58</v>
      </c>
      <c r="H746">
        <v>14179</v>
      </c>
      <c r="I746" t="s">
        <v>31</v>
      </c>
      <c r="J746" t="s">
        <v>31</v>
      </c>
      <c r="K746" t="s">
        <v>55</v>
      </c>
      <c r="L746" t="s">
        <v>56</v>
      </c>
      <c r="M746">
        <v>4</v>
      </c>
      <c r="N746" t="s">
        <v>34</v>
      </c>
      <c r="O746" t="s">
        <v>35</v>
      </c>
      <c r="P746" t="s">
        <v>36</v>
      </c>
      <c r="Q746">
        <v>4</v>
      </c>
      <c r="R746" t="s">
        <v>60</v>
      </c>
      <c r="S746">
        <v>30</v>
      </c>
      <c r="T746" t="s">
        <v>98</v>
      </c>
      <c r="U746" t="s">
        <v>36</v>
      </c>
      <c r="V746" t="s">
        <v>38</v>
      </c>
      <c r="W746">
        <v>2</v>
      </c>
      <c r="X746" t="s">
        <v>70</v>
      </c>
      <c r="Y746">
        <v>1</v>
      </c>
      <c r="Z746" t="s">
        <v>40</v>
      </c>
      <c r="AA746" t="s">
        <v>40</v>
      </c>
      <c r="AB746">
        <v>1</v>
      </c>
    </row>
    <row r="747" spans="1:28" x14ac:dyDescent="0.3">
      <c r="A747">
        <v>746</v>
      </c>
      <c r="B747" t="s">
        <v>26</v>
      </c>
      <c r="C747" t="s">
        <v>27</v>
      </c>
      <c r="D747" t="s">
        <v>28</v>
      </c>
      <c r="E747">
        <v>13</v>
      </c>
      <c r="F747" t="s">
        <v>29</v>
      </c>
      <c r="G747" t="s">
        <v>78</v>
      </c>
      <c r="H747">
        <v>1797</v>
      </c>
      <c r="I747" t="s">
        <v>45</v>
      </c>
      <c r="J747" t="s">
        <v>46</v>
      </c>
      <c r="K747" t="s">
        <v>76</v>
      </c>
      <c r="L747" t="s">
        <v>77</v>
      </c>
      <c r="M747">
        <v>3</v>
      </c>
      <c r="N747" t="s">
        <v>34</v>
      </c>
      <c r="O747" t="s">
        <v>35</v>
      </c>
      <c r="P747" t="s">
        <v>36</v>
      </c>
      <c r="Q747">
        <v>1</v>
      </c>
      <c r="R747" t="s">
        <v>60</v>
      </c>
      <c r="S747">
        <v>28</v>
      </c>
      <c r="T747" t="s">
        <v>98</v>
      </c>
      <c r="U747" t="s">
        <v>82</v>
      </c>
      <c r="V747" t="s">
        <v>38</v>
      </c>
      <c r="W747">
        <v>2</v>
      </c>
      <c r="X747" t="s">
        <v>57</v>
      </c>
      <c r="Y747">
        <v>1</v>
      </c>
      <c r="Z747" t="s">
        <v>51</v>
      </c>
      <c r="AA747" t="s">
        <v>40</v>
      </c>
      <c r="AB747">
        <v>1</v>
      </c>
    </row>
    <row r="748" spans="1:28" x14ac:dyDescent="0.3">
      <c r="A748">
        <v>747</v>
      </c>
      <c r="B748" t="s">
        <v>26</v>
      </c>
      <c r="C748" t="s">
        <v>27</v>
      </c>
      <c r="D748" t="s">
        <v>28</v>
      </c>
      <c r="E748">
        <v>15</v>
      </c>
      <c r="F748" t="s">
        <v>44</v>
      </c>
      <c r="G748" t="s">
        <v>63</v>
      </c>
      <c r="H748">
        <v>2511</v>
      </c>
      <c r="I748" t="s">
        <v>45</v>
      </c>
      <c r="J748" t="s">
        <v>46</v>
      </c>
      <c r="K748" t="s">
        <v>74</v>
      </c>
      <c r="L748" t="s">
        <v>74</v>
      </c>
      <c r="M748">
        <v>1</v>
      </c>
      <c r="N748" t="s">
        <v>49</v>
      </c>
      <c r="O748" t="s">
        <v>50</v>
      </c>
      <c r="P748" t="s">
        <v>36</v>
      </c>
      <c r="Q748">
        <v>4</v>
      </c>
      <c r="R748" t="s">
        <v>68</v>
      </c>
      <c r="S748">
        <v>23</v>
      </c>
      <c r="T748" t="s">
        <v>96</v>
      </c>
      <c r="U748" t="s">
        <v>36</v>
      </c>
      <c r="V748" t="s">
        <v>69</v>
      </c>
      <c r="W748">
        <v>1</v>
      </c>
      <c r="X748" t="s">
        <v>39</v>
      </c>
      <c r="Y748">
        <v>1</v>
      </c>
      <c r="Z748" t="s">
        <v>51</v>
      </c>
      <c r="AA748" t="s">
        <v>40</v>
      </c>
      <c r="AB748">
        <v>1</v>
      </c>
    </row>
    <row r="749" spans="1:28" x14ac:dyDescent="0.3">
      <c r="A749">
        <v>748</v>
      </c>
      <c r="B749" t="s">
        <v>41</v>
      </c>
      <c r="C749" t="s">
        <v>27</v>
      </c>
      <c r="D749" t="s">
        <v>28</v>
      </c>
      <c r="E749">
        <v>12</v>
      </c>
      <c r="F749" t="s">
        <v>44</v>
      </c>
      <c r="G749" t="s">
        <v>63</v>
      </c>
      <c r="H749">
        <v>1274</v>
      </c>
      <c r="I749" t="s">
        <v>45</v>
      </c>
      <c r="J749" t="s">
        <v>46</v>
      </c>
      <c r="K749" t="s">
        <v>76</v>
      </c>
      <c r="L749" t="s">
        <v>77</v>
      </c>
      <c r="M749">
        <v>3</v>
      </c>
      <c r="N749" t="s">
        <v>49</v>
      </c>
      <c r="O749" t="s">
        <v>50</v>
      </c>
      <c r="P749" t="s">
        <v>36</v>
      </c>
      <c r="Q749">
        <v>1</v>
      </c>
      <c r="R749" t="s">
        <v>37</v>
      </c>
      <c r="S749">
        <v>37</v>
      </c>
      <c r="T749" t="s">
        <v>98</v>
      </c>
      <c r="U749" t="s">
        <v>36</v>
      </c>
      <c r="V749" t="s">
        <v>38</v>
      </c>
      <c r="W749">
        <v>1</v>
      </c>
      <c r="X749" t="s">
        <v>57</v>
      </c>
      <c r="Y749">
        <v>1</v>
      </c>
      <c r="Z749" t="s">
        <v>51</v>
      </c>
      <c r="AA749" t="s">
        <v>40</v>
      </c>
      <c r="AB749">
        <v>2</v>
      </c>
    </row>
    <row r="750" spans="1:28" x14ac:dyDescent="0.3">
      <c r="A750">
        <v>749</v>
      </c>
      <c r="B750" t="s">
        <v>26</v>
      </c>
      <c r="C750" t="s">
        <v>52</v>
      </c>
      <c r="D750" t="s">
        <v>53</v>
      </c>
      <c r="E750">
        <v>21</v>
      </c>
      <c r="F750" t="s">
        <v>44</v>
      </c>
      <c r="G750" t="s">
        <v>67</v>
      </c>
      <c r="H750">
        <v>5248</v>
      </c>
      <c r="I750" t="s">
        <v>31</v>
      </c>
      <c r="J750" t="s">
        <v>31</v>
      </c>
      <c r="K750" t="s">
        <v>47</v>
      </c>
      <c r="L750" t="s">
        <v>48</v>
      </c>
      <c r="M750">
        <v>1</v>
      </c>
      <c r="N750" t="s">
        <v>34</v>
      </c>
      <c r="O750" t="s">
        <v>35</v>
      </c>
      <c r="P750" t="s">
        <v>36</v>
      </c>
      <c r="Q750">
        <v>3</v>
      </c>
      <c r="R750" t="s">
        <v>68</v>
      </c>
      <c r="S750">
        <v>26</v>
      </c>
      <c r="T750" t="s">
        <v>98</v>
      </c>
      <c r="U750" t="s">
        <v>36</v>
      </c>
      <c r="V750" t="s">
        <v>38</v>
      </c>
      <c r="W750">
        <v>1</v>
      </c>
      <c r="X750" t="s">
        <v>39</v>
      </c>
      <c r="Y750">
        <v>1</v>
      </c>
      <c r="Z750" t="s">
        <v>51</v>
      </c>
      <c r="AA750" t="s">
        <v>40</v>
      </c>
      <c r="AB750">
        <v>1</v>
      </c>
    </row>
    <row r="751" spans="1:28" x14ac:dyDescent="0.3">
      <c r="A751">
        <v>750</v>
      </c>
      <c r="B751" t="s">
        <v>26</v>
      </c>
      <c r="C751" t="s">
        <v>52</v>
      </c>
      <c r="D751" t="s">
        <v>53</v>
      </c>
      <c r="E751">
        <v>15</v>
      </c>
      <c r="F751" t="s">
        <v>44</v>
      </c>
      <c r="G751" t="s">
        <v>67</v>
      </c>
      <c r="H751">
        <v>3029</v>
      </c>
      <c r="I751" t="s">
        <v>45</v>
      </c>
      <c r="J751" t="s">
        <v>46</v>
      </c>
      <c r="K751" t="s">
        <v>55</v>
      </c>
      <c r="L751" t="s">
        <v>56</v>
      </c>
      <c r="M751">
        <v>2</v>
      </c>
      <c r="N751" t="s">
        <v>34</v>
      </c>
      <c r="O751" t="s">
        <v>35</v>
      </c>
      <c r="P751" t="s">
        <v>36</v>
      </c>
      <c r="Q751">
        <v>2</v>
      </c>
      <c r="R751" t="s">
        <v>68</v>
      </c>
      <c r="S751">
        <v>33</v>
      </c>
      <c r="T751" t="s">
        <v>98</v>
      </c>
      <c r="U751" t="s">
        <v>36</v>
      </c>
      <c r="V751" t="s">
        <v>38</v>
      </c>
      <c r="W751">
        <v>1</v>
      </c>
      <c r="X751" t="s">
        <v>39</v>
      </c>
      <c r="Y751">
        <v>1</v>
      </c>
      <c r="Z751" t="s">
        <v>51</v>
      </c>
      <c r="AA751" t="s">
        <v>40</v>
      </c>
      <c r="AB751">
        <v>1</v>
      </c>
    </row>
    <row r="752" spans="1:28" x14ac:dyDescent="0.3">
      <c r="A752">
        <v>751</v>
      </c>
      <c r="B752" t="s">
        <v>26</v>
      </c>
      <c r="C752" t="s">
        <v>27</v>
      </c>
      <c r="D752" t="s">
        <v>28</v>
      </c>
      <c r="E752">
        <v>6</v>
      </c>
      <c r="F752" t="s">
        <v>44</v>
      </c>
      <c r="G752" t="s">
        <v>58</v>
      </c>
      <c r="H752">
        <v>428</v>
      </c>
      <c r="I752" t="s">
        <v>45</v>
      </c>
      <c r="J752" t="s">
        <v>46</v>
      </c>
      <c r="K752" t="s">
        <v>32</v>
      </c>
      <c r="L752" t="s">
        <v>33</v>
      </c>
      <c r="M752">
        <v>2</v>
      </c>
      <c r="N752" t="s">
        <v>49</v>
      </c>
      <c r="O752" t="s">
        <v>50</v>
      </c>
      <c r="P752" t="s">
        <v>36</v>
      </c>
      <c r="Q752">
        <v>1</v>
      </c>
      <c r="R752" t="s">
        <v>60</v>
      </c>
      <c r="S752">
        <v>49</v>
      </c>
      <c r="T752" t="s">
        <v>97</v>
      </c>
      <c r="U752" t="s">
        <v>82</v>
      </c>
      <c r="V752" t="s">
        <v>38</v>
      </c>
      <c r="W752">
        <v>1</v>
      </c>
      <c r="X752" t="s">
        <v>39</v>
      </c>
      <c r="Y752">
        <v>1</v>
      </c>
      <c r="Z752" t="s">
        <v>40</v>
      </c>
      <c r="AA752" t="s">
        <v>40</v>
      </c>
      <c r="AB752">
        <v>1</v>
      </c>
    </row>
    <row r="753" spans="1:28" x14ac:dyDescent="0.3">
      <c r="A753">
        <v>752</v>
      </c>
      <c r="B753" t="s">
        <v>41</v>
      </c>
      <c r="C753" t="s">
        <v>27</v>
      </c>
      <c r="D753" t="s">
        <v>28</v>
      </c>
      <c r="E753">
        <v>18</v>
      </c>
      <c r="F753" t="s">
        <v>44</v>
      </c>
      <c r="G753" t="s">
        <v>63</v>
      </c>
      <c r="H753">
        <v>976</v>
      </c>
      <c r="I753" t="s">
        <v>45</v>
      </c>
      <c r="J753" t="s">
        <v>46</v>
      </c>
      <c r="K753" t="s">
        <v>76</v>
      </c>
      <c r="L753" t="s">
        <v>77</v>
      </c>
      <c r="M753">
        <v>1</v>
      </c>
      <c r="N753" t="s">
        <v>49</v>
      </c>
      <c r="O753" t="s">
        <v>50</v>
      </c>
      <c r="P753" t="s">
        <v>36</v>
      </c>
      <c r="Q753">
        <v>2</v>
      </c>
      <c r="R753" t="s">
        <v>68</v>
      </c>
      <c r="S753">
        <v>23</v>
      </c>
      <c r="T753" t="s">
        <v>96</v>
      </c>
      <c r="U753" t="s">
        <v>36</v>
      </c>
      <c r="V753" t="s">
        <v>38</v>
      </c>
      <c r="W753">
        <v>1</v>
      </c>
      <c r="X753" t="s">
        <v>57</v>
      </c>
      <c r="Y753">
        <v>1</v>
      </c>
      <c r="Z753" t="s">
        <v>51</v>
      </c>
      <c r="AA753" t="s">
        <v>40</v>
      </c>
      <c r="AB753">
        <v>2</v>
      </c>
    </row>
    <row r="754" spans="1:28" x14ac:dyDescent="0.3">
      <c r="A754">
        <v>753</v>
      </c>
      <c r="B754" t="s">
        <v>26</v>
      </c>
      <c r="C754" t="s">
        <v>42</v>
      </c>
      <c r="D754" t="s">
        <v>43</v>
      </c>
      <c r="E754">
        <v>12</v>
      </c>
      <c r="F754" t="s">
        <v>44</v>
      </c>
      <c r="G754" t="s">
        <v>78</v>
      </c>
      <c r="H754">
        <v>841</v>
      </c>
      <c r="I754" t="s">
        <v>79</v>
      </c>
      <c r="J754" t="s">
        <v>80</v>
      </c>
      <c r="K754" t="s">
        <v>55</v>
      </c>
      <c r="L754" t="s">
        <v>56</v>
      </c>
      <c r="M754">
        <v>2</v>
      </c>
      <c r="N754" t="s">
        <v>49</v>
      </c>
      <c r="O754" t="s">
        <v>50</v>
      </c>
      <c r="P754" t="s">
        <v>36</v>
      </c>
      <c r="Q754">
        <v>4</v>
      </c>
      <c r="R754" t="s">
        <v>37</v>
      </c>
      <c r="S754">
        <v>23</v>
      </c>
      <c r="T754" t="s">
        <v>96</v>
      </c>
      <c r="U754" t="s">
        <v>36</v>
      </c>
      <c r="V754" t="s">
        <v>69</v>
      </c>
      <c r="W754">
        <v>1</v>
      </c>
      <c r="X754" t="s">
        <v>57</v>
      </c>
      <c r="Y754">
        <v>1</v>
      </c>
      <c r="Z754" t="s">
        <v>51</v>
      </c>
      <c r="AA754" t="s">
        <v>40</v>
      </c>
      <c r="AB754">
        <v>1</v>
      </c>
    </row>
    <row r="755" spans="1:28" x14ac:dyDescent="0.3">
      <c r="A755">
        <v>754</v>
      </c>
      <c r="B755" t="s">
        <v>26</v>
      </c>
      <c r="C755" t="s">
        <v>52</v>
      </c>
      <c r="D755" t="s">
        <v>53</v>
      </c>
      <c r="E755">
        <v>30</v>
      </c>
      <c r="F755" t="s">
        <v>29</v>
      </c>
      <c r="G755" t="s">
        <v>30</v>
      </c>
      <c r="H755">
        <v>5771</v>
      </c>
      <c r="I755" t="s">
        <v>45</v>
      </c>
      <c r="J755" t="s">
        <v>46</v>
      </c>
      <c r="K755" t="s">
        <v>55</v>
      </c>
      <c r="L755" t="s">
        <v>56</v>
      </c>
      <c r="M755">
        <v>4</v>
      </c>
      <c r="N755" t="s">
        <v>49</v>
      </c>
      <c r="O755" t="s">
        <v>50</v>
      </c>
      <c r="P755" t="s">
        <v>36</v>
      </c>
      <c r="Q755">
        <v>2</v>
      </c>
      <c r="R755" t="s">
        <v>68</v>
      </c>
      <c r="S755">
        <v>25</v>
      </c>
      <c r="T755" t="s">
        <v>98</v>
      </c>
      <c r="U755" t="s">
        <v>36</v>
      </c>
      <c r="V755" t="s">
        <v>38</v>
      </c>
      <c r="W755">
        <v>2</v>
      </c>
      <c r="X755" t="s">
        <v>39</v>
      </c>
      <c r="Y755">
        <v>1</v>
      </c>
      <c r="Z755" t="s">
        <v>51</v>
      </c>
      <c r="AA755" t="s">
        <v>40</v>
      </c>
      <c r="AB755">
        <v>1</v>
      </c>
    </row>
    <row r="756" spans="1:28" x14ac:dyDescent="0.3">
      <c r="A756">
        <v>755</v>
      </c>
      <c r="B756" t="s">
        <v>41</v>
      </c>
      <c r="C756" t="s">
        <v>52</v>
      </c>
      <c r="D756" t="s">
        <v>53</v>
      </c>
      <c r="E756">
        <v>12</v>
      </c>
      <c r="F756" t="s">
        <v>62</v>
      </c>
      <c r="G756" t="s">
        <v>89</v>
      </c>
      <c r="H756">
        <v>1555</v>
      </c>
      <c r="I756" t="s">
        <v>71</v>
      </c>
      <c r="J756" t="s">
        <v>72</v>
      </c>
      <c r="K756" t="s">
        <v>32</v>
      </c>
      <c r="L756" t="s">
        <v>33</v>
      </c>
      <c r="M756">
        <v>4</v>
      </c>
      <c r="N756" t="s">
        <v>34</v>
      </c>
      <c r="O756" t="s">
        <v>35</v>
      </c>
      <c r="P756" t="s">
        <v>36</v>
      </c>
      <c r="Q756">
        <v>4</v>
      </c>
      <c r="R756" t="s">
        <v>64</v>
      </c>
      <c r="S756">
        <v>55</v>
      </c>
      <c r="T756" t="s">
        <v>97</v>
      </c>
      <c r="U756" t="s">
        <v>36</v>
      </c>
      <c r="V756" t="s">
        <v>61</v>
      </c>
      <c r="W756">
        <v>2</v>
      </c>
      <c r="X756" t="s">
        <v>39</v>
      </c>
      <c r="Y756">
        <v>2</v>
      </c>
      <c r="Z756" t="s">
        <v>51</v>
      </c>
      <c r="AA756" t="s">
        <v>40</v>
      </c>
      <c r="AB756">
        <v>2</v>
      </c>
    </row>
    <row r="757" spans="1:28" x14ac:dyDescent="0.3">
      <c r="A757">
        <v>756</v>
      </c>
      <c r="B757" t="s">
        <v>41</v>
      </c>
      <c r="C757" t="s">
        <v>27</v>
      </c>
      <c r="D757" t="s">
        <v>28</v>
      </c>
      <c r="E757">
        <v>24</v>
      </c>
      <c r="F757" t="s">
        <v>44</v>
      </c>
      <c r="G757" t="s">
        <v>63</v>
      </c>
      <c r="H757">
        <v>1285</v>
      </c>
      <c r="I757" t="s">
        <v>31</v>
      </c>
      <c r="J757" t="s">
        <v>31</v>
      </c>
      <c r="K757" t="s">
        <v>55</v>
      </c>
      <c r="L757" t="s">
        <v>56</v>
      </c>
      <c r="M757">
        <v>4</v>
      </c>
      <c r="N757" t="s">
        <v>49</v>
      </c>
      <c r="O757" t="s">
        <v>50</v>
      </c>
      <c r="P757" t="s">
        <v>36</v>
      </c>
      <c r="Q757">
        <v>4</v>
      </c>
      <c r="R757" t="s">
        <v>64</v>
      </c>
      <c r="S757">
        <v>32</v>
      </c>
      <c r="T757" t="s">
        <v>98</v>
      </c>
      <c r="U757" t="s">
        <v>36</v>
      </c>
      <c r="V757" t="s">
        <v>69</v>
      </c>
      <c r="W757">
        <v>1</v>
      </c>
      <c r="X757" t="s">
        <v>39</v>
      </c>
      <c r="Y757">
        <v>1</v>
      </c>
      <c r="Z757" t="s">
        <v>51</v>
      </c>
      <c r="AA757" t="s">
        <v>40</v>
      </c>
      <c r="AB757">
        <v>2</v>
      </c>
    </row>
    <row r="758" spans="1:28" x14ac:dyDescent="0.3">
      <c r="A758">
        <v>757</v>
      </c>
      <c r="B758" t="s">
        <v>26</v>
      </c>
      <c r="C758" t="s">
        <v>83</v>
      </c>
      <c r="D758" t="s">
        <v>84</v>
      </c>
      <c r="E758">
        <v>6</v>
      </c>
      <c r="F758" t="s">
        <v>29</v>
      </c>
      <c r="G758" t="s">
        <v>63</v>
      </c>
      <c r="H758">
        <v>1299</v>
      </c>
      <c r="I758" t="s">
        <v>45</v>
      </c>
      <c r="J758" t="s">
        <v>46</v>
      </c>
      <c r="K758" t="s">
        <v>47</v>
      </c>
      <c r="L758" t="s">
        <v>48</v>
      </c>
      <c r="M758">
        <v>1</v>
      </c>
      <c r="N758" t="s">
        <v>34</v>
      </c>
      <c r="O758" t="s">
        <v>35</v>
      </c>
      <c r="P758" t="s">
        <v>36</v>
      </c>
      <c r="Q758">
        <v>1</v>
      </c>
      <c r="R758" t="s">
        <v>37</v>
      </c>
      <c r="S758">
        <v>74</v>
      </c>
      <c r="T758" t="s">
        <v>95</v>
      </c>
      <c r="U758" t="s">
        <v>36</v>
      </c>
      <c r="V758" t="s">
        <v>38</v>
      </c>
      <c r="W758">
        <v>3</v>
      </c>
      <c r="X758" t="s">
        <v>90</v>
      </c>
      <c r="Y758">
        <v>2</v>
      </c>
      <c r="Z758" t="s">
        <v>51</v>
      </c>
      <c r="AA758" t="s">
        <v>51</v>
      </c>
      <c r="AB758">
        <v>1</v>
      </c>
    </row>
    <row r="759" spans="1:28" x14ac:dyDescent="0.3">
      <c r="A759">
        <v>758</v>
      </c>
      <c r="B759" t="s">
        <v>41</v>
      </c>
      <c r="C759" t="s">
        <v>83</v>
      </c>
      <c r="D759" t="s">
        <v>84</v>
      </c>
      <c r="E759">
        <v>15</v>
      </c>
      <c r="F759" t="s">
        <v>29</v>
      </c>
      <c r="G759" t="s">
        <v>30</v>
      </c>
      <c r="H759">
        <v>1271</v>
      </c>
      <c r="I759" t="s">
        <v>31</v>
      </c>
      <c r="J759" t="s">
        <v>31</v>
      </c>
      <c r="K759" t="s">
        <v>47</v>
      </c>
      <c r="L759" t="s">
        <v>48</v>
      </c>
      <c r="M759">
        <v>3</v>
      </c>
      <c r="N759" t="s">
        <v>34</v>
      </c>
      <c r="O759" t="s">
        <v>35</v>
      </c>
      <c r="P759" t="s">
        <v>36</v>
      </c>
      <c r="Q759">
        <v>4</v>
      </c>
      <c r="R759" t="s">
        <v>64</v>
      </c>
      <c r="S759">
        <v>39</v>
      </c>
      <c r="T759" t="s">
        <v>98</v>
      </c>
      <c r="U759" t="s">
        <v>36</v>
      </c>
      <c r="V759" t="s">
        <v>61</v>
      </c>
      <c r="W759">
        <v>2</v>
      </c>
      <c r="X759" t="s">
        <v>39</v>
      </c>
      <c r="Y759">
        <v>1</v>
      </c>
      <c r="Z759" t="s">
        <v>40</v>
      </c>
      <c r="AA759" t="s">
        <v>40</v>
      </c>
      <c r="AB759">
        <v>2</v>
      </c>
    </row>
    <row r="760" spans="1:28" x14ac:dyDescent="0.3">
      <c r="A760">
        <v>759</v>
      </c>
      <c r="B760" t="s">
        <v>26</v>
      </c>
      <c r="C760" t="s">
        <v>52</v>
      </c>
      <c r="D760" t="s">
        <v>53</v>
      </c>
      <c r="E760">
        <v>24</v>
      </c>
      <c r="F760" t="s">
        <v>44</v>
      </c>
      <c r="G760" t="s">
        <v>63</v>
      </c>
      <c r="H760">
        <v>1393</v>
      </c>
      <c r="I760" t="s">
        <v>45</v>
      </c>
      <c r="J760" t="s">
        <v>46</v>
      </c>
      <c r="K760" t="s">
        <v>47</v>
      </c>
      <c r="L760" t="s">
        <v>48</v>
      </c>
      <c r="M760">
        <v>2</v>
      </c>
      <c r="N760" t="s">
        <v>34</v>
      </c>
      <c r="O760" t="s">
        <v>35</v>
      </c>
      <c r="P760" t="s">
        <v>59</v>
      </c>
      <c r="Q760">
        <v>2</v>
      </c>
      <c r="R760" t="s">
        <v>37</v>
      </c>
      <c r="S760">
        <v>31</v>
      </c>
      <c r="T760" t="s">
        <v>98</v>
      </c>
      <c r="U760" t="s">
        <v>36</v>
      </c>
      <c r="V760" t="s">
        <v>38</v>
      </c>
      <c r="W760">
        <v>1</v>
      </c>
      <c r="X760" t="s">
        <v>39</v>
      </c>
      <c r="Y760">
        <v>1</v>
      </c>
      <c r="Z760" t="s">
        <v>40</v>
      </c>
      <c r="AA760" t="s">
        <v>40</v>
      </c>
      <c r="AB760">
        <v>1</v>
      </c>
    </row>
    <row r="761" spans="1:28" x14ac:dyDescent="0.3">
      <c r="A761">
        <v>760</v>
      </c>
      <c r="B761" t="s">
        <v>41</v>
      </c>
      <c r="C761" t="s">
        <v>27</v>
      </c>
      <c r="D761" t="s">
        <v>28</v>
      </c>
      <c r="E761">
        <v>12</v>
      </c>
      <c r="F761" t="s">
        <v>29</v>
      </c>
      <c r="G761" t="s">
        <v>63</v>
      </c>
      <c r="H761">
        <v>691</v>
      </c>
      <c r="I761" t="s">
        <v>45</v>
      </c>
      <c r="J761" t="s">
        <v>46</v>
      </c>
      <c r="K761" t="s">
        <v>32</v>
      </c>
      <c r="L761" t="s">
        <v>33</v>
      </c>
      <c r="M761">
        <v>4</v>
      </c>
      <c r="N761" t="s">
        <v>34</v>
      </c>
      <c r="O761" t="s">
        <v>35</v>
      </c>
      <c r="P761" t="s">
        <v>36</v>
      </c>
      <c r="Q761">
        <v>3</v>
      </c>
      <c r="R761" t="s">
        <v>60</v>
      </c>
      <c r="S761">
        <v>35</v>
      </c>
      <c r="T761" t="s">
        <v>98</v>
      </c>
      <c r="U761" t="s">
        <v>36</v>
      </c>
      <c r="V761" t="s">
        <v>38</v>
      </c>
      <c r="W761">
        <v>2</v>
      </c>
      <c r="X761" t="s">
        <v>39</v>
      </c>
      <c r="Y761">
        <v>1</v>
      </c>
      <c r="Z761" t="s">
        <v>51</v>
      </c>
      <c r="AA761" t="s">
        <v>40</v>
      </c>
      <c r="AB761">
        <v>2</v>
      </c>
    </row>
    <row r="762" spans="1:28" x14ac:dyDescent="0.3">
      <c r="A762">
        <v>761</v>
      </c>
      <c r="B762" t="s">
        <v>26</v>
      </c>
      <c r="C762" t="s">
        <v>52</v>
      </c>
      <c r="D762" t="s">
        <v>53</v>
      </c>
      <c r="E762">
        <v>15</v>
      </c>
      <c r="F762" t="s">
        <v>29</v>
      </c>
      <c r="G762" t="s">
        <v>63</v>
      </c>
      <c r="H762">
        <v>5045</v>
      </c>
      <c r="I762" t="s">
        <v>31</v>
      </c>
      <c r="J762" t="s">
        <v>31</v>
      </c>
      <c r="K762" t="s">
        <v>32</v>
      </c>
      <c r="L762" t="s">
        <v>33</v>
      </c>
      <c r="M762">
        <v>1</v>
      </c>
      <c r="N762" t="s">
        <v>49</v>
      </c>
      <c r="O762" t="s">
        <v>50</v>
      </c>
      <c r="P762" t="s">
        <v>36</v>
      </c>
      <c r="Q762">
        <v>4</v>
      </c>
      <c r="R762" t="s">
        <v>68</v>
      </c>
      <c r="S762">
        <v>59</v>
      </c>
      <c r="T762" t="s">
        <v>97</v>
      </c>
      <c r="U762" t="s">
        <v>36</v>
      </c>
      <c r="V762" t="s">
        <v>38</v>
      </c>
      <c r="W762">
        <v>1</v>
      </c>
      <c r="X762" t="s">
        <v>39</v>
      </c>
      <c r="Y762">
        <v>1</v>
      </c>
      <c r="Z762" t="s">
        <v>40</v>
      </c>
      <c r="AA762" t="s">
        <v>40</v>
      </c>
      <c r="AB762">
        <v>1</v>
      </c>
    </row>
    <row r="763" spans="1:28" x14ac:dyDescent="0.3">
      <c r="A763">
        <v>762</v>
      </c>
      <c r="B763" t="s">
        <v>41</v>
      </c>
      <c r="C763" t="s">
        <v>27</v>
      </c>
      <c r="D763" t="s">
        <v>28</v>
      </c>
      <c r="E763">
        <v>18</v>
      </c>
      <c r="F763" t="s">
        <v>29</v>
      </c>
      <c r="G763" t="s">
        <v>58</v>
      </c>
      <c r="H763">
        <v>2124</v>
      </c>
      <c r="I763" t="s">
        <v>45</v>
      </c>
      <c r="J763" t="s">
        <v>46</v>
      </c>
      <c r="K763" t="s">
        <v>47</v>
      </c>
      <c r="L763" t="s">
        <v>48</v>
      </c>
      <c r="M763">
        <v>4</v>
      </c>
      <c r="N763" t="s">
        <v>49</v>
      </c>
      <c r="O763" t="s">
        <v>50</v>
      </c>
      <c r="P763" t="s">
        <v>36</v>
      </c>
      <c r="Q763">
        <v>4</v>
      </c>
      <c r="R763" t="s">
        <v>37</v>
      </c>
      <c r="S763">
        <v>24</v>
      </c>
      <c r="T763" t="s">
        <v>96</v>
      </c>
      <c r="U763" t="s">
        <v>36</v>
      </c>
      <c r="V763" t="s">
        <v>69</v>
      </c>
      <c r="W763">
        <v>2</v>
      </c>
      <c r="X763" t="s">
        <v>39</v>
      </c>
      <c r="Y763">
        <v>1</v>
      </c>
      <c r="Z763" t="s">
        <v>51</v>
      </c>
      <c r="AA763" t="s">
        <v>40</v>
      </c>
      <c r="AB763">
        <v>2</v>
      </c>
    </row>
    <row r="764" spans="1:28" x14ac:dyDescent="0.3">
      <c r="A764">
        <v>763</v>
      </c>
      <c r="B764" t="s">
        <v>26</v>
      </c>
      <c r="C764" t="s">
        <v>27</v>
      </c>
      <c r="D764" t="s">
        <v>28</v>
      </c>
      <c r="E764">
        <v>12</v>
      </c>
      <c r="F764" t="s">
        <v>44</v>
      </c>
      <c r="G764" t="s">
        <v>30</v>
      </c>
      <c r="H764">
        <v>2214</v>
      </c>
      <c r="I764" t="s">
        <v>45</v>
      </c>
      <c r="J764" t="s">
        <v>46</v>
      </c>
      <c r="K764" t="s">
        <v>47</v>
      </c>
      <c r="L764" t="s">
        <v>48</v>
      </c>
      <c r="M764">
        <v>4</v>
      </c>
      <c r="N764" t="s">
        <v>34</v>
      </c>
      <c r="O764" t="s">
        <v>35</v>
      </c>
      <c r="P764" t="s">
        <v>36</v>
      </c>
      <c r="Q764">
        <v>3</v>
      </c>
      <c r="R764" t="s">
        <v>60</v>
      </c>
      <c r="S764">
        <v>24</v>
      </c>
      <c r="T764" t="s">
        <v>96</v>
      </c>
      <c r="U764" t="s">
        <v>36</v>
      </c>
      <c r="V764" t="s">
        <v>38</v>
      </c>
      <c r="W764">
        <v>1</v>
      </c>
      <c r="X764" t="s">
        <v>57</v>
      </c>
      <c r="Y764">
        <v>1</v>
      </c>
      <c r="Z764" t="s">
        <v>51</v>
      </c>
      <c r="AA764" t="s">
        <v>40</v>
      </c>
      <c r="AB764">
        <v>1</v>
      </c>
    </row>
    <row r="765" spans="1:28" x14ac:dyDescent="0.3">
      <c r="A765">
        <v>764</v>
      </c>
      <c r="B765" t="s">
        <v>41</v>
      </c>
      <c r="C765" t="s">
        <v>52</v>
      </c>
      <c r="D765" t="s">
        <v>53</v>
      </c>
      <c r="E765">
        <v>21</v>
      </c>
      <c r="F765" t="s">
        <v>29</v>
      </c>
      <c r="G765" t="s">
        <v>63</v>
      </c>
      <c r="H765">
        <v>12680</v>
      </c>
      <c r="I765" t="s">
        <v>31</v>
      </c>
      <c r="J765" t="s">
        <v>31</v>
      </c>
      <c r="K765" t="s">
        <v>32</v>
      </c>
      <c r="L765" t="s">
        <v>33</v>
      </c>
      <c r="M765">
        <v>4</v>
      </c>
      <c r="N765" t="s">
        <v>34</v>
      </c>
      <c r="O765" t="s">
        <v>35</v>
      </c>
      <c r="P765" t="s">
        <v>36</v>
      </c>
      <c r="Q765">
        <v>4</v>
      </c>
      <c r="R765" t="s">
        <v>64</v>
      </c>
      <c r="S765">
        <v>30</v>
      </c>
      <c r="T765" t="s">
        <v>98</v>
      </c>
      <c r="U765" t="s">
        <v>36</v>
      </c>
      <c r="V765" t="s">
        <v>61</v>
      </c>
      <c r="W765">
        <v>1</v>
      </c>
      <c r="X765" t="s">
        <v>70</v>
      </c>
      <c r="Y765">
        <v>1</v>
      </c>
      <c r="Z765" t="s">
        <v>40</v>
      </c>
      <c r="AA765" t="s">
        <v>40</v>
      </c>
      <c r="AB765">
        <v>2</v>
      </c>
    </row>
    <row r="766" spans="1:28" x14ac:dyDescent="0.3">
      <c r="A766">
        <v>765</v>
      </c>
      <c r="B766" t="s">
        <v>26</v>
      </c>
      <c r="C766" t="s">
        <v>52</v>
      </c>
      <c r="D766" t="s">
        <v>53</v>
      </c>
      <c r="E766">
        <v>24</v>
      </c>
      <c r="F766" t="s">
        <v>29</v>
      </c>
      <c r="G766" t="s">
        <v>63</v>
      </c>
      <c r="H766">
        <v>2463</v>
      </c>
      <c r="I766" t="s">
        <v>79</v>
      </c>
      <c r="J766" t="s">
        <v>80</v>
      </c>
      <c r="K766" t="s">
        <v>55</v>
      </c>
      <c r="L766" t="s">
        <v>56</v>
      </c>
      <c r="M766">
        <v>4</v>
      </c>
      <c r="N766" t="s">
        <v>34</v>
      </c>
      <c r="O766" t="s">
        <v>75</v>
      </c>
      <c r="P766" t="s">
        <v>36</v>
      </c>
      <c r="Q766">
        <v>3</v>
      </c>
      <c r="R766" t="s">
        <v>60</v>
      </c>
      <c r="S766">
        <v>27</v>
      </c>
      <c r="T766" t="s">
        <v>98</v>
      </c>
      <c r="U766" t="s">
        <v>36</v>
      </c>
      <c r="V766" t="s">
        <v>38</v>
      </c>
      <c r="W766">
        <v>2</v>
      </c>
      <c r="X766" t="s">
        <v>39</v>
      </c>
      <c r="Y766">
        <v>1</v>
      </c>
      <c r="Z766" t="s">
        <v>40</v>
      </c>
      <c r="AA766" t="s">
        <v>40</v>
      </c>
      <c r="AB766">
        <v>1</v>
      </c>
    </row>
    <row r="767" spans="1:28" x14ac:dyDescent="0.3">
      <c r="A767">
        <v>766</v>
      </c>
      <c r="B767" t="s">
        <v>26</v>
      </c>
      <c r="C767" t="s">
        <v>42</v>
      </c>
      <c r="D767" t="s">
        <v>43</v>
      </c>
      <c r="E767">
        <v>12</v>
      </c>
      <c r="F767" t="s">
        <v>44</v>
      </c>
      <c r="G767" t="s">
        <v>30</v>
      </c>
      <c r="H767">
        <v>1155</v>
      </c>
      <c r="I767" t="s">
        <v>45</v>
      </c>
      <c r="J767" t="s">
        <v>46</v>
      </c>
      <c r="K767" t="s">
        <v>32</v>
      </c>
      <c r="L767" t="s">
        <v>33</v>
      </c>
      <c r="M767">
        <v>3</v>
      </c>
      <c r="N767" t="s">
        <v>34</v>
      </c>
      <c r="O767" t="s">
        <v>75</v>
      </c>
      <c r="P767" t="s">
        <v>59</v>
      </c>
      <c r="Q767">
        <v>3</v>
      </c>
      <c r="R767" t="s">
        <v>37</v>
      </c>
      <c r="S767">
        <v>40</v>
      </c>
      <c r="T767" t="s">
        <v>97</v>
      </c>
      <c r="U767" t="s">
        <v>82</v>
      </c>
      <c r="V767" t="s">
        <v>38</v>
      </c>
      <c r="W767">
        <v>2</v>
      </c>
      <c r="X767" t="s">
        <v>57</v>
      </c>
      <c r="Y767">
        <v>1</v>
      </c>
      <c r="Z767" t="s">
        <v>51</v>
      </c>
      <c r="AA767" t="s">
        <v>40</v>
      </c>
      <c r="AB767">
        <v>1</v>
      </c>
    </row>
    <row r="768" spans="1:28" x14ac:dyDescent="0.3">
      <c r="A768">
        <v>767</v>
      </c>
      <c r="B768" t="s">
        <v>41</v>
      </c>
      <c r="C768" t="s">
        <v>27</v>
      </c>
      <c r="D768" t="s">
        <v>28</v>
      </c>
      <c r="E768">
        <v>30</v>
      </c>
      <c r="F768" t="s">
        <v>44</v>
      </c>
      <c r="G768" t="s">
        <v>58</v>
      </c>
      <c r="H768">
        <v>3108</v>
      </c>
      <c r="I768" t="s">
        <v>45</v>
      </c>
      <c r="J768" t="s">
        <v>46</v>
      </c>
      <c r="K768" t="s">
        <v>76</v>
      </c>
      <c r="L768" t="s">
        <v>77</v>
      </c>
      <c r="M768">
        <v>2</v>
      </c>
      <c r="N768" t="s">
        <v>34</v>
      </c>
      <c r="O768" t="s">
        <v>73</v>
      </c>
      <c r="P768" t="s">
        <v>36</v>
      </c>
      <c r="Q768">
        <v>4</v>
      </c>
      <c r="R768" t="s">
        <v>60</v>
      </c>
      <c r="S768">
        <v>31</v>
      </c>
      <c r="T768" t="s">
        <v>98</v>
      </c>
      <c r="U768" t="s">
        <v>36</v>
      </c>
      <c r="V768" t="s">
        <v>38</v>
      </c>
      <c r="W768">
        <v>1</v>
      </c>
      <c r="X768" t="s">
        <v>57</v>
      </c>
      <c r="Y768">
        <v>1</v>
      </c>
      <c r="Z768" t="s">
        <v>51</v>
      </c>
      <c r="AA768" t="s">
        <v>40</v>
      </c>
      <c r="AB768">
        <v>2</v>
      </c>
    </row>
    <row r="769" spans="1:28" x14ac:dyDescent="0.3">
      <c r="A769">
        <v>768</v>
      </c>
      <c r="B769" t="s">
        <v>26</v>
      </c>
      <c r="C769" t="s">
        <v>52</v>
      </c>
      <c r="D769" t="s">
        <v>53</v>
      </c>
      <c r="E769">
        <v>10</v>
      </c>
      <c r="F769" t="s">
        <v>44</v>
      </c>
      <c r="G769" t="s">
        <v>67</v>
      </c>
      <c r="H769">
        <v>2901</v>
      </c>
      <c r="I769" t="s">
        <v>31</v>
      </c>
      <c r="J769" t="s">
        <v>31</v>
      </c>
      <c r="K769" t="s">
        <v>76</v>
      </c>
      <c r="L769" t="s">
        <v>77</v>
      </c>
      <c r="M769">
        <v>1</v>
      </c>
      <c r="N769" t="s">
        <v>49</v>
      </c>
      <c r="O769" t="s">
        <v>50</v>
      </c>
      <c r="P769" t="s">
        <v>36</v>
      </c>
      <c r="Q769">
        <v>4</v>
      </c>
      <c r="R769" t="s">
        <v>37</v>
      </c>
      <c r="S769">
        <v>31</v>
      </c>
      <c r="T769" t="s">
        <v>98</v>
      </c>
      <c r="U769" t="s">
        <v>36</v>
      </c>
      <c r="V769" t="s">
        <v>69</v>
      </c>
      <c r="W769">
        <v>1</v>
      </c>
      <c r="X769" t="s">
        <v>39</v>
      </c>
      <c r="Y769">
        <v>1</v>
      </c>
      <c r="Z769" t="s">
        <v>51</v>
      </c>
      <c r="AA769" t="s">
        <v>40</v>
      </c>
      <c r="AB769">
        <v>1</v>
      </c>
    </row>
    <row r="770" spans="1:28" x14ac:dyDescent="0.3">
      <c r="A770">
        <v>769</v>
      </c>
      <c r="B770" t="s">
        <v>26</v>
      </c>
      <c r="C770" t="s">
        <v>42</v>
      </c>
      <c r="D770" t="s">
        <v>43</v>
      </c>
      <c r="E770">
        <v>12</v>
      </c>
      <c r="F770" t="s">
        <v>29</v>
      </c>
      <c r="G770" t="s">
        <v>58</v>
      </c>
      <c r="H770">
        <v>3617</v>
      </c>
      <c r="I770" t="s">
        <v>45</v>
      </c>
      <c r="J770" t="s">
        <v>46</v>
      </c>
      <c r="K770" t="s">
        <v>32</v>
      </c>
      <c r="L770" t="s">
        <v>33</v>
      </c>
      <c r="M770">
        <v>1</v>
      </c>
      <c r="N770" t="s">
        <v>34</v>
      </c>
      <c r="O770" t="s">
        <v>35</v>
      </c>
      <c r="P770" t="s">
        <v>36</v>
      </c>
      <c r="Q770">
        <v>4</v>
      </c>
      <c r="R770" t="s">
        <v>68</v>
      </c>
      <c r="S770">
        <v>28</v>
      </c>
      <c r="T770" t="s">
        <v>98</v>
      </c>
      <c r="U770" t="s">
        <v>36</v>
      </c>
      <c r="V770" t="s">
        <v>69</v>
      </c>
      <c r="W770">
        <v>3</v>
      </c>
      <c r="X770" t="s">
        <v>39</v>
      </c>
      <c r="Y770">
        <v>1</v>
      </c>
      <c r="Z770" t="s">
        <v>40</v>
      </c>
      <c r="AA770" t="s">
        <v>40</v>
      </c>
      <c r="AB770">
        <v>1</v>
      </c>
    </row>
    <row r="771" spans="1:28" x14ac:dyDescent="0.3">
      <c r="A771">
        <v>770</v>
      </c>
      <c r="B771" t="s">
        <v>26</v>
      </c>
      <c r="C771" t="s">
        <v>52</v>
      </c>
      <c r="D771" t="s">
        <v>53</v>
      </c>
      <c r="E771">
        <v>12</v>
      </c>
      <c r="F771" t="s">
        <v>29</v>
      </c>
      <c r="G771" t="s">
        <v>30</v>
      </c>
      <c r="H771">
        <v>1655</v>
      </c>
      <c r="I771" t="s">
        <v>45</v>
      </c>
      <c r="J771" t="s">
        <v>46</v>
      </c>
      <c r="K771" t="s">
        <v>32</v>
      </c>
      <c r="L771" t="s">
        <v>33</v>
      </c>
      <c r="M771">
        <v>2</v>
      </c>
      <c r="N771" t="s">
        <v>34</v>
      </c>
      <c r="O771" t="s">
        <v>35</v>
      </c>
      <c r="P771" t="s">
        <v>36</v>
      </c>
      <c r="Q771">
        <v>4</v>
      </c>
      <c r="R771" t="s">
        <v>37</v>
      </c>
      <c r="S771">
        <v>63</v>
      </c>
      <c r="T771" t="s">
        <v>95</v>
      </c>
      <c r="U771" t="s">
        <v>36</v>
      </c>
      <c r="V771" t="s">
        <v>38</v>
      </c>
      <c r="W771">
        <v>2</v>
      </c>
      <c r="X771" t="s">
        <v>57</v>
      </c>
      <c r="Y771">
        <v>1</v>
      </c>
      <c r="Z771" t="s">
        <v>40</v>
      </c>
      <c r="AA771" t="s">
        <v>40</v>
      </c>
      <c r="AB771">
        <v>1</v>
      </c>
    </row>
    <row r="772" spans="1:28" x14ac:dyDescent="0.3">
      <c r="A772">
        <v>771</v>
      </c>
      <c r="B772" t="s">
        <v>26</v>
      </c>
      <c r="C772" t="s">
        <v>27</v>
      </c>
      <c r="D772" t="s">
        <v>28</v>
      </c>
      <c r="E772">
        <v>24</v>
      </c>
      <c r="F772" t="s">
        <v>44</v>
      </c>
      <c r="G772" t="s">
        <v>67</v>
      </c>
      <c r="H772">
        <v>2812</v>
      </c>
      <c r="I772" t="s">
        <v>31</v>
      </c>
      <c r="J772" t="s">
        <v>31</v>
      </c>
      <c r="K772" t="s">
        <v>32</v>
      </c>
      <c r="L772" t="s">
        <v>33</v>
      </c>
      <c r="M772">
        <v>2</v>
      </c>
      <c r="N772" t="s">
        <v>49</v>
      </c>
      <c r="O772" t="s">
        <v>50</v>
      </c>
      <c r="P772" t="s">
        <v>36</v>
      </c>
      <c r="Q772">
        <v>4</v>
      </c>
      <c r="R772" t="s">
        <v>37</v>
      </c>
      <c r="S772">
        <v>26</v>
      </c>
      <c r="T772" t="s">
        <v>98</v>
      </c>
      <c r="U772" t="s">
        <v>36</v>
      </c>
      <c r="V772" t="s">
        <v>69</v>
      </c>
      <c r="W772">
        <v>1</v>
      </c>
      <c r="X772" t="s">
        <v>39</v>
      </c>
      <c r="Y772">
        <v>1</v>
      </c>
      <c r="Z772" t="s">
        <v>51</v>
      </c>
      <c r="AA772" t="s">
        <v>40</v>
      </c>
      <c r="AB772">
        <v>1</v>
      </c>
    </row>
    <row r="773" spans="1:28" x14ac:dyDescent="0.3">
      <c r="A773">
        <v>772</v>
      </c>
      <c r="B773" t="s">
        <v>41</v>
      </c>
      <c r="C773" t="s">
        <v>27</v>
      </c>
      <c r="D773" t="s">
        <v>28</v>
      </c>
      <c r="E773">
        <v>36</v>
      </c>
      <c r="F773" t="s">
        <v>29</v>
      </c>
      <c r="G773" t="s">
        <v>54</v>
      </c>
      <c r="H773">
        <v>8065</v>
      </c>
      <c r="I773" t="s">
        <v>45</v>
      </c>
      <c r="J773" t="s">
        <v>46</v>
      </c>
      <c r="K773" t="s">
        <v>47</v>
      </c>
      <c r="L773" t="s">
        <v>48</v>
      </c>
      <c r="M773">
        <v>3</v>
      </c>
      <c r="N773" t="s">
        <v>49</v>
      </c>
      <c r="O773" t="s">
        <v>50</v>
      </c>
      <c r="P773" t="s">
        <v>36</v>
      </c>
      <c r="Q773">
        <v>2</v>
      </c>
      <c r="R773" t="s">
        <v>64</v>
      </c>
      <c r="S773">
        <v>25</v>
      </c>
      <c r="T773" t="s">
        <v>98</v>
      </c>
      <c r="U773" t="s">
        <v>36</v>
      </c>
      <c r="V773" t="s">
        <v>38</v>
      </c>
      <c r="W773">
        <v>2</v>
      </c>
      <c r="X773" t="s">
        <v>70</v>
      </c>
      <c r="Y773">
        <v>1</v>
      </c>
      <c r="Z773" t="s">
        <v>40</v>
      </c>
      <c r="AA773" t="s">
        <v>40</v>
      </c>
      <c r="AB773">
        <v>2</v>
      </c>
    </row>
    <row r="774" spans="1:28" x14ac:dyDescent="0.3">
      <c r="A774">
        <v>773</v>
      </c>
      <c r="B774" t="s">
        <v>26</v>
      </c>
      <c r="C774" t="s">
        <v>52</v>
      </c>
      <c r="D774" t="s">
        <v>53</v>
      </c>
      <c r="E774">
        <v>21</v>
      </c>
      <c r="F774" t="s">
        <v>29</v>
      </c>
      <c r="G774" t="s">
        <v>67</v>
      </c>
      <c r="H774">
        <v>3275</v>
      </c>
      <c r="I774" t="s">
        <v>45</v>
      </c>
      <c r="J774" t="s">
        <v>46</v>
      </c>
      <c r="K774" t="s">
        <v>32</v>
      </c>
      <c r="L774" t="s">
        <v>33</v>
      </c>
      <c r="M774">
        <v>1</v>
      </c>
      <c r="N774" t="s">
        <v>34</v>
      </c>
      <c r="O774" t="s">
        <v>35</v>
      </c>
      <c r="P774" t="s">
        <v>36</v>
      </c>
      <c r="Q774">
        <v>4</v>
      </c>
      <c r="R774" t="s">
        <v>68</v>
      </c>
      <c r="S774">
        <v>36</v>
      </c>
      <c r="T774" t="s">
        <v>98</v>
      </c>
      <c r="U774" t="s">
        <v>36</v>
      </c>
      <c r="V774" t="s">
        <v>38</v>
      </c>
      <c r="W774">
        <v>1</v>
      </c>
      <c r="X774" t="s">
        <v>70</v>
      </c>
      <c r="Y774">
        <v>1</v>
      </c>
      <c r="Z774" t="s">
        <v>40</v>
      </c>
      <c r="AA774" t="s">
        <v>40</v>
      </c>
      <c r="AB774">
        <v>1</v>
      </c>
    </row>
    <row r="775" spans="1:28" x14ac:dyDescent="0.3">
      <c r="A775">
        <v>774</v>
      </c>
      <c r="B775" t="s">
        <v>26</v>
      </c>
      <c r="C775" t="s">
        <v>52</v>
      </c>
      <c r="D775" t="s">
        <v>53</v>
      </c>
      <c r="E775">
        <v>24</v>
      </c>
      <c r="F775" t="s">
        <v>29</v>
      </c>
      <c r="G775" t="s">
        <v>30</v>
      </c>
      <c r="H775">
        <v>2223</v>
      </c>
      <c r="I775" t="s">
        <v>79</v>
      </c>
      <c r="J775" t="s">
        <v>80</v>
      </c>
      <c r="K775" t="s">
        <v>32</v>
      </c>
      <c r="L775" t="s">
        <v>33</v>
      </c>
      <c r="M775">
        <v>4</v>
      </c>
      <c r="N775" t="s">
        <v>34</v>
      </c>
      <c r="O775" t="s">
        <v>35</v>
      </c>
      <c r="P775" t="s">
        <v>36</v>
      </c>
      <c r="Q775">
        <v>4</v>
      </c>
      <c r="R775" t="s">
        <v>60</v>
      </c>
      <c r="S775">
        <v>52</v>
      </c>
      <c r="T775" t="s">
        <v>97</v>
      </c>
      <c r="U775" t="s">
        <v>82</v>
      </c>
      <c r="V775" t="s">
        <v>38</v>
      </c>
      <c r="W775">
        <v>2</v>
      </c>
      <c r="X775" t="s">
        <v>39</v>
      </c>
      <c r="Y775">
        <v>1</v>
      </c>
      <c r="Z775" t="s">
        <v>51</v>
      </c>
      <c r="AA775" t="s">
        <v>40</v>
      </c>
      <c r="AB775">
        <v>1</v>
      </c>
    </row>
    <row r="776" spans="1:28" x14ac:dyDescent="0.3">
      <c r="A776">
        <v>775</v>
      </c>
      <c r="B776" t="s">
        <v>26</v>
      </c>
      <c r="C776" t="s">
        <v>83</v>
      </c>
      <c r="D776" t="s">
        <v>84</v>
      </c>
      <c r="E776">
        <v>12</v>
      </c>
      <c r="F776" t="s">
        <v>29</v>
      </c>
      <c r="G776" t="s">
        <v>63</v>
      </c>
      <c r="H776">
        <v>1480</v>
      </c>
      <c r="I776" t="s">
        <v>65</v>
      </c>
      <c r="J776" t="s">
        <v>66</v>
      </c>
      <c r="K776" t="s">
        <v>74</v>
      </c>
      <c r="L776" t="s">
        <v>74</v>
      </c>
      <c r="M776">
        <v>2</v>
      </c>
      <c r="N776" t="s">
        <v>34</v>
      </c>
      <c r="O776" t="s">
        <v>35</v>
      </c>
      <c r="P776" t="s">
        <v>36</v>
      </c>
      <c r="Q776">
        <v>4</v>
      </c>
      <c r="R776" t="s">
        <v>64</v>
      </c>
      <c r="S776">
        <v>66</v>
      </c>
      <c r="T776" t="s">
        <v>95</v>
      </c>
      <c r="U776" t="s">
        <v>82</v>
      </c>
      <c r="V776" t="s">
        <v>61</v>
      </c>
      <c r="W776">
        <v>3</v>
      </c>
      <c r="X776" t="s">
        <v>90</v>
      </c>
      <c r="Y776">
        <v>1</v>
      </c>
      <c r="Z776" t="s">
        <v>51</v>
      </c>
      <c r="AA776" t="s">
        <v>40</v>
      </c>
      <c r="AB776">
        <v>1</v>
      </c>
    </row>
    <row r="777" spans="1:28" x14ac:dyDescent="0.3">
      <c r="A777">
        <v>776</v>
      </c>
      <c r="B777" t="s">
        <v>41</v>
      </c>
      <c r="C777" t="s">
        <v>27</v>
      </c>
      <c r="D777" t="s">
        <v>28</v>
      </c>
      <c r="E777">
        <v>24</v>
      </c>
      <c r="F777" t="s">
        <v>44</v>
      </c>
      <c r="G777" t="s">
        <v>63</v>
      </c>
      <c r="H777">
        <v>1371</v>
      </c>
      <c r="I777" t="s">
        <v>31</v>
      </c>
      <c r="J777" t="s">
        <v>31</v>
      </c>
      <c r="K777" t="s">
        <v>47</v>
      </c>
      <c r="L777" t="s">
        <v>48</v>
      </c>
      <c r="M777">
        <v>4</v>
      </c>
      <c r="N777" t="s">
        <v>49</v>
      </c>
      <c r="O777" t="s">
        <v>50</v>
      </c>
      <c r="P777" t="s">
        <v>36</v>
      </c>
      <c r="Q777">
        <v>4</v>
      </c>
      <c r="R777" t="s">
        <v>37</v>
      </c>
      <c r="S777">
        <v>25</v>
      </c>
      <c r="T777" t="s">
        <v>98</v>
      </c>
      <c r="U777" t="s">
        <v>36</v>
      </c>
      <c r="V777" t="s">
        <v>69</v>
      </c>
      <c r="W777">
        <v>1</v>
      </c>
      <c r="X777" t="s">
        <v>39</v>
      </c>
      <c r="Y777">
        <v>1</v>
      </c>
      <c r="Z777" t="s">
        <v>51</v>
      </c>
      <c r="AA777" t="s">
        <v>40</v>
      </c>
      <c r="AB777">
        <v>2</v>
      </c>
    </row>
    <row r="778" spans="1:28" x14ac:dyDescent="0.3">
      <c r="A778">
        <v>777</v>
      </c>
      <c r="B778" t="s">
        <v>26</v>
      </c>
      <c r="C778" t="s">
        <v>52</v>
      </c>
      <c r="D778" t="s">
        <v>53</v>
      </c>
      <c r="E778">
        <v>36</v>
      </c>
      <c r="F778" t="s">
        <v>29</v>
      </c>
      <c r="G778" t="s">
        <v>63</v>
      </c>
      <c r="H778">
        <v>3535</v>
      </c>
      <c r="I778" t="s">
        <v>45</v>
      </c>
      <c r="J778" t="s">
        <v>46</v>
      </c>
      <c r="K778" t="s">
        <v>55</v>
      </c>
      <c r="L778" t="s">
        <v>56</v>
      </c>
      <c r="M778">
        <v>4</v>
      </c>
      <c r="N778" t="s">
        <v>34</v>
      </c>
      <c r="O778" t="s">
        <v>35</v>
      </c>
      <c r="P778" t="s">
        <v>36</v>
      </c>
      <c r="Q778">
        <v>4</v>
      </c>
      <c r="R778" t="s">
        <v>68</v>
      </c>
      <c r="S778">
        <v>37</v>
      </c>
      <c r="T778" t="s">
        <v>98</v>
      </c>
      <c r="U778" t="s">
        <v>36</v>
      </c>
      <c r="V778" t="s">
        <v>38</v>
      </c>
      <c r="W778">
        <v>2</v>
      </c>
      <c r="X778" t="s">
        <v>39</v>
      </c>
      <c r="Y778">
        <v>1</v>
      </c>
      <c r="Z778" t="s">
        <v>40</v>
      </c>
      <c r="AA778" t="s">
        <v>40</v>
      </c>
      <c r="AB778">
        <v>1</v>
      </c>
    </row>
    <row r="779" spans="1:28" x14ac:dyDescent="0.3">
      <c r="A779">
        <v>778</v>
      </c>
      <c r="B779" t="s">
        <v>26</v>
      </c>
      <c r="C779" t="s">
        <v>27</v>
      </c>
      <c r="D779" t="s">
        <v>28</v>
      </c>
      <c r="E779">
        <v>18</v>
      </c>
      <c r="F779" t="s">
        <v>44</v>
      </c>
      <c r="G779" t="s">
        <v>30</v>
      </c>
      <c r="H779">
        <v>3509</v>
      </c>
      <c r="I779" t="s">
        <v>45</v>
      </c>
      <c r="J779" t="s">
        <v>46</v>
      </c>
      <c r="K779" t="s">
        <v>55</v>
      </c>
      <c r="L779" t="s">
        <v>56</v>
      </c>
      <c r="M779">
        <v>4</v>
      </c>
      <c r="N779" t="s">
        <v>49</v>
      </c>
      <c r="O779" t="s">
        <v>50</v>
      </c>
      <c r="P779" t="s">
        <v>59</v>
      </c>
      <c r="Q779">
        <v>1</v>
      </c>
      <c r="R779" t="s">
        <v>37</v>
      </c>
      <c r="S779">
        <v>25</v>
      </c>
      <c r="T779" t="s">
        <v>98</v>
      </c>
      <c r="U779" t="s">
        <v>36</v>
      </c>
      <c r="V779" t="s">
        <v>38</v>
      </c>
      <c r="W779">
        <v>1</v>
      </c>
      <c r="X779" t="s">
        <v>39</v>
      </c>
      <c r="Y779">
        <v>1</v>
      </c>
      <c r="Z779" t="s">
        <v>51</v>
      </c>
      <c r="AA779" t="s">
        <v>40</v>
      </c>
      <c r="AB779">
        <v>1</v>
      </c>
    </row>
    <row r="780" spans="1:28" x14ac:dyDescent="0.3">
      <c r="A780">
        <v>779</v>
      </c>
      <c r="B780" t="s">
        <v>26</v>
      </c>
      <c r="C780" t="s">
        <v>52</v>
      </c>
      <c r="D780" t="s">
        <v>53</v>
      </c>
      <c r="E780">
        <v>36</v>
      </c>
      <c r="F780" t="s">
        <v>29</v>
      </c>
      <c r="G780" t="s">
        <v>67</v>
      </c>
      <c r="H780">
        <v>5711</v>
      </c>
      <c r="I780" t="s">
        <v>71</v>
      </c>
      <c r="J780" t="s">
        <v>72</v>
      </c>
      <c r="K780" t="s">
        <v>32</v>
      </c>
      <c r="L780" t="s">
        <v>33</v>
      </c>
      <c r="M780">
        <v>4</v>
      </c>
      <c r="N780" t="s">
        <v>34</v>
      </c>
      <c r="O780" t="s">
        <v>35</v>
      </c>
      <c r="P780" t="s">
        <v>36</v>
      </c>
      <c r="Q780">
        <v>2</v>
      </c>
      <c r="R780" t="s">
        <v>68</v>
      </c>
      <c r="S780">
        <v>38</v>
      </c>
      <c r="T780" t="s">
        <v>98</v>
      </c>
      <c r="U780" t="s">
        <v>36</v>
      </c>
      <c r="V780" t="s">
        <v>38</v>
      </c>
      <c r="W780">
        <v>2</v>
      </c>
      <c r="X780" t="s">
        <v>70</v>
      </c>
      <c r="Y780">
        <v>1</v>
      </c>
      <c r="Z780" t="s">
        <v>40</v>
      </c>
      <c r="AA780" t="s">
        <v>40</v>
      </c>
      <c r="AB780">
        <v>1</v>
      </c>
    </row>
    <row r="781" spans="1:28" x14ac:dyDescent="0.3">
      <c r="A781">
        <v>780</v>
      </c>
      <c r="B781" t="s">
        <v>26</v>
      </c>
      <c r="C781" t="s">
        <v>42</v>
      </c>
      <c r="D781" t="s">
        <v>43</v>
      </c>
      <c r="E781">
        <v>18</v>
      </c>
      <c r="F781" t="s">
        <v>44</v>
      </c>
      <c r="G781" t="s">
        <v>89</v>
      </c>
      <c r="H781">
        <v>3872</v>
      </c>
      <c r="I781" t="s">
        <v>45</v>
      </c>
      <c r="J781" t="s">
        <v>46</v>
      </c>
      <c r="K781" t="s">
        <v>74</v>
      </c>
      <c r="L781" t="s">
        <v>74</v>
      </c>
      <c r="M781">
        <v>2</v>
      </c>
      <c r="N781" t="s">
        <v>49</v>
      </c>
      <c r="O781" t="s">
        <v>50</v>
      </c>
      <c r="P781" t="s">
        <v>36</v>
      </c>
      <c r="Q781">
        <v>4</v>
      </c>
      <c r="R781" t="s">
        <v>68</v>
      </c>
      <c r="S781">
        <v>67</v>
      </c>
      <c r="T781" t="s">
        <v>95</v>
      </c>
      <c r="U781" t="s">
        <v>36</v>
      </c>
      <c r="V781" t="s">
        <v>38</v>
      </c>
      <c r="W781">
        <v>1</v>
      </c>
      <c r="X781" t="s">
        <v>39</v>
      </c>
      <c r="Y781">
        <v>1</v>
      </c>
      <c r="Z781" t="s">
        <v>40</v>
      </c>
      <c r="AA781" t="s">
        <v>40</v>
      </c>
      <c r="AB781">
        <v>1</v>
      </c>
    </row>
    <row r="782" spans="1:28" x14ac:dyDescent="0.3">
      <c r="A782">
        <v>781</v>
      </c>
      <c r="B782" t="s">
        <v>41</v>
      </c>
      <c r="C782" t="s">
        <v>42</v>
      </c>
      <c r="D782" t="s">
        <v>43</v>
      </c>
      <c r="E782">
        <v>39</v>
      </c>
      <c r="F782" t="s">
        <v>29</v>
      </c>
      <c r="G782" t="s">
        <v>30</v>
      </c>
      <c r="H782">
        <v>4933</v>
      </c>
      <c r="I782" t="s">
        <v>45</v>
      </c>
      <c r="J782" t="s">
        <v>46</v>
      </c>
      <c r="K782" t="s">
        <v>55</v>
      </c>
      <c r="L782" t="s">
        <v>56</v>
      </c>
      <c r="M782">
        <v>2</v>
      </c>
      <c r="N782" t="s">
        <v>34</v>
      </c>
      <c r="O782" t="s">
        <v>35</v>
      </c>
      <c r="P782" t="s">
        <v>59</v>
      </c>
      <c r="Q782">
        <v>2</v>
      </c>
      <c r="R782" t="s">
        <v>37</v>
      </c>
      <c r="S782">
        <v>25</v>
      </c>
      <c r="T782" t="s">
        <v>98</v>
      </c>
      <c r="U782" t="s">
        <v>36</v>
      </c>
      <c r="V782" t="s">
        <v>38</v>
      </c>
      <c r="W782">
        <v>2</v>
      </c>
      <c r="X782" t="s">
        <v>39</v>
      </c>
      <c r="Y782">
        <v>1</v>
      </c>
      <c r="Z782" t="s">
        <v>51</v>
      </c>
      <c r="AA782" t="s">
        <v>40</v>
      </c>
      <c r="AB782">
        <v>2</v>
      </c>
    </row>
    <row r="783" spans="1:28" x14ac:dyDescent="0.3">
      <c r="A783">
        <v>782</v>
      </c>
      <c r="B783" t="s">
        <v>26</v>
      </c>
      <c r="C783" t="s">
        <v>52</v>
      </c>
      <c r="D783" t="s">
        <v>53</v>
      </c>
      <c r="E783">
        <v>24</v>
      </c>
      <c r="F783" t="s">
        <v>29</v>
      </c>
      <c r="G783" t="s">
        <v>63</v>
      </c>
      <c r="H783">
        <v>1940</v>
      </c>
      <c r="I783" t="s">
        <v>71</v>
      </c>
      <c r="J783" t="s">
        <v>72</v>
      </c>
      <c r="K783" t="s">
        <v>32</v>
      </c>
      <c r="L783" t="s">
        <v>33</v>
      </c>
      <c r="M783">
        <v>4</v>
      </c>
      <c r="N783" t="s">
        <v>34</v>
      </c>
      <c r="O783" t="s">
        <v>35</v>
      </c>
      <c r="P783" t="s">
        <v>36</v>
      </c>
      <c r="Q783">
        <v>4</v>
      </c>
      <c r="R783" t="s">
        <v>37</v>
      </c>
      <c r="S783">
        <v>60</v>
      </c>
      <c r="T783" t="s">
        <v>95</v>
      </c>
      <c r="U783" t="s">
        <v>36</v>
      </c>
      <c r="V783" t="s">
        <v>38</v>
      </c>
      <c r="W783">
        <v>1</v>
      </c>
      <c r="X783" t="s">
        <v>39</v>
      </c>
      <c r="Y783">
        <v>1</v>
      </c>
      <c r="Z783" t="s">
        <v>40</v>
      </c>
      <c r="AA783" t="s">
        <v>40</v>
      </c>
      <c r="AB783">
        <v>1</v>
      </c>
    </row>
    <row r="784" spans="1:28" x14ac:dyDescent="0.3">
      <c r="A784">
        <v>783</v>
      </c>
      <c r="B784" t="s">
        <v>26</v>
      </c>
      <c r="C784" t="s">
        <v>42</v>
      </c>
      <c r="D784" t="s">
        <v>43</v>
      </c>
      <c r="E784">
        <v>12</v>
      </c>
      <c r="F784" t="s">
        <v>81</v>
      </c>
      <c r="G784" t="s">
        <v>92</v>
      </c>
      <c r="H784">
        <v>1410</v>
      </c>
      <c r="I784" t="s">
        <v>45</v>
      </c>
      <c r="J784" t="s">
        <v>46</v>
      </c>
      <c r="K784" t="s">
        <v>47</v>
      </c>
      <c r="L784" t="s">
        <v>48</v>
      </c>
      <c r="M784">
        <v>2</v>
      </c>
      <c r="N784" t="s">
        <v>34</v>
      </c>
      <c r="O784" t="s">
        <v>35</v>
      </c>
      <c r="P784" t="s">
        <v>36</v>
      </c>
      <c r="Q784">
        <v>2</v>
      </c>
      <c r="R784" t="s">
        <v>37</v>
      </c>
      <c r="S784">
        <v>31</v>
      </c>
      <c r="T784" t="s">
        <v>98</v>
      </c>
      <c r="U784" t="s">
        <v>36</v>
      </c>
      <c r="V784" t="s">
        <v>38</v>
      </c>
      <c r="W784">
        <v>1</v>
      </c>
      <c r="X784" t="s">
        <v>57</v>
      </c>
      <c r="Y784">
        <v>1</v>
      </c>
      <c r="Z784" t="s">
        <v>40</v>
      </c>
      <c r="AA784" t="s">
        <v>40</v>
      </c>
      <c r="AB784">
        <v>1</v>
      </c>
    </row>
    <row r="785" spans="1:28" x14ac:dyDescent="0.3">
      <c r="A785">
        <v>784</v>
      </c>
      <c r="B785" t="s">
        <v>41</v>
      </c>
      <c r="C785" t="s">
        <v>42</v>
      </c>
      <c r="D785" t="s">
        <v>43</v>
      </c>
      <c r="E785">
        <v>12</v>
      </c>
      <c r="F785" t="s">
        <v>44</v>
      </c>
      <c r="G785" t="s">
        <v>63</v>
      </c>
      <c r="H785">
        <v>836</v>
      </c>
      <c r="I785" t="s">
        <v>79</v>
      </c>
      <c r="J785" t="s">
        <v>80</v>
      </c>
      <c r="K785" t="s">
        <v>76</v>
      </c>
      <c r="L785" t="s">
        <v>77</v>
      </c>
      <c r="M785">
        <v>4</v>
      </c>
      <c r="N785" t="s">
        <v>49</v>
      </c>
      <c r="O785" t="s">
        <v>50</v>
      </c>
      <c r="P785" t="s">
        <v>36</v>
      </c>
      <c r="Q785">
        <v>2</v>
      </c>
      <c r="R785" t="s">
        <v>60</v>
      </c>
      <c r="S785">
        <v>23</v>
      </c>
      <c r="T785" t="s">
        <v>96</v>
      </c>
      <c r="U785" t="s">
        <v>82</v>
      </c>
      <c r="V785" t="s">
        <v>38</v>
      </c>
      <c r="W785">
        <v>1</v>
      </c>
      <c r="X785" t="s">
        <v>57</v>
      </c>
      <c r="Y785">
        <v>1</v>
      </c>
      <c r="Z785" t="s">
        <v>51</v>
      </c>
      <c r="AA785" t="s">
        <v>40</v>
      </c>
      <c r="AB785">
        <v>2</v>
      </c>
    </row>
    <row r="786" spans="1:28" x14ac:dyDescent="0.3">
      <c r="A786">
        <v>785</v>
      </c>
      <c r="B786" t="s">
        <v>26</v>
      </c>
      <c r="C786" t="s">
        <v>42</v>
      </c>
      <c r="D786" t="s">
        <v>43</v>
      </c>
      <c r="E786">
        <v>20</v>
      </c>
      <c r="F786" t="s">
        <v>44</v>
      </c>
      <c r="G786" t="s">
        <v>67</v>
      </c>
      <c r="H786">
        <v>6468</v>
      </c>
      <c r="I786" t="s">
        <v>31</v>
      </c>
      <c r="J786" t="s">
        <v>31</v>
      </c>
      <c r="K786" t="s">
        <v>74</v>
      </c>
      <c r="L786" t="s">
        <v>74</v>
      </c>
      <c r="M786">
        <v>1</v>
      </c>
      <c r="N786" t="s">
        <v>34</v>
      </c>
      <c r="O786" t="s">
        <v>73</v>
      </c>
      <c r="P786" t="s">
        <v>36</v>
      </c>
      <c r="Q786">
        <v>4</v>
      </c>
      <c r="R786" t="s">
        <v>37</v>
      </c>
      <c r="S786">
        <v>60</v>
      </c>
      <c r="T786" t="s">
        <v>95</v>
      </c>
      <c r="U786" t="s">
        <v>36</v>
      </c>
      <c r="V786" t="s">
        <v>38</v>
      </c>
      <c r="W786">
        <v>1</v>
      </c>
      <c r="X786" t="s">
        <v>70</v>
      </c>
      <c r="Y786">
        <v>1</v>
      </c>
      <c r="Z786" t="s">
        <v>40</v>
      </c>
      <c r="AA786" t="s">
        <v>40</v>
      </c>
      <c r="AB786">
        <v>1</v>
      </c>
    </row>
    <row r="787" spans="1:28" x14ac:dyDescent="0.3">
      <c r="A787">
        <v>786</v>
      </c>
      <c r="B787" t="s">
        <v>26</v>
      </c>
      <c r="C787" t="s">
        <v>42</v>
      </c>
      <c r="D787" t="s">
        <v>43</v>
      </c>
      <c r="E787">
        <v>18</v>
      </c>
      <c r="F787" t="s">
        <v>44</v>
      </c>
      <c r="G787" t="s">
        <v>78</v>
      </c>
      <c r="H787">
        <v>1941</v>
      </c>
      <c r="I787" t="s">
        <v>71</v>
      </c>
      <c r="J787" t="s">
        <v>72</v>
      </c>
      <c r="K787" t="s">
        <v>47</v>
      </c>
      <c r="L787" t="s">
        <v>48</v>
      </c>
      <c r="M787">
        <v>4</v>
      </c>
      <c r="N787" t="s">
        <v>34</v>
      </c>
      <c r="O787" t="s">
        <v>35</v>
      </c>
      <c r="P787" t="s">
        <v>36</v>
      </c>
      <c r="Q787">
        <v>2</v>
      </c>
      <c r="R787" t="s">
        <v>60</v>
      </c>
      <c r="S787">
        <v>35</v>
      </c>
      <c r="T787" t="s">
        <v>98</v>
      </c>
      <c r="U787" t="s">
        <v>36</v>
      </c>
      <c r="V787" t="s">
        <v>38</v>
      </c>
      <c r="W787">
        <v>1</v>
      </c>
      <c r="X787" t="s">
        <v>57</v>
      </c>
      <c r="Y787">
        <v>1</v>
      </c>
      <c r="Z787" t="s">
        <v>40</v>
      </c>
      <c r="AA787" t="s">
        <v>40</v>
      </c>
      <c r="AB787">
        <v>1</v>
      </c>
    </row>
    <row r="788" spans="1:28" x14ac:dyDescent="0.3">
      <c r="A788">
        <v>787</v>
      </c>
      <c r="B788" t="s">
        <v>26</v>
      </c>
      <c r="C788" t="s">
        <v>52</v>
      </c>
      <c r="D788" t="s">
        <v>53</v>
      </c>
      <c r="E788">
        <v>22</v>
      </c>
      <c r="F788" t="s">
        <v>44</v>
      </c>
      <c r="G788" t="s">
        <v>30</v>
      </c>
      <c r="H788">
        <v>2675</v>
      </c>
      <c r="I788" t="s">
        <v>65</v>
      </c>
      <c r="J788" t="s">
        <v>66</v>
      </c>
      <c r="K788" t="s">
        <v>32</v>
      </c>
      <c r="L788" t="s">
        <v>33</v>
      </c>
      <c r="M788">
        <v>3</v>
      </c>
      <c r="N788" t="s">
        <v>34</v>
      </c>
      <c r="O788" t="s">
        <v>35</v>
      </c>
      <c r="P788" t="s">
        <v>36</v>
      </c>
      <c r="Q788">
        <v>4</v>
      </c>
      <c r="R788" t="s">
        <v>68</v>
      </c>
      <c r="S788">
        <v>40</v>
      </c>
      <c r="T788" t="s">
        <v>97</v>
      </c>
      <c r="U788" t="s">
        <v>36</v>
      </c>
      <c r="V788" t="s">
        <v>38</v>
      </c>
      <c r="W788">
        <v>1</v>
      </c>
      <c r="X788" t="s">
        <v>39</v>
      </c>
      <c r="Y788">
        <v>1</v>
      </c>
      <c r="Z788" t="s">
        <v>51</v>
      </c>
      <c r="AA788" t="s">
        <v>40</v>
      </c>
      <c r="AB788">
        <v>1</v>
      </c>
    </row>
    <row r="789" spans="1:28" x14ac:dyDescent="0.3">
      <c r="A789">
        <v>788</v>
      </c>
      <c r="B789" t="s">
        <v>26</v>
      </c>
      <c r="C789" t="s">
        <v>52</v>
      </c>
      <c r="D789" t="s">
        <v>53</v>
      </c>
      <c r="E789">
        <v>48</v>
      </c>
      <c r="F789" t="s">
        <v>29</v>
      </c>
      <c r="G789" t="s">
        <v>67</v>
      </c>
      <c r="H789">
        <v>2751</v>
      </c>
      <c r="I789" t="s">
        <v>31</v>
      </c>
      <c r="J789" t="s">
        <v>31</v>
      </c>
      <c r="K789" t="s">
        <v>32</v>
      </c>
      <c r="L789" t="s">
        <v>33</v>
      </c>
      <c r="M789">
        <v>4</v>
      </c>
      <c r="N789" t="s">
        <v>34</v>
      </c>
      <c r="O789" t="s">
        <v>35</v>
      </c>
      <c r="P789" t="s">
        <v>36</v>
      </c>
      <c r="Q789">
        <v>3</v>
      </c>
      <c r="R789" t="s">
        <v>68</v>
      </c>
      <c r="S789">
        <v>38</v>
      </c>
      <c r="T789" t="s">
        <v>98</v>
      </c>
      <c r="U789" t="s">
        <v>36</v>
      </c>
      <c r="V789" t="s">
        <v>38</v>
      </c>
      <c r="W789">
        <v>2</v>
      </c>
      <c r="X789" t="s">
        <v>39</v>
      </c>
      <c r="Y789">
        <v>2</v>
      </c>
      <c r="Z789" t="s">
        <v>40</v>
      </c>
      <c r="AA789" t="s">
        <v>40</v>
      </c>
      <c r="AB789">
        <v>1</v>
      </c>
    </row>
    <row r="790" spans="1:28" x14ac:dyDescent="0.3">
      <c r="A790">
        <v>789</v>
      </c>
      <c r="B790" t="s">
        <v>41</v>
      </c>
      <c r="C790" t="s">
        <v>42</v>
      </c>
      <c r="D790" t="s">
        <v>43</v>
      </c>
      <c r="E790">
        <v>48</v>
      </c>
      <c r="F790" t="s">
        <v>62</v>
      </c>
      <c r="G790" t="s">
        <v>54</v>
      </c>
      <c r="H790">
        <v>6224</v>
      </c>
      <c r="I790" t="s">
        <v>45</v>
      </c>
      <c r="J790" t="s">
        <v>46</v>
      </c>
      <c r="K790" t="s">
        <v>32</v>
      </c>
      <c r="L790" t="s">
        <v>33</v>
      </c>
      <c r="M790">
        <v>4</v>
      </c>
      <c r="N790" t="s">
        <v>34</v>
      </c>
      <c r="O790" t="s">
        <v>35</v>
      </c>
      <c r="P790" t="s">
        <v>36</v>
      </c>
      <c r="Q790">
        <v>4</v>
      </c>
      <c r="R790" t="s">
        <v>64</v>
      </c>
      <c r="S790">
        <v>50</v>
      </c>
      <c r="T790" t="s">
        <v>97</v>
      </c>
      <c r="U790" t="s">
        <v>36</v>
      </c>
      <c r="V790" t="s">
        <v>61</v>
      </c>
      <c r="W790">
        <v>1</v>
      </c>
      <c r="X790" t="s">
        <v>39</v>
      </c>
      <c r="Y790">
        <v>1</v>
      </c>
      <c r="Z790" t="s">
        <v>51</v>
      </c>
      <c r="AA790" t="s">
        <v>40</v>
      </c>
      <c r="AB790">
        <v>2</v>
      </c>
    </row>
    <row r="791" spans="1:28" x14ac:dyDescent="0.3">
      <c r="A791">
        <v>790</v>
      </c>
      <c r="B791" t="s">
        <v>41</v>
      </c>
      <c r="C791" t="s">
        <v>27</v>
      </c>
      <c r="D791" t="s">
        <v>28</v>
      </c>
      <c r="E791">
        <v>40</v>
      </c>
      <c r="F791" t="s">
        <v>29</v>
      </c>
      <c r="G791" t="s">
        <v>54</v>
      </c>
      <c r="H791">
        <v>5998</v>
      </c>
      <c r="I791" t="s">
        <v>45</v>
      </c>
      <c r="J791" t="s">
        <v>46</v>
      </c>
      <c r="K791" t="s">
        <v>47</v>
      </c>
      <c r="L791" t="s">
        <v>48</v>
      </c>
      <c r="M791">
        <v>4</v>
      </c>
      <c r="N791" t="s">
        <v>34</v>
      </c>
      <c r="O791" t="s">
        <v>35</v>
      </c>
      <c r="P791" t="s">
        <v>36</v>
      </c>
      <c r="Q791">
        <v>3</v>
      </c>
      <c r="R791" t="s">
        <v>64</v>
      </c>
      <c r="S791">
        <v>27</v>
      </c>
      <c r="T791" t="s">
        <v>98</v>
      </c>
      <c r="U791" t="s">
        <v>82</v>
      </c>
      <c r="V791" t="s">
        <v>38</v>
      </c>
      <c r="W791">
        <v>1</v>
      </c>
      <c r="X791" t="s">
        <v>39</v>
      </c>
      <c r="Y791">
        <v>1</v>
      </c>
      <c r="Z791" t="s">
        <v>40</v>
      </c>
      <c r="AA791" t="s">
        <v>40</v>
      </c>
      <c r="AB791">
        <v>2</v>
      </c>
    </row>
    <row r="792" spans="1:28" x14ac:dyDescent="0.3">
      <c r="A792">
        <v>791</v>
      </c>
      <c r="B792" t="s">
        <v>41</v>
      </c>
      <c r="C792" t="s">
        <v>42</v>
      </c>
      <c r="D792" t="s">
        <v>43</v>
      </c>
      <c r="E792">
        <v>21</v>
      </c>
      <c r="F792" t="s">
        <v>44</v>
      </c>
      <c r="G792" t="s">
        <v>78</v>
      </c>
      <c r="H792">
        <v>1188</v>
      </c>
      <c r="I792" t="s">
        <v>45</v>
      </c>
      <c r="J792" t="s">
        <v>46</v>
      </c>
      <c r="K792" t="s">
        <v>32</v>
      </c>
      <c r="L792" t="s">
        <v>33</v>
      </c>
      <c r="M792">
        <v>2</v>
      </c>
      <c r="N792" t="s">
        <v>49</v>
      </c>
      <c r="O792" t="s">
        <v>50</v>
      </c>
      <c r="P792" t="s">
        <v>36</v>
      </c>
      <c r="Q792">
        <v>4</v>
      </c>
      <c r="R792" t="s">
        <v>60</v>
      </c>
      <c r="S792">
        <v>39</v>
      </c>
      <c r="T792" t="s">
        <v>98</v>
      </c>
      <c r="U792" t="s">
        <v>36</v>
      </c>
      <c r="V792" t="s">
        <v>38</v>
      </c>
      <c r="W792">
        <v>1</v>
      </c>
      <c r="X792" t="s">
        <v>39</v>
      </c>
      <c r="Y792">
        <v>2</v>
      </c>
      <c r="Z792" t="s">
        <v>51</v>
      </c>
      <c r="AA792" t="s">
        <v>40</v>
      </c>
      <c r="AB792">
        <v>2</v>
      </c>
    </row>
    <row r="793" spans="1:28" x14ac:dyDescent="0.3">
      <c r="A793">
        <v>792</v>
      </c>
      <c r="B793" t="s">
        <v>26</v>
      </c>
      <c r="C793" t="s">
        <v>52</v>
      </c>
      <c r="D793" t="s">
        <v>53</v>
      </c>
      <c r="E793">
        <v>24</v>
      </c>
      <c r="F793" t="s">
        <v>44</v>
      </c>
      <c r="G793" t="s">
        <v>67</v>
      </c>
      <c r="H793">
        <v>6313</v>
      </c>
      <c r="I793" t="s">
        <v>31</v>
      </c>
      <c r="J793" t="s">
        <v>31</v>
      </c>
      <c r="K793" t="s">
        <v>32</v>
      </c>
      <c r="L793" t="s">
        <v>33</v>
      </c>
      <c r="M793">
        <v>3</v>
      </c>
      <c r="N793" t="s">
        <v>34</v>
      </c>
      <c r="O793" t="s">
        <v>35</v>
      </c>
      <c r="P793" t="s">
        <v>36</v>
      </c>
      <c r="Q793">
        <v>4</v>
      </c>
      <c r="R793" t="s">
        <v>68</v>
      </c>
      <c r="S793">
        <v>41</v>
      </c>
      <c r="T793" t="s">
        <v>97</v>
      </c>
      <c r="U793" t="s">
        <v>36</v>
      </c>
      <c r="V793" t="s">
        <v>38</v>
      </c>
      <c r="W793">
        <v>1</v>
      </c>
      <c r="X793" t="s">
        <v>70</v>
      </c>
      <c r="Y793">
        <v>2</v>
      </c>
      <c r="Z793" t="s">
        <v>40</v>
      </c>
      <c r="AA793" t="s">
        <v>40</v>
      </c>
      <c r="AB793">
        <v>1</v>
      </c>
    </row>
    <row r="794" spans="1:28" x14ac:dyDescent="0.3">
      <c r="A794">
        <v>793</v>
      </c>
      <c r="B794" t="s">
        <v>26</v>
      </c>
      <c r="C794" t="s">
        <v>52</v>
      </c>
      <c r="D794" t="s">
        <v>53</v>
      </c>
      <c r="E794">
        <v>6</v>
      </c>
      <c r="F794" t="s">
        <v>29</v>
      </c>
      <c r="G794" t="s">
        <v>58</v>
      </c>
      <c r="H794">
        <v>1221</v>
      </c>
      <c r="I794" t="s">
        <v>31</v>
      </c>
      <c r="J794" t="s">
        <v>31</v>
      </c>
      <c r="K794" t="s">
        <v>47</v>
      </c>
      <c r="L794" t="s">
        <v>48</v>
      </c>
      <c r="M794">
        <v>1</v>
      </c>
      <c r="N794" t="s">
        <v>34</v>
      </c>
      <c r="O794" t="s">
        <v>75</v>
      </c>
      <c r="P794" t="s">
        <v>36</v>
      </c>
      <c r="Q794">
        <v>2</v>
      </c>
      <c r="R794" t="s">
        <v>60</v>
      </c>
      <c r="S794">
        <v>27</v>
      </c>
      <c r="T794" t="s">
        <v>98</v>
      </c>
      <c r="U794" t="s">
        <v>36</v>
      </c>
      <c r="V794" t="s">
        <v>38</v>
      </c>
      <c r="W794">
        <v>2</v>
      </c>
      <c r="X794" t="s">
        <v>39</v>
      </c>
      <c r="Y794">
        <v>1</v>
      </c>
      <c r="Z794" t="s">
        <v>51</v>
      </c>
      <c r="AA794" t="s">
        <v>40</v>
      </c>
      <c r="AB794">
        <v>1</v>
      </c>
    </row>
    <row r="795" spans="1:28" x14ac:dyDescent="0.3">
      <c r="A795">
        <v>794</v>
      </c>
      <c r="B795" t="s">
        <v>26</v>
      </c>
      <c r="C795" t="s">
        <v>83</v>
      </c>
      <c r="D795" t="s">
        <v>84</v>
      </c>
      <c r="E795">
        <v>24</v>
      </c>
      <c r="F795" t="s">
        <v>44</v>
      </c>
      <c r="G795" t="s">
        <v>58</v>
      </c>
      <c r="H795">
        <v>2892</v>
      </c>
      <c r="I795" t="s">
        <v>45</v>
      </c>
      <c r="J795" t="s">
        <v>46</v>
      </c>
      <c r="K795" t="s">
        <v>32</v>
      </c>
      <c r="L795" t="s">
        <v>33</v>
      </c>
      <c r="M795">
        <v>3</v>
      </c>
      <c r="N795" t="s">
        <v>34</v>
      </c>
      <c r="O795" t="s">
        <v>73</v>
      </c>
      <c r="P795" t="s">
        <v>36</v>
      </c>
      <c r="Q795">
        <v>4</v>
      </c>
      <c r="R795" t="s">
        <v>64</v>
      </c>
      <c r="S795">
        <v>51</v>
      </c>
      <c r="T795" t="s">
        <v>97</v>
      </c>
      <c r="U795" t="s">
        <v>36</v>
      </c>
      <c r="V795" t="s">
        <v>61</v>
      </c>
      <c r="W795">
        <v>1</v>
      </c>
      <c r="X795" t="s">
        <v>39</v>
      </c>
      <c r="Y795">
        <v>1</v>
      </c>
      <c r="Z795" t="s">
        <v>51</v>
      </c>
      <c r="AA795" t="s">
        <v>40</v>
      </c>
      <c r="AB795">
        <v>1</v>
      </c>
    </row>
    <row r="796" spans="1:28" x14ac:dyDescent="0.3">
      <c r="A796">
        <v>795</v>
      </c>
      <c r="B796" t="s">
        <v>26</v>
      </c>
      <c r="C796" t="s">
        <v>52</v>
      </c>
      <c r="D796" t="s">
        <v>53</v>
      </c>
      <c r="E796">
        <v>24</v>
      </c>
      <c r="F796" t="s">
        <v>44</v>
      </c>
      <c r="G796" t="s">
        <v>58</v>
      </c>
      <c r="H796">
        <v>3062</v>
      </c>
      <c r="I796" t="s">
        <v>65</v>
      </c>
      <c r="J796" t="s">
        <v>66</v>
      </c>
      <c r="K796" t="s">
        <v>32</v>
      </c>
      <c r="L796" t="s">
        <v>33</v>
      </c>
      <c r="M796">
        <v>4</v>
      </c>
      <c r="N796" t="s">
        <v>34</v>
      </c>
      <c r="O796" t="s">
        <v>35</v>
      </c>
      <c r="P796" t="s">
        <v>36</v>
      </c>
      <c r="Q796">
        <v>3</v>
      </c>
      <c r="R796" t="s">
        <v>64</v>
      </c>
      <c r="S796">
        <v>32</v>
      </c>
      <c r="T796" t="s">
        <v>98</v>
      </c>
      <c r="U796" t="s">
        <v>36</v>
      </c>
      <c r="V796" t="s">
        <v>69</v>
      </c>
      <c r="W796">
        <v>1</v>
      </c>
      <c r="X796" t="s">
        <v>39</v>
      </c>
      <c r="Y796">
        <v>1</v>
      </c>
      <c r="Z796" t="s">
        <v>40</v>
      </c>
      <c r="AA796" t="s">
        <v>40</v>
      </c>
      <c r="AB796">
        <v>1</v>
      </c>
    </row>
    <row r="797" spans="1:28" x14ac:dyDescent="0.3">
      <c r="A797">
        <v>796</v>
      </c>
      <c r="B797" t="s">
        <v>26</v>
      </c>
      <c r="C797" t="s">
        <v>52</v>
      </c>
      <c r="D797" t="s">
        <v>53</v>
      </c>
      <c r="E797">
        <v>9</v>
      </c>
      <c r="F797" t="s">
        <v>44</v>
      </c>
      <c r="G797" t="s">
        <v>58</v>
      </c>
      <c r="H797">
        <v>2301</v>
      </c>
      <c r="I797" t="s">
        <v>79</v>
      </c>
      <c r="J797" t="s">
        <v>80</v>
      </c>
      <c r="K797" t="s">
        <v>76</v>
      </c>
      <c r="L797" t="s">
        <v>77</v>
      </c>
      <c r="M797">
        <v>2</v>
      </c>
      <c r="N797" t="s">
        <v>49</v>
      </c>
      <c r="O797" t="s">
        <v>50</v>
      </c>
      <c r="P797" t="s">
        <v>36</v>
      </c>
      <c r="Q797">
        <v>4</v>
      </c>
      <c r="R797" t="s">
        <v>60</v>
      </c>
      <c r="S797">
        <v>22</v>
      </c>
      <c r="T797" t="s">
        <v>96</v>
      </c>
      <c r="U797" t="s">
        <v>36</v>
      </c>
      <c r="V797" t="s">
        <v>69</v>
      </c>
      <c r="W797">
        <v>1</v>
      </c>
      <c r="X797" t="s">
        <v>39</v>
      </c>
      <c r="Y797">
        <v>1</v>
      </c>
      <c r="Z797" t="s">
        <v>51</v>
      </c>
      <c r="AA797" t="s">
        <v>40</v>
      </c>
      <c r="AB797">
        <v>1</v>
      </c>
    </row>
    <row r="798" spans="1:28" x14ac:dyDescent="0.3">
      <c r="A798">
        <v>797</v>
      </c>
      <c r="B798" t="s">
        <v>41</v>
      </c>
      <c r="C798" t="s">
        <v>27</v>
      </c>
      <c r="D798" t="s">
        <v>28</v>
      </c>
      <c r="E798">
        <v>18</v>
      </c>
      <c r="F798" t="s">
        <v>44</v>
      </c>
      <c r="G798" t="s">
        <v>67</v>
      </c>
      <c r="H798">
        <v>7511</v>
      </c>
      <c r="I798" t="s">
        <v>31</v>
      </c>
      <c r="J798" t="s">
        <v>31</v>
      </c>
      <c r="K798" t="s">
        <v>32</v>
      </c>
      <c r="L798" t="s">
        <v>33</v>
      </c>
      <c r="M798">
        <v>1</v>
      </c>
      <c r="N798" t="s">
        <v>34</v>
      </c>
      <c r="O798" t="s">
        <v>35</v>
      </c>
      <c r="P798" t="s">
        <v>36</v>
      </c>
      <c r="Q798">
        <v>4</v>
      </c>
      <c r="R798" t="s">
        <v>60</v>
      </c>
      <c r="S798">
        <v>51</v>
      </c>
      <c r="T798" t="s">
        <v>97</v>
      </c>
      <c r="U798" t="s">
        <v>36</v>
      </c>
      <c r="V798" t="s">
        <v>61</v>
      </c>
      <c r="W798">
        <v>1</v>
      </c>
      <c r="X798" t="s">
        <v>39</v>
      </c>
      <c r="Y798">
        <v>2</v>
      </c>
      <c r="Z798" t="s">
        <v>40</v>
      </c>
      <c r="AA798" t="s">
        <v>40</v>
      </c>
      <c r="AB798">
        <v>2</v>
      </c>
    </row>
    <row r="799" spans="1:28" x14ac:dyDescent="0.3">
      <c r="A799">
        <v>798</v>
      </c>
      <c r="B799" t="s">
        <v>26</v>
      </c>
      <c r="C799" t="s">
        <v>52</v>
      </c>
      <c r="D799" t="s">
        <v>53</v>
      </c>
      <c r="E799">
        <v>12</v>
      </c>
      <c r="F799" t="s">
        <v>29</v>
      </c>
      <c r="G799" t="s">
        <v>58</v>
      </c>
      <c r="H799">
        <v>1258</v>
      </c>
      <c r="I799" t="s">
        <v>45</v>
      </c>
      <c r="J799" t="s">
        <v>46</v>
      </c>
      <c r="K799" t="s">
        <v>76</v>
      </c>
      <c r="L799" t="s">
        <v>77</v>
      </c>
      <c r="M799">
        <v>2</v>
      </c>
      <c r="N799" t="s">
        <v>49</v>
      </c>
      <c r="O799" t="s">
        <v>50</v>
      </c>
      <c r="P799" t="s">
        <v>36</v>
      </c>
      <c r="Q799">
        <v>4</v>
      </c>
      <c r="R799" t="s">
        <v>60</v>
      </c>
      <c r="S799">
        <v>22</v>
      </c>
      <c r="T799" t="s">
        <v>96</v>
      </c>
      <c r="U799" t="s">
        <v>36</v>
      </c>
      <c r="V799" t="s">
        <v>69</v>
      </c>
      <c r="W799">
        <v>2</v>
      </c>
      <c r="X799" t="s">
        <v>57</v>
      </c>
      <c r="Y799">
        <v>1</v>
      </c>
      <c r="Z799" t="s">
        <v>51</v>
      </c>
      <c r="AA799" t="s">
        <v>40</v>
      </c>
      <c r="AB799">
        <v>1</v>
      </c>
    </row>
    <row r="800" spans="1:28" x14ac:dyDescent="0.3">
      <c r="A800">
        <v>799</v>
      </c>
      <c r="B800" t="s">
        <v>26</v>
      </c>
      <c r="C800" t="s">
        <v>52</v>
      </c>
      <c r="D800" t="s">
        <v>53</v>
      </c>
      <c r="E800">
        <v>24</v>
      </c>
      <c r="F800" t="s">
        <v>62</v>
      </c>
      <c r="G800" t="s">
        <v>63</v>
      </c>
      <c r="H800">
        <v>717</v>
      </c>
      <c r="I800" t="s">
        <v>31</v>
      </c>
      <c r="J800" t="s">
        <v>31</v>
      </c>
      <c r="K800" t="s">
        <v>32</v>
      </c>
      <c r="L800" t="s">
        <v>33</v>
      </c>
      <c r="M800">
        <v>4</v>
      </c>
      <c r="N800" t="s">
        <v>34</v>
      </c>
      <c r="O800" t="s">
        <v>75</v>
      </c>
      <c r="P800" t="s">
        <v>36</v>
      </c>
      <c r="Q800">
        <v>4</v>
      </c>
      <c r="R800" t="s">
        <v>68</v>
      </c>
      <c r="S800">
        <v>54</v>
      </c>
      <c r="T800" t="s">
        <v>97</v>
      </c>
      <c r="U800" t="s">
        <v>36</v>
      </c>
      <c r="V800" t="s">
        <v>38</v>
      </c>
      <c r="W800">
        <v>2</v>
      </c>
      <c r="X800" t="s">
        <v>39</v>
      </c>
      <c r="Y800">
        <v>1</v>
      </c>
      <c r="Z800" t="s">
        <v>40</v>
      </c>
      <c r="AA800" t="s">
        <v>40</v>
      </c>
      <c r="AB800">
        <v>1</v>
      </c>
    </row>
    <row r="801" spans="1:28" x14ac:dyDescent="0.3">
      <c r="A801">
        <v>800</v>
      </c>
      <c r="B801" t="s">
        <v>26</v>
      </c>
      <c r="C801" t="s">
        <v>42</v>
      </c>
      <c r="D801" t="s">
        <v>43</v>
      </c>
      <c r="E801">
        <v>9</v>
      </c>
      <c r="F801" t="s">
        <v>44</v>
      </c>
      <c r="G801" t="s">
        <v>63</v>
      </c>
      <c r="H801">
        <v>1549</v>
      </c>
      <c r="I801" t="s">
        <v>31</v>
      </c>
      <c r="J801" t="s">
        <v>31</v>
      </c>
      <c r="K801" t="s">
        <v>76</v>
      </c>
      <c r="L801" t="s">
        <v>77</v>
      </c>
      <c r="M801">
        <v>4</v>
      </c>
      <c r="N801" t="s">
        <v>34</v>
      </c>
      <c r="O801" t="s">
        <v>35</v>
      </c>
      <c r="P801" t="s">
        <v>36</v>
      </c>
      <c r="Q801">
        <v>2</v>
      </c>
      <c r="R801" t="s">
        <v>37</v>
      </c>
      <c r="S801">
        <v>35</v>
      </c>
      <c r="T801" t="s">
        <v>98</v>
      </c>
      <c r="U801" t="s">
        <v>36</v>
      </c>
      <c r="V801" t="s">
        <v>38</v>
      </c>
      <c r="W801">
        <v>1</v>
      </c>
      <c r="X801" t="s">
        <v>90</v>
      </c>
      <c r="Y801">
        <v>1</v>
      </c>
      <c r="Z801" t="s">
        <v>51</v>
      </c>
      <c r="AA801" t="s">
        <v>40</v>
      </c>
      <c r="AB801">
        <v>1</v>
      </c>
    </row>
    <row r="802" spans="1:28" x14ac:dyDescent="0.3">
      <c r="A802">
        <v>801</v>
      </c>
      <c r="B802" t="s">
        <v>26</v>
      </c>
      <c r="C802" t="s">
        <v>52</v>
      </c>
      <c r="D802" t="s">
        <v>53</v>
      </c>
      <c r="E802">
        <v>24</v>
      </c>
      <c r="F802" t="s">
        <v>29</v>
      </c>
      <c r="G802" t="s">
        <v>54</v>
      </c>
      <c r="H802">
        <v>1597</v>
      </c>
      <c r="I802" t="s">
        <v>45</v>
      </c>
      <c r="J802" t="s">
        <v>46</v>
      </c>
      <c r="K802" t="s">
        <v>32</v>
      </c>
      <c r="L802" t="s">
        <v>33</v>
      </c>
      <c r="M802">
        <v>4</v>
      </c>
      <c r="N802" t="s">
        <v>34</v>
      </c>
      <c r="O802" t="s">
        <v>35</v>
      </c>
      <c r="P802" t="s">
        <v>36</v>
      </c>
      <c r="Q802">
        <v>4</v>
      </c>
      <c r="R802" t="s">
        <v>64</v>
      </c>
      <c r="S802">
        <v>54</v>
      </c>
      <c r="T802" t="s">
        <v>97</v>
      </c>
      <c r="U802" t="s">
        <v>36</v>
      </c>
      <c r="V802" t="s">
        <v>61</v>
      </c>
      <c r="W802">
        <v>2</v>
      </c>
      <c r="X802" t="s">
        <v>39</v>
      </c>
      <c r="Y802">
        <v>2</v>
      </c>
      <c r="Z802" t="s">
        <v>51</v>
      </c>
      <c r="AA802" t="s">
        <v>40</v>
      </c>
      <c r="AB802">
        <v>1</v>
      </c>
    </row>
    <row r="803" spans="1:28" x14ac:dyDescent="0.3">
      <c r="A803">
        <v>802</v>
      </c>
      <c r="B803" t="s">
        <v>26</v>
      </c>
      <c r="C803" t="s">
        <v>42</v>
      </c>
      <c r="D803" t="s">
        <v>43</v>
      </c>
      <c r="E803">
        <v>18</v>
      </c>
      <c r="F803" t="s">
        <v>29</v>
      </c>
      <c r="G803" t="s">
        <v>30</v>
      </c>
      <c r="H803">
        <v>1795</v>
      </c>
      <c r="I803" t="s">
        <v>45</v>
      </c>
      <c r="J803" t="s">
        <v>46</v>
      </c>
      <c r="K803" t="s">
        <v>32</v>
      </c>
      <c r="L803" t="s">
        <v>33</v>
      </c>
      <c r="M803">
        <v>3</v>
      </c>
      <c r="N803" t="s">
        <v>49</v>
      </c>
      <c r="O803" t="s">
        <v>50</v>
      </c>
      <c r="P803" t="s">
        <v>59</v>
      </c>
      <c r="Q803">
        <v>4</v>
      </c>
      <c r="R803" t="s">
        <v>37</v>
      </c>
      <c r="S803">
        <v>48</v>
      </c>
      <c r="T803" t="s">
        <v>97</v>
      </c>
      <c r="U803" t="s">
        <v>82</v>
      </c>
      <c r="V803" t="s">
        <v>69</v>
      </c>
      <c r="W803">
        <v>2</v>
      </c>
      <c r="X803" t="s">
        <v>57</v>
      </c>
      <c r="Y803">
        <v>1</v>
      </c>
      <c r="Z803" t="s">
        <v>40</v>
      </c>
      <c r="AA803" t="s">
        <v>40</v>
      </c>
      <c r="AB803">
        <v>1</v>
      </c>
    </row>
    <row r="804" spans="1:28" x14ac:dyDescent="0.3">
      <c r="A804">
        <v>803</v>
      </c>
      <c r="B804" t="s">
        <v>26</v>
      </c>
      <c r="C804" t="s">
        <v>27</v>
      </c>
      <c r="D804" t="s">
        <v>28</v>
      </c>
      <c r="E804">
        <v>20</v>
      </c>
      <c r="F804" t="s">
        <v>29</v>
      </c>
      <c r="G804" t="s">
        <v>58</v>
      </c>
      <c r="H804">
        <v>4272</v>
      </c>
      <c r="I804" t="s">
        <v>45</v>
      </c>
      <c r="J804" t="s">
        <v>46</v>
      </c>
      <c r="K804" t="s">
        <v>32</v>
      </c>
      <c r="L804" t="s">
        <v>33</v>
      </c>
      <c r="M804">
        <v>1</v>
      </c>
      <c r="N804" t="s">
        <v>49</v>
      </c>
      <c r="O804" t="s">
        <v>50</v>
      </c>
      <c r="P804" t="s">
        <v>36</v>
      </c>
      <c r="Q804">
        <v>4</v>
      </c>
      <c r="R804" t="s">
        <v>60</v>
      </c>
      <c r="S804">
        <v>24</v>
      </c>
      <c r="T804" t="s">
        <v>96</v>
      </c>
      <c r="U804" t="s">
        <v>36</v>
      </c>
      <c r="V804" t="s">
        <v>38</v>
      </c>
      <c r="W804">
        <v>2</v>
      </c>
      <c r="X804" t="s">
        <v>39</v>
      </c>
      <c r="Y804">
        <v>1</v>
      </c>
      <c r="Z804" t="s">
        <v>51</v>
      </c>
      <c r="AA804" t="s">
        <v>40</v>
      </c>
      <c r="AB804">
        <v>1</v>
      </c>
    </row>
    <row r="805" spans="1:28" x14ac:dyDescent="0.3">
      <c r="A805">
        <v>804</v>
      </c>
      <c r="B805" t="s">
        <v>26</v>
      </c>
      <c r="C805" t="s">
        <v>52</v>
      </c>
      <c r="D805" t="s">
        <v>53</v>
      </c>
      <c r="E805">
        <v>12</v>
      </c>
      <c r="F805" t="s">
        <v>29</v>
      </c>
      <c r="G805" t="s">
        <v>30</v>
      </c>
      <c r="H805">
        <v>976</v>
      </c>
      <c r="I805" t="s">
        <v>31</v>
      </c>
      <c r="J805" t="s">
        <v>31</v>
      </c>
      <c r="K805" t="s">
        <v>32</v>
      </c>
      <c r="L805" t="s">
        <v>33</v>
      </c>
      <c r="M805">
        <v>4</v>
      </c>
      <c r="N805" t="s">
        <v>34</v>
      </c>
      <c r="O805" t="s">
        <v>35</v>
      </c>
      <c r="P805" t="s">
        <v>36</v>
      </c>
      <c r="Q805">
        <v>4</v>
      </c>
      <c r="R805" t="s">
        <v>68</v>
      </c>
      <c r="S805">
        <v>35</v>
      </c>
      <c r="T805" t="s">
        <v>98</v>
      </c>
      <c r="U805" t="s">
        <v>36</v>
      </c>
      <c r="V805" t="s">
        <v>38</v>
      </c>
      <c r="W805">
        <v>2</v>
      </c>
      <c r="X805" t="s">
        <v>39</v>
      </c>
      <c r="Y805">
        <v>1</v>
      </c>
      <c r="Z805" t="s">
        <v>51</v>
      </c>
      <c r="AA805" t="s">
        <v>40</v>
      </c>
      <c r="AB805">
        <v>1</v>
      </c>
    </row>
    <row r="806" spans="1:28" x14ac:dyDescent="0.3">
      <c r="A806">
        <v>805</v>
      </c>
      <c r="B806" t="s">
        <v>26</v>
      </c>
      <c r="C806" t="s">
        <v>42</v>
      </c>
      <c r="D806" t="s">
        <v>43</v>
      </c>
      <c r="E806">
        <v>12</v>
      </c>
      <c r="F806" t="s">
        <v>44</v>
      </c>
      <c r="G806" t="s">
        <v>63</v>
      </c>
      <c r="H806">
        <v>7472</v>
      </c>
      <c r="I806" t="s">
        <v>31</v>
      </c>
      <c r="J806" t="s">
        <v>31</v>
      </c>
      <c r="K806" t="s">
        <v>74</v>
      </c>
      <c r="L806" t="s">
        <v>74</v>
      </c>
      <c r="M806">
        <v>1</v>
      </c>
      <c r="N806" t="s">
        <v>49</v>
      </c>
      <c r="O806" t="s">
        <v>50</v>
      </c>
      <c r="P806" t="s">
        <v>36</v>
      </c>
      <c r="Q806">
        <v>2</v>
      </c>
      <c r="R806" t="s">
        <v>37</v>
      </c>
      <c r="S806">
        <v>24</v>
      </c>
      <c r="T806" t="s">
        <v>96</v>
      </c>
      <c r="U806" t="s">
        <v>36</v>
      </c>
      <c r="V806" t="s">
        <v>69</v>
      </c>
      <c r="W806">
        <v>1</v>
      </c>
      <c r="X806" t="s">
        <v>90</v>
      </c>
      <c r="Y806">
        <v>1</v>
      </c>
      <c r="Z806" t="s">
        <v>51</v>
      </c>
      <c r="AA806" t="s">
        <v>40</v>
      </c>
      <c r="AB806">
        <v>1</v>
      </c>
    </row>
    <row r="807" spans="1:28" x14ac:dyDescent="0.3">
      <c r="A807">
        <v>806</v>
      </c>
      <c r="B807" t="s">
        <v>41</v>
      </c>
      <c r="C807" t="s">
        <v>27</v>
      </c>
      <c r="D807" t="s">
        <v>28</v>
      </c>
      <c r="E807">
        <v>36</v>
      </c>
      <c r="F807" t="s">
        <v>44</v>
      </c>
      <c r="G807" t="s">
        <v>63</v>
      </c>
      <c r="H807">
        <v>9271</v>
      </c>
      <c r="I807" t="s">
        <v>45</v>
      </c>
      <c r="J807" t="s">
        <v>46</v>
      </c>
      <c r="K807" t="s">
        <v>55</v>
      </c>
      <c r="L807" t="s">
        <v>56</v>
      </c>
      <c r="M807">
        <v>2</v>
      </c>
      <c r="N807" t="s">
        <v>34</v>
      </c>
      <c r="O807" t="s">
        <v>35</v>
      </c>
      <c r="P807" t="s">
        <v>36</v>
      </c>
      <c r="Q807">
        <v>1</v>
      </c>
      <c r="R807" t="s">
        <v>68</v>
      </c>
      <c r="S807">
        <v>24</v>
      </c>
      <c r="T807" t="s">
        <v>96</v>
      </c>
      <c r="U807" t="s">
        <v>36</v>
      </c>
      <c r="V807" t="s">
        <v>38</v>
      </c>
      <c r="W807">
        <v>1</v>
      </c>
      <c r="X807" t="s">
        <v>39</v>
      </c>
      <c r="Y807">
        <v>1</v>
      </c>
      <c r="Z807" t="s">
        <v>40</v>
      </c>
      <c r="AA807" t="s">
        <v>40</v>
      </c>
      <c r="AB807">
        <v>2</v>
      </c>
    </row>
    <row r="808" spans="1:28" x14ac:dyDescent="0.3">
      <c r="A808">
        <v>807</v>
      </c>
      <c r="B808" t="s">
        <v>26</v>
      </c>
      <c r="C808" t="s">
        <v>42</v>
      </c>
      <c r="D808" t="s">
        <v>43</v>
      </c>
      <c r="E808">
        <v>6</v>
      </c>
      <c r="F808" t="s">
        <v>44</v>
      </c>
      <c r="G808" t="s">
        <v>30</v>
      </c>
      <c r="H808">
        <v>590</v>
      </c>
      <c r="I808" t="s">
        <v>45</v>
      </c>
      <c r="J808" t="s">
        <v>46</v>
      </c>
      <c r="K808" t="s">
        <v>76</v>
      </c>
      <c r="L808" t="s">
        <v>77</v>
      </c>
      <c r="M808">
        <v>3</v>
      </c>
      <c r="N808" t="s">
        <v>34</v>
      </c>
      <c r="O808" t="s">
        <v>75</v>
      </c>
      <c r="P808" t="s">
        <v>36</v>
      </c>
      <c r="Q808">
        <v>3</v>
      </c>
      <c r="R808" t="s">
        <v>37</v>
      </c>
      <c r="S808">
        <v>26</v>
      </c>
      <c r="T808" t="s">
        <v>98</v>
      </c>
      <c r="U808" t="s">
        <v>36</v>
      </c>
      <c r="V808" t="s">
        <v>38</v>
      </c>
      <c r="W808">
        <v>1</v>
      </c>
      <c r="X808" t="s">
        <v>57</v>
      </c>
      <c r="Y808">
        <v>1</v>
      </c>
      <c r="Z808" t="s">
        <v>51</v>
      </c>
      <c r="AA808" t="s">
        <v>51</v>
      </c>
      <c r="AB808">
        <v>1</v>
      </c>
    </row>
    <row r="809" spans="1:28" x14ac:dyDescent="0.3">
      <c r="A809">
        <v>808</v>
      </c>
      <c r="B809" t="s">
        <v>26</v>
      </c>
      <c r="C809" t="s">
        <v>52</v>
      </c>
      <c r="D809" t="s">
        <v>53</v>
      </c>
      <c r="E809">
        <v>12</v>
      </c>
      <c r="F809" t="s">
        <v>29</v>
      </c>
      <c r="G809" t="s">
        <v>30</v>
      </c>
      <c r="H809">
        <v>930</v>
      </c>
      <c r="I809" t="s">
        <v>31</v>
      </c>
      <c r="J809" t="s">
        <v>31</v>
      </c>
      <c r="K809" t="s">
        <v>32</v>
      </c>
      <c r="L809" t="s">
        <v>33</v>
      </c>
      <c r="M809">
        <v>4</v>
      </c>
      <c r="N809" t="s">
        <v>34</v>
      </c>
      <c r="O809" t="s">
        <v>35</v>
      </c>
      <c r="P809" t="s">
        <v>36</v>
      </c>
      <c r="Q809">
        <v>4</v>
      </c>
      <c r="R809" t="s">
        <v>37</v>
      </c>
      <c r="S809">
        <v>65</v>
      </c>
      <c r="T809" t="s">
        <v>95</v>
      </c>
      <c r="U809" t="s">
        <v>36</v>
      </c>
      <c r="V809" t="s">
        <v>38</v>
      </c>
      <c r="W809">
        <v>4</v>
      </c>
      <c r="X809" t="s">
        <v>39</v>
      </c>
      <c r="Y809">
        <v>1</v>
      </c>
      <c r="Z809" t="s">
        <v>51</v>
      </c>
      <c r="AA809" t="s">
        <v>40</v>
      </c>
      <c r="AB809">
        <v>1</v>
      </c>
    </row>
    <row r="810" spans="1:28" x14ac:dyDescent="0.3">
      <c r="A810">
        <v>809</v>
      </c>
      <c r="B810" t="s">
        <v>26</v>
      </c>
      <c r="C810" t="s">
        <v>42</v>
      </c>
      <c r="D810" t="s">
        <v>43</v>
      </c>
      <c r="E810">
        <v>42</v>
      </c>
      <c r="F810" t="s">
        <v>85</v>
      </c>
      <c r="G810" t="s">
        <v>67</v>
      </c>
      <c r="H810">
        <v>9283</v>
      </c>
      <c r="I810" t="s">
        <v>45</v>
      </c>
      <c r="J810" t="s">
        <v>46</v>
      </c>
      <c r="K810" t="s">
        <v>74</v>
      </c>
      <c r="L810" t="s">
        <v>74</v>
      </c>
      <c r="M810">
        <v>1</v>
      </c>
      <c r="N810" t="s">
        <v>34</v>
      </c>
      <c r="O810" t="s">
        <v>35</v>
      </c>
      <c r="P810" t="s">
        <v>36</v>
      </c>
      <c r="Q810">
        <v>2</v>
      </c>
      <c r="R810" t="s">
        <v>64</v>
      </c>
      <c r="S810">
        <v>55</v>
      </c>
      <c r="T810" t="s">
        <v>97</v>
      </c>
      <c r="U810" t="s">
        <v>82</v>
      </c>
      <c r="V810" t="s">
        <v>61</v>
      </c>
      <c r="W810">
        <v>1</v>
      </c>
      <c r="X810" t="s">
        <v>70</v>
      </c>
      <c r="Y810">
        <v>1</v>
      </c>
      <c r="Z810" t="s">
        <v>40</v>
      </c>
      <c r="AA810" t="s">
        <v>40</v>
      </c>
      <c r="AB810">
        <v>1</v>
      </c>
    </row>
    <row r="811" spans="1:28" x14ac:dyDescent="0.3">
      <c r="A811">
        <v>810</v>
      </c>
      <c r="B811" t="s">
        <v>41</v>
      </c>
      <c r="C811" t="s">
        <v>42</v>
      </c>
      <c r="D811" t="s">
        <v>43</v>
      </c>
      <c r="E811">
        <v>15</v>
      </c>
      <c r="F811" t="s">
        <v>81</v>
      </c>
      <c r="G811" t="s">
        <v>63</v>
      </c>
      <c r="H811">
        <v>1778</v>
      </c>
      <c r="I811" t="s">
        <v>45</v>
      </c>
      <c r="J811" t="s">
        <v>46</v>
      </c>
      <c r="K811" t="s">
        <v>76</v>
      </c>
      <c r="L811" t="s">
        <v>77</v>
      </c>
      <c r="M811">
        <v>2</v>
      </c>
      <c r="N811" t="s">
        <v>49</v>
      </c>
      <c r="O811" t="s">
        <v>50</v>
      </c>
      <c r="P811" t="s">
        <v>36</v>
      </c>
      <c r="Q811">
        <v>1</v>
      </c>
      <c r="R811" t="s">
        <v>37</v>
      </c>
      <c r="S811">
        <v>26</v>
      </c>
      <c r="T811" t="s">
        <v>98</v>
      </c>
      <c r="U811" t="s">
        <v>36</v>
      </c>
      <c r="V811" t="s">
        <v>69</v>
      </c>
      <c r="W811">
        <v>2</v>
      </c>
      <c r="X811" t="s">
        <v>90</v>
      </c>
      <c r="Y811">
        <v>1</v>
      </c>
      <c r="Z811" t="s">
        <v>51</v>
      </c>
      <c r="AA811" t="s">
        <v>40</v>
      </c>
      <c r="AB811">
        <v>2</v>
      </c>
    </row>
    <row r="812" spans="1:28" x14ac:dyDescent="0.3">
      <c r="A812">
        <v>811</v>
      </c>
      <c r="B812" t="s">
        <v>26</v>
      </c>
      <c r="C812" t="s">
        <v>42</v>
      </c>
      <c r="D812" t="s">
        <v>43</v>
      </c>
      <c r="E812">
        <v>8</v>
      </c>
      <c r="F812" t="s">
        <v>44</v>
      </c>
      <c r="G812" t="s">
        <v>78</v>
      </c>
      <c r="H812">
        <v>907</v>
      </c>
      <c r="I812" t="s">
        <v>45</v>
      </c>
      <c r="J812" t="s">
        <v>46</v>
      </c>
      <c r="K812" t="s">
        <v>76</v>
      </c>
      <c r="L812" t="s">
        <v>77</v>
      </c>
      <c r="M812">
        <v>3</v>
      </c>
      <c r="N812" t="s">
        <v>34</v>
      </c>
      <c r="O812" t="s">
        <v>75</v>
      </c>
      <c r="P812" t="s">
        <v>36</v>
      </c>
      <c r="Q812">
        <v>2</v>
      </c>
      <c r="R812" t="s">
        <v>37</v>
      </c>
      <c r="S812">
        <v>26</v>
      </c>
      <c r="T812" t="s">
        <v>98</v>
      </c>
      <c r="U812" t="s">
        <v>36</v>
      </c>
      <c r="V812" t="s">
        <v>38</v>
      </c>
      <c r="W812">
        <v>1</v>
      </c>
      <c r="X812" t="s">
        <v>39</v>
      </c>
      <c r="Y812">
        <v>1</v>
      </c>
      <c r="Z812" t="s">
        <v>40</v>
      </c>
      <c r="AA812" t="s">
        <v>40</v>
      </c>
      <c r="AB812">
        <v>1</v>
      </c>
    </row>
    <row r="813" spans="1:28" x14ac:dyDescent="0.3">
      <c r="A813">
        <v>812</v>
      </c>
      <c r="B813" t="s">
        <v>26</v>
      </c>
      <c r="C813" t="s">
        <v>42</v>
      </c>
      <c r="D813" t="s">
        <v>43</v>
      </c>
      <c r="E813">
        <v>6</v>
      </c>
      <c r="F813" t="s">
        <v>44</v>
      </c>
      <c r="G813" t="s">
        <v>30</v>
      </c>
      <c r="H813">
        <v>484</v>
      </c>
      <c r="I813" t="s">
        <v>45</v>
      </c>
      <c r="J813" t="s">
        <v>46</v>
      </c>
      <c r="K813" t="s">
        <v>55</v>
      </c>
      <c r="L813" t="s">
        <v>56</v>
      </c>
      <c r="M813">
        <v>3</v>
      </c>
      <c r="N813" t="s">
        <v>34</v>
      </c>
      <c r="O813" t="s">
        <v>75</v>
      </c>
      <c r="P813" t="s">
        <v>59</v>
      </c>
      <c r="Q813">
        <v>3</v>
      </c>
      <c r="R813" t="s">
        <v>37</v>
      </c>
      <c r="S813">
        <v>28</v>
      </c>
      <c r="T813" t="s">
        <v>98</v>
      </c>
      <c r="U813" t="s">
        <v>82</v>
      </c>
      <c r="V813" t="s">
        <v>38</v>
      </c>
      <c r="W813">
        <v>1</v>
      </c>
      <c r="X813" t="s">
        <v>57</v>
      </c>
      <c r="Y813">
        <v>1</v>
      </c>
      <c r="Z813" t="s">
        <v>51</v>
      </c>
      <c r="AA813" t="s">
        <v>40</v>
      </c>
      <c r="AB813">
        <v>1</v>
      </c>
    </row>
    <row r="814" spans="1:28" x14ac:dyDescent="0.3">
      <c r="A814">
        <v>813</v>
      </c>
      <c r="B814" t="s">
        <v>41</v>
      </c>
      <c r="C814" t="s">
        <v>27</v>
      </c>
      <c r="D814" t="s">
        <v>28</v>
      </c>
      <c r="E814">
        <v>36</v>
      </c>
      <c r="F814" t="s">
        <v>29</v>
      </c>
      <c r="G814" t="s">
        <v>67</v>
      </c>
      <c r="H814">
        <v>9629</v>
      </c>
      <c r="I814" t="s">
        <v>45</v>
      </c>
      <c r="J814" t="s">
        <v>46</v>
      </c>
      <c r="K814" t="s">
        <v>55</v>
      </c>
      <c r="L814" t="s">
        <v>56</v>
      </c>
      <c r="M814">
        <v>4</v>
      </c>
      <c r="N814" t="s">
        <v>34</v>
      </c>
      <c r="O814" t="s">
        <v>35</v>
      </c>
      <c r="P814" t="s">
        <v>36</v>
      </c>
      <c r="Q814">
        <v>4</v>
      </c>
      <c r="R814" t="s">
        <v>68</v>
      </c>
      <c r="S814">
        <v>24</v>
      </c>
      <c r="T814" t="s">
        <v>96</v>
      </c>
      <c r="U814" t="s">
        <v>36</v>
      </c>
      <c r="V814" t="s">
        <v>38</v>
      </c>
      <c r="W814">
        <v>2</v>
      </c>
      <c r="X814" t="s">
        <v>39</v>
      </c>
      <c r="Y814">
        <v>1</v>
      </c>
      <c r="Z814" t="s">
        <v>40</v>
      </c>
      <c r="AA814" t="s">
        <v>40</v>
      </c>
      <c r="AB814">
        <v>2</v>
      </c>
    </row>
    <row r="815" spans="1:28" x14ac:dyDescent="0.3">
      <c r="A815">
        <v>814</v>
      </c>
      <c r="B815" t="s">
        <v>41</v>
      </c>
      <c r="C815" t="s">
        <v>27</v>
      </c>
      <c r="D815" t="s">
        <v>28</v>
      </c>
      <c r="E815">
        <v>48</v>
      </c>
      <c r="F815" t="s">
        <v>44</v>
      </c>
      <c r="G815" t="s">
        <v>88</v>
      </c>
      <c r="H815">
        <v>3051</v>
      </c>
      <c r="I815" t="s">
        <v>45</v>
      </c>
      <c r="J815" t="s">
        <v>46</v>
      </c>
      <c r="K815" t="s">
        <v>47</v>
      </c>
      <c r="L815" t="s">
        <v>48</v>
      </c>
      <c r="M815">
        <v>3</v>
      </c>
      <c r="N815" t="s">
        <v>34</v>
      </c>
      <c r="O815" t="s">
        <v>35</v>
      </c>
      <c r="P815" t="s">
        <v>36</v>
      </c>
      <c r="Q815">
        <v>4</v>
      </c>
      <c r="R815" t="s">
        <v>68</v>
      </c>
      <c r="S815">
        <v>54</v>
      </c>
      <c r="T815" t="s">
        <v>97</v>
      </c>
      <c r="U815" t="s">
        <v>36</v>
      </c>
      <c r="V815" t="s">
        <v>38</v>
      </c>
      <c r="W815">
        <v>1</v>
      </c>
      <c r="X815" t="s">
        <v>39</v>
      </c>
      <c r="Y815">
        <v>1</v>
      </c>
      <c r="Z815" t="s">
        <v>51</v>
      </c>
      <c r="AA815" t="s">
        <v>40</v>
      </c>
      <c r="AB815">
        <v>2</v>
      </c>
    </row>
    <row r="816" spans="1:28" x14ac:dyDescent="0.3">
      <c r="A816">
        <v>815</v>
      </c>
      <c r="B816" t="s">
        <v>41</v>
      </c>
      <c r="C816" t="s">
        <v>27</v>
      </c>
      <c r="D816" t="s">
        <v>28</v>
      </c>
      <c r="E816">
        <v>48</v>
      </c>
      <c r="F816" t="s">
        <v>44</v>
      </c>
      <c r="G816" t="s">
        <v>63</v>
      </c>
      <c r="H816">
        <v>3931</v>
      </c>
      <c r="I816" t="s">
        <v>45</v>
      </c>
      <c r="J816" t="s">
        <v>46</v>
      </c>
      <c r="K816" t="s">
        <v>55</v>
      </c>
      <c r="L816" t="s">
        <v>56</v>
      </c>
      <c r="M816">
        <v>4</v>
      </c>
      <c r="N816" t="s">
        <v>34</v>
      </c>
      <c r="O816" t="s">
        <v>35</v>
      </c>
      <c r="P816" t="s">
        <v>36</v>
      </c>
      <c r="Q816">
        <v>4</v>
      </c>
      <c r="R816" t="s">
        <v>64</v>
      </c>
      <c r="S816">
        <v>46</v>
      </c>
      <c r="T816" t="s">
        <v>97</v>
      </c>
      <c r="U816" t="s">
        <v>36</v>
      </c>
      <c r="V816" t="s">
        <v>61</v>
      </c>
      <c r="W816">
        <v>1</v>
      </c>
      <c r="X816" t="s">
        <v>39</v>
      </c>
      <c r="Y816">
        <v>2</v>
      </c>
      <c r="Z816" t="s">
        <v>51</v>
      </c>
      <c r="AA816" t="s">
        <v>40</v>
      </c>
      <c r="AB816">
        <v>2</v>
      </c>
    </row>
    <row r="817" spans="1:28" x14ac:dyDescent="0.3">
      <c r="A817">
        <v>816</v>
      </c>
      <c r="B817" t="s">
        <v>26</v>
      </c>
      <c r="C817" t="s">
        <v>42</v>
      </c>
      <c r="D817" t="s">
        <v>43</v>
      </c>
      <c r="E817">
        <v>36</v>
      </c>
      <c r="F817" t="s">
        <v>62</v>
      </c>
      <c r="G817" t="s">
        <v>63</v>
      </c>
      <c r="H817">
        <v>7432</v>
      </c>
      <c r="I817" t="s">
        <v>45</v>
      </c>
      <c r="J817" t="s">
        <v>46</v>
      </c>
      <c r="K817" t="s">
        <v>47</v>
      </c>
      <c r="L817" t="s">
        <v>48</v>
      </c>
      <c r="M817">
        <v>2</v>
      </c>
      <c r="N817" t="s">
        <v>49</v>
      </c>
      <c r="O817" t="s">
        <v>50</v>
      </c>
      <c r="P817" t="s">
        <v>36</v>
      </c>
      <c r="Q817">
        <v>2</v>
      </c>
      <c r="R817" t="s">
        <v>60</v>
      </c>
      <c r="S817">
        <v>54</v>
      </c>
      <c r="T817" t="s">
        <v>97</v>
      </c>
      <c r="U817" t="s">
        <v>36</v>
      </c>
      <c r="V817" t="s">
        <v>69</v>
      </c>
      <c r="W817">
        <v>1</v>
      </c>
      <c r="X817" t="s">
        <v>39</v>
      </c>
      <c r="Y817">
        <v>1</v>
      </c>
      <c r="Z817" t="s">
        <v>51</v>
      </c>
      <c r="AA817" t="s">
        <v>40</v>
      </c>
      <c r="AB817">
        <v>1</v>
      </c>
    </row>
    <row r="818" spans="1:28" x14ac:dyDescent="0.3">
      <c r="A818">
        <v>817</v>
      </c>
      <c r="B818" t="s">
        <v>26</v>
      </c>
      <c r="C818" t="s">
        <v>52</v>
      </c>
      <c r="D818" t="s">
        <v>53</v>
      </c>
      <c r="E818">
        <v>6</v>
      </c>
      <c r="F818" t="s">
        <v>44</v>
      </c>
      <c r="G818" t="s">
        <v>88</v>
      </c>
      <c r="H818">
        <v>1338</v>
      </c>
      <c r="I818" t="s">
        <v>65</v>
      </c>
      <c r="J818" t="s">
        <v>66</v>
      </c>
      <c r="K818" t="s">
        <v>47</v>
      </c>
      <c r="L818" t="s">
        <v>48</v>
      </c>
      <c r="M818">
        <v>1</v>
      </c>
      <c r="N818" t="s">
        <v>34</v>
      </c>
      <c r="O818" t="s">
        <v>73</v>
      </c>
      <c r="P818" t="s">
        <v>36</v>
      </c>
      <c r="Q818">
        <v>4</v>
      </c>
      <c r="R818" t="s">
        <v>37</v>
      </c>
      <c r="S818">
        <v>62</v>
      </c>
      <c r="T818" t="s">
        <v>95</v>
      </c>
      <c r="U818" t="s">
        <v>36</v>
      </c>
      <c r="V818" t="s">
        <v>38</v>
      </c>
      <c r="W818">
        <v>1</v>
      </c>
      <c r="X818" t="s">
        <v>39</v>
      </c>
      <c r="Y818">
        <v>1</v>
      </c>
      <c r="Z818" t="s">
        <v>51</v>
      </c>
      <c r="AA818" t="s">
        <v>40</v>
      </c>
      <c r="AB818">
        <v>1</v>
      </c>
    </row>
    <row r="819" spans="1:28" x14ac:dyDescent="0.3">
      <c r="A819">
        <v>818</v>
      </c>
      <c r="B819" t="s">
        <v>26</v>
      </c>
      <c r="C819" t="s">
        <v>52</v>
      </c>
      <c r="D819" t="s">
        <v>53</v>
      </c>
      <c r="E819">
        <v>6</v>
      </c>
      <c r="F819" t="s">
        <v>29</v>
      </c>
      <c r="G819" t="s">
        <v>30</v>
      </c>
      <c r="H819">
        <v>1554</v>
      </c>
      <c r="I819" t="s">
        <v>45</v>
      </c>
      <c r="J819" t="s">
        <v>46</v>
      </c>
      <c r="K819" t="s">
        <v>55</v>
      </c>
      <c r="L819" t="s">
        <v>56</v>
      </c>
      <c r="M819">
        <v>1</v>
      </c>
      <c r="N819" t="s">
        <v>49</v>
      </c>
      <c r="O819" t="s">
        <v>50</v>
      </c>
      <c r="P819" t="s">
        <v>36</v>
      </c>
      <c r="Q819">
        <v>2</v>
      </c>
      <c r="R819" t="s">
        <v>68</v>
      </c>
      <c r="S819">
        <v>24</v>
      </c>
      <c r="T819" t="s">
        <v>96</v>
      </c>
      <c r="U819" t="s">
        <v>36</v>
      </c>
      <c r="V819" t="s">
        <v>69</v>
      </c>
      <c r="W819">
        <v>2</v>
      </c>
      <c r="X819" t="s">
        <v>39</v>
      </c>
      <c r="Y819">
        <v>1</v>
      </c>
      <c r="Z819" t="s">
        <v>40</v>
      </c>
      <c r="AA819" t="s">
        <v>40</v>
      </c>
      <c r="AB819">
        <v>1</v>
      </c>
    </row>
    <row r="820" spans="1:28" x14ac:dyDescent="0.3">
      <c r="A820">
        <v>819</v>
      </c>
      <c r="B820" t="s">
        <v>26</v>
      </c>
      <c r="C820" t="s">
        <v>27</v>
      </c>
      <c r="D820" t="s">
        <v>28</v>
      </c>
      <c r="E820">
        <v>36</v>
      </c>
      <c r="F820" t="s">
        <v>44</v>
      </c>
      <c r="G820" t="s">
        <v>91</v>
      </c>
      <c r="H820">
        <v>15857</v>
      </c>
      <c r="I820" t="s">
        <v>45</v>
      </c>
      <c r="J820" t="s">
        <v>46</v>
      </c>
      <c r="K820" t="s">
        <v>74</v>
      </c>
      <c r="L820" t="s">
        <v>74</v>
      </c>
      <c r="M820">
        <v>2</v>
      </c>
      <c r="N820" t="s">
        <v>34</v>
      </c>
      <c r="O820" t="s">
        <v>73</v>
      </c>
      <c r="P820" t="s">
        <v>87</v>
      </c>
      <c r="Q820">
        <v>3</v>
      </c>
      <c r="R820" t="s">
        <v>68</v>
      </c>
      <c r="S820">
        <v>43</v>
      </c>
      <c r="T820" t="s">
        <v>97</v>
      </c>
      <c r="U820" t="s">
        <v>36</v>
      </c>
      <c r="V820" t="s">
        <v>38</v>
      </c>
      <c r="W820">
        <v>1</v>
      </c>
      <c r="X820" t="s">
        <v>70</v>
      </c>
      <c r="Y820">
        <v>1</v>
      </c>
      <c r="Z820" t="s">
        <v>51</v>
      </c>
      <c r="AA820" t="s">
        <v>40</v>
      </c>
      <c r="AB820">
        <v>1</v>
      </c>
    </row>
    <row r="821" spans="1:28" x14ac:dyDescent="0.3">
      <c r="A821">
        <v>820</v>
      </c>
      <c r="B821" t="s">
        <v>41</v>
      </c>
      <c r="C821" t="s">
        <v>27</v>
      </c>
      <c r="D821" t="s">
        <v>28</v>
      </c>
      <c r="E821">
        <v>18</v>
      </c>
      <c r="F821" t="s">
        <v>44</v>
      </c>
      <c r="G821" t="s">
        <v>30</v>
      </c>
      <c r="H821">
        <v>1345</v>
      </c>
      <c r="I821" t="s">
        <v>45</v>
      </c>
      <c r="J821" t="s">
        <v>46</v>
      </c>
      <c r="K821" t="s">
        <v>47</v>
      </c>
      <c r="L821" t="s">
        <v>48</v>
      </c>
      <c r="M821">
        <v>4</v>
      </c>
      <c r="N821" t="s">
        <v>34</v>
      </c>
      <c r="O821" t="s">
        <v>75</v>
      </c>
      <c r="P821" t="s">
        <v>36</v>
      </c>
      <c r="Q821">
        <v>3</v>
      </c>
      <c r="R821" t="s">
        <v>37</v>
      </c>
      <c r="S821">
        <v>26</v>
      </c>
      <c r="T821" t="s">
        <v>98</v>
      </c>
      <c r="U821" t="s">
        <v>82</v>
      </c>
      <c r="V821" t="s">
        <v>38</v>
      </c>
      <c r="W821">
        <v>1</v>
      </c>
      <c r="X821" t="s">
        <v>39</v>
      </c>
      <c r="Y821">
        <v>1</v>
      </c>
      <c r="Z821" t="s">
        <v>51</v>
      </c>
      <c r="AA821" t="s">
        <v>40</v>
      </c>
      <c r="AB821">
        <v>2</v>
      </c>
    </row>
    <row r="822" spans="1:28" x14ac:dyDescent="0.3">
      <c r="A822">
        <v>821</v>
      </c>
      <c r="B822" t="s">
        <v>26</v>
      </c>
      <c r="C822" t="s">
        <v>52</v>
      </c>
      <c r="D822" t="s">
        <v>53</v>
      </c>
      <c r="E822">
        <v>12</v>
      </c>
      <c r="F822" t="s">
        <v>44</v>
      </c>
      <c r="G822" t="s">
        <v>63</v>
      </c>
      <c r="H822">
        <v>1101</v>
      </c>
      <c r="I822" t="s">
        <v>45</v>
      </c>
      <c r="J822" t="s">
        <v>46</v>
      </c>
      <c r="K822" t="s">
        <v>47</v>
      </c>
      <c r="L822" t="s">
        <v>48</v>
      </c>
      <c r="M822">
        <v>3</v>
      </c>
      <c r="N822" t="s">
        <v>34</v>
      </c>
      <c r="O822" t="s">
        <v>75</v>
      </c>
      <c r="P822" t="s">
        <v>36</v>
      </c>
      <c r="Q822">
        <v>2</v>
      </c>
      <c r="R822" t="s">
        <v>37</v>
      </c>
      <c r="S822">
        <v>27</v>
      </c>
      <c r="T822" t="s">
        <v>98</v>
      </c>
      <c r="U822" t="s">
        <v>36</v>
      </c>
      <c r="V822" t="s">
        <v>38</v>
      </c>
      <c r="W822">
        <v>2</v>
      </c>
      <c r="X822" t="s">
        <v>39</v>
      </c>
      <c r="Y822">
        <v>1</v>
      </c>
      <c r="Z822" t="s">
        <v>40</v>
      </c>
      <c r="AA822" t="s">
        <v>40</v>
      </c>
      <c r="AB822">
        <v>1</v>
      </c>
    </row>
    <row r="823" spans="1:28" x14ac:dyDescent="0.3">
      <c r="A823">
        <v>822</v>
      </c>
      <c r="B823" t="s">
        <v>26</v>
      </c>
      <c r="C823" t="s">
        <v>83</v>
      </c>
      <c r="D823" t="s">
        <v>84</v>
      </c>
      <c r="E823">
        <v>12</v>
      </c>
      <c r="F823" t="s">
        <v>44</v>
      </c>
      <c r="G823" t="s">
        <v>30</v>
      </c>
      <c r="H823">
        <v>3016</v>
      </c>
      <c r="I823" t="s">
        <v>45</v>
      </c>
      <c r="J823" t="s">
        <v>46</v>
      </c>
      <c r="K823" t="s">
        <v>47</v>
      </c>
      <c r="L823" t="s">
        <v>48</v>
      </c>
      <c r="M823">
        <v>3</v>
      </c>
      <c r="N823" t="s">
        <v>34</v>
      </c>
      <c r="O823" t="s">
        <v>75</v>
      </c>
      <c r="P823" t="s">
        <v>36</v>
      </c>
      <c r="Q823">
        <v>1</v>
      </c>
      <c r="R823" t="s">
        <v>68</v>
      </c>
      <c r="S823">
        <v>24</v>
      </c>
      <c r="T823" t="s">
        <v>96</v>
      </c>
      <c r="U823" t="s">
        <v>36</v>
      </c>
      <c r="V823" t="s">
        <v>38</v>
      </c>
      <c r="W823">
        <v>1</v>
      </c>
      <c r="X823" t="s">
        <v>39</v>
      </c>
      <c r="Y823">
        <v>1</v>
      </c>
      <c r="Z823" t="s">
        <v>51</v>
      </c>
      <c r="AA823" t="s">
        <v>40</v>
      </c>
      <c r="AB823">
        <v>1</v>
      </c>
    </row>
    <row r="824" spans="1:28" x14ac:dyDescent="0.3">
      <c r="A824">
        <v>823</v>
      </c>
      <c r="B824" t="s">
        <v>41</v>
      </c>
      <c r="C824" t="s">
        <v>27</v>
      </c>
      <c r="D824" t="s">
        <v>28</v>
      </c>
      <c r="E824">
        <v>36</v>
      </c>
      <c r="F824" t="s">
        <v>44</v>
      </c>
      <c r="G824" t="s">
        <v>58</v>
      </c>
      <c r="H824">
        <v>2712</v>
      </c>
      <c r="I824" t="s">
        <v>45</v>
      </c>
      <c r="J824" t="s">
        <v>46</v>
      </c>
      <c r="K824" t="s">
        <v>32</v>
      </c>
      <c r="L824" t="s">
        <v>33</v>
      </c>
      <c r="M824">
        <v>2</v>
      </c>
      <c r="N824" t="s">
        <v>34</v>
      </c>
      <c r="O824" t="s">
        <v>35</v>
      </c>
      <c r="P824" t="s">
        <v>36</v>
      </c>
      <c r="Q824">
        <v>2</v>
      </c>
      <c r="R824" t="s">
        <v>60</v>
      </c>
      <c r="S824">
        <v>41</v>
      </c>
      <c r="T824" t="s">
        <v>97</v>
      </c>
      <c r="U824" t="s">
        <v>82</v>
      </c>
      <c r="V824" t="s">
        <v>38</v>
      </c>
      <c r="W824">
        <v>1</v>
      </c>
      <c r="X824" t="s">
        <v>39</v>
      </c>
      <c r="Y824">
        <v>2</v>
      </c>
      <c r="Z824" t="s">
        <v>51</v>
      </c>
      <c r="AA824" t="s">
        <v>40</v>
      </c>
      <c r="AB824">
        <v>2</v>
      </c>
    </row>
    <row r="825" spans="1:28" x14ac:dyDescent="0.3">
      <c r="A825">
        <v>824</v>
      </c>
      <c r="B825" t="s">
        <v>26</v>
      </c>
      <c r="C825" t="s">
        <v>27</v>
      </c>
      <c r="D825" t="s">
        <v>28</v>
      </c>
      <c r="E825">
        <v>8</v>
      </c>
      <c r="F825" t="s">
        <v>29</v>
      </c>
      <c r="G825" t="s">
        <v>63</v>
      </c>
      <c r="H825">
        <v>731</v>
      </c>
      <c r="I825" t="s">
        <v>45</v>
      </c>
      <c r="J825" t="s">
        <v>46</v>
      </c>
      <c r="K825" t="s">
        <v>32</v>
      </c>
      <c r="L825" t="s">
        <v>33</v>
      </c>
      <c r="M825">
        <v>4</v>
      </c>
      <c r="N825" t="s">
        <v>34</v>
      </c>
      <c r="O825" t="s">
        <v>35</v>
      </c>
      <c r="P825" t="s">
        <v>36</v>
      </c>
      <c r="Q825">
        <v>4</v>
      </c>
      <c r="R825" t="s">
        <v>37</v>
      </c>
      <c r="S825">
        <v>47</v>
      </c>
      <c r="T825" t="s">
        <v>97</v>
      </c>
      <c r="U825" t="s">
        <v>36</v>
      </c>
      <c r="V825" t="s">
        <v>38</v>
      </c>
      <c r="W825">
        <v>2</v>
      </c>
      <c r="X825" t="s">
        <v>57</v>
      </c>
      <c r="Y825">
        <v>1</v>
      </c>
      <c r="Z825" t="s">
        <v>51</v>
      </c>
      <c r="AA825" t="s">
        <v>40</v>
      </c>
      <c r="AB825">
        <v>1</v>
      </c>
    </row>
    <row r="826" spans="1:28" x14ac:dyDescent="0.3">
      <c r="A826">
        <v>825</v>
      </c>
      <c r="B826" t="s">
        <v>26</v>
      </c>
      <c r="C826" t="s">
        <v>52</v>
      </c>
      <c r="D826" t="s">
        <v>53</v>
      </c>
      <c r="E826">
        <v>18</v>
      </c>
      <c r="F826" t="s">
        <v>29</v>
      </c>
      <c r="G826" t="s">
        <v>58</v>
      </c>
      <c r="H826">
        <v>3780</v>
      </c>
      <c r="I826" t="s">
        <v>45</v>
      </c>
      <c r="J826" t="s">
        <v>46</v>
      </c>
      <c r="K826" t="s">
        <v>76</v>
      </c>
      <c r="L826" t="s">
        <v>77</v>
      </c>
      <c r="M826">
        <v>3</v>
      </c>
      <c r="N826" t="s">
        <v>34</v>
      </c>
      <c r="O826" t="s">
        <v>73</v>
      </c>
      <c r="P826" t="s">
        <v>36</v>
      </c>
      <c r="Q826">
        <v>2</v>
      </c>
      <c r="R826" t="s">
        <v>68</v>
      </c>
      <c r="S826">
        <v>35</v>
      </c>
      <c r="T826" t="s">
        <v>98</v>
      </c>
      <c r="U826" t="s">
        <v>36</v>
      </c>
      <c r="V826" t="s">
        <v>38</v>
      </c>
      <c r="W826">
        <v>2</v>
      </c>
      <c r="X826" t="s">
        <v>70</v>
      </c>
      <c r="Y826">
        <v>1</v>
      </c>
      <c r="Z826" t="s">
        <v>40</v>
      </c>
      <c r="AA826" t="s">
        <v>40</v>
      </c>
      <c r="AB826">
        <v>1</v>
      </c>
    </row>
    <row r="827" spans="1:28" x14ac:dyDescent="0.3">
      <c r="A827">
        <v>826</v>
      </c>
      <c r="B827" t="s">
        <v>26</v>
      </c>
      <c r="C827" t="s">
        <v>27</v>
      </c>
      <c r="D827" t="s">
        <v>28</v>
      </c>
      <c r="E827">
        <v>21</v>
      </c>
      <c r="F827" t="s">
        <v>29</v>
      </c>
      <c r="G827" t="s">
        <v>63</v>
      </c>
      <c r="H827">
        <v>1602</v>
      </c>
      <c r="I827" t="s">
        <v>45</v>
      </c>
      <c r="J827" t="s">
        <v>46</v>
      </c>
      <c r="K827" t="s">
        <v>32</v>
      </c>
      <c r="L827" t="s">
        <v>33</v>
      </c>
      <c r="M827">
        <v>4</v>
      </c>
      <c r="N827" t="s">
        <v>34</v>
      </c>
      <c r="O827" t="s">
        <v>75</v>
      </c>
      <c r="P827" t="s">
        <v>36</v>
      </c>
      <c r="Q827">
        <v>3</v>
      </c>
      <c r="R827" t="s">
        <v>68</v>
      </c>
      <c r="S827">
        <v>30</v>
      </c>
      <c r="T827" t="s">
        <v>98</v>
      </c>
      <c r="U827" t="s">
        <v>36</v>
      </c>
      <c r="V827" t="s">
        <v>38</v>
      </c>
      <c r="W827">
        <v>2</v>
      </c>
      <c r="X827" t="s">
        <v>39</v>
      </c>
      <c r="Y827">
        <v>1</v>
      </c>
      <c r="Z827" t="s">
        <v>40</v>
      </c>
      <c r="AA827" t="s">
        <v>40</v>
      </c>
      <c r="AB827">
        <v>1</v>
      </c>
    </row>
    <row r="828" spans="1:28" x14ac:dyDescent="0.3">
      <c r="A828">
        <v>827</v>
      </c>
      <c r="B828" t="s">
        <v>41</v>
      </c>
      <c r="C828" t="s">
        <v>27</v>
      </c>
      <c r="D828" t="s">
        <v>28</v>
      </c>
      <c r="E828">
        <v>18</v>
      </c>
      <c r="F828" t="s">
        <v>29</v>
      </c>
      <c r="G828" t="s">
        <v>63</v>
      </c>
      <c r="H828">
        <v>3966</v>
      </c>
      <c r="I828" t="s">
        <v>45</v>
      </c>
      <c r="J828" t="s">
        <v>46</v>
      </c>
      <c r="K828" t="s">
        <v>32</v>
      </c>
      <c r="L828" t="s">
        <v>33</v>
      </c>
      <c r="M828">
        <v>1</v>
      </c>
      <c r="N828" t="s">
        <v>49</v>
      </c>
      <c r="O828" t="s">
        <v>50</v>
      </c>
      <c r="P828" t="s">
        <v>36</v>
      </c>
      <c r="Q828">
        <v>4</v>
      </c>
      <c r="R828" t="s">
        <v>37</v>
      </c>
      <c r="S828">
        <v>33</v>
      </c>
      <c r="T828" t="s">
        <v>98</v>
      </c>
      <c r="U828" t="s">
        <v>82</v>
      </c>
      <c r="V828" t="s">
        <v>69</v>
      </c>
      <c r="W828">
        <v>3</v>
      </c>
      <c r="X828" t="s">
        <v>39</v>
      </c>
      <c r="Y828">
        <v>1</v>
      </c>
      <c r="Z828" t="s">
        <v>40</v>
      </c>
      <c r="AA828" t="s">
        <v>40</v>
      </c>
      <c r="AB828">
        <v>2</v>
      </c>
    </row>
    <row r="829" spans="1:28" x14ac:dyDescent="0.3">
      <c r="A829">
        <v>828</v>
      </c>
      <c r="B829" t="s">
        <v>41</v>
      </c>
      <c r="C829" t="s">
        <v>52</v>
      </c>
      <c r="D829" t="s">
        <v>53</v>
      </c>
      <c r="E829">
        <v>18</v>
      </c>
      <c r="F829" t="s">
        <v>81</v>
      </c>
      <c r="G829" t="s">
        <v>78</v>
      </c>
      <c r="H829">
        <v>4165</v>
      </c>
      <c r="I829" t="s">
        <v>45</v>
      </c>
      <c r="J829" t="s">
        <v>46</v>
      </c>
      <c r="K829" t="s">
        <v>47</v>
      </c>
      <c r="L829" t="s">
        <v>48</v>
      </c>
      <c r="M829">
        <v>2</v>
      </c>
      <c r="N829" t="s">
        <v>34</v>
      </c>
      <c r="O829" t="s">
        <v>35</v>
      </c>
      <c r="P829" t="s">
        <v>36</v>
      </c>
      <c r="Q829">
        <v>2</v>
      </c>
      <c r="R829" t="s">
        <v>68</v>
      </c>
      <c r="S829">
        <v>36</v>
      </c>
      <c r="T829" t="s">
        <v>98</v>
      </c>
      <c r="U829" t="s">
        <v>86</v>
      </c>
      <c r="V829" t="s">
        <v>38</v>
      </c>
      <c r="W829">
        <v>2</v>
      </c>
      <c r="X829" t="s">
        <v>39</v>
      </c>
      <c r="Y829">
        <v>2</v>
      </c>
      <c r="Z829" t="s">
        <v>51</v>
      </c>
      <c r="AA829" t="s">
        <v>40</v>
      </c>
      <c r="AB829">
        <v>2</v>
      </c>
    </row>
    <row r="830" spans="1:28" x14ac:dyDescent="0.3">
      <c r="A830">
        <v>829</v>
      </c>
      <c r="B830" t="s">
        <v>41</v>
      </c>
      <c r="C830" t="s">
        <v>27</v>
      </c>
      <c r="D830" t="s">
        <v>28</v>
      </c>
      <c r="E830">
        <v>36</v>
      </c>
      <c r="F830" t="s">
        <v>44</v>
      </c>
      <c r="G830" t="s">
        <v>67</v>
      </c>
      <c r="H830">
        <v>8335</v>
      </c>
      <c r="I830" t="s">
        <v>31</v>
      </c>
      <c r="J830" t="s">
        <v>31</v>
      </c>
      <c r="K830" t="s">
        <v>32</v>
      </c>
      <c r="L830" t="s">
        <v>33</v>
      </c>
      <c r="M830">
        <v>3</v>
      </c>
      <c r="N830" t="s">
        <v>34</v>
      </c>
      <c r="O830" t="s">
        <v>35</v>
      </c>
      <c r="P830" t="s">
        <v>36</v>
      </c>
      <c r="Q830">
        <v>4</v>
      </c>
      <c r="R830" t="s">
        <v>64</v>
      </c>
      <c r="S830">
        <v>47</v>
      </c>
      <c r="T830" t="s">
        <v>97</v>
      </c>
      <c r="U830" t="s">
        <v>36</v>
      </c>
      <c r="V830" t="s">
        <v>61</v>
      </c>
      <c r="W830">
        <v>1</v>
      </c>
      <c r="X830" t="s">
        <v>39</v>
      </c>
      <c r="Y830">
        <v>1</v>
      </c>
      <c r="Z830" t="s">
        <v>51</v>
      </c>
      <c r="AA830" t="s">
        <v>40</v>
      </c>
      <c r="AB830">
        <v>2</v>
      </c>
    </row>
    <row r="831" spans="1:28" x14ac:dyDescent="0.3">
      <c r="A831">
        <v>830</v>
      </c>
      <c r="B831" t="s">
        <v>26</v>
      </c>
      <c r="C831" t="s">
        <v>42</v>
      </c>
      <c r="D831" t="s">
        <v>43</v>
      </c>
      <c r="E831">
        <v>48</v>
      </c>
      <c r="F831" t="s">
        <v>62</v>
      </c>
      <c r="G831" t="s">
        <v>78</v>
      </c>
      <c r="H831">
        <v>6681</v>
      </c>
      <c r="I831" t="s">
        <v>31</v>
      </c>
      <c r="J831" t="s">
        <v>31</v>
      </c>
      <c r="K831" t="s">
        <v>47</v>
      </c>
      <c r="L831" t="s">
        <v>48</v>
      </c>
      <c r="M831">
        <v>4</v>
      </c>
      <c r="N831" t="s">
        <v>34</v>
      </c>
      <c r="O831" t="s">
        <v>35</v>
      </c>
      <c r="P831" t="s">
        <v>36</v>
      </c>
      <c r="Q831">
        <v>4</v>
      </c>
      <c r="R831" t="s">
        <v>64</v>
      </c>
      <c r="S831">
        <v>38</v>
      </c>
      <c r="T831" t="s">
        <v>98</v>
      </c>
      <c r="U831" t="s">
        <v>36</v>
      </c>
      <c r="V831" t="s">
        <v>61</v>
      </c>
      <c r="W831">
        <v>1</v>
      </c>
      <c r="X831" t="s">
        <v>39</v>
      </c>
      <c r="Y831">
        <v>2</v>
      </c>
      <c r="Z831" t="s">
        <v>40</v>
      </c>
      <c r="AA831" t="s">
        <v>40</v>
      </c>
      <c r="AB831">
        <v>1</v>
      </c>
    </row>
    <row r="832" spans="1:28" x14ac:dyDescent="0.3">
      <c r="A832">
        <v>831</v>
      </c>
      <c r="B832" t="s">
        <v>26</v>
      </c>
      <c r="C832" t="s">
        <v>52</v>
      </c>
      <c r="D832" t="s">
        <v>53</v>
      </c>
      <c r="E832">
        <v>24</v>
      </c>
      <c r="F832" t="s">
        <v>62</v>
      </c>
      <c r="G832" t="s">
        <v>78</v>
      </c>
      <c r="H832">
        <v>2375</v>
      </c>
      <c r="I832" t="s">
        <v>65</v>
      </c>
      <c r="J832" t="s">
        <v>66</v>
      </c>
      <c r="K832" t="s">
        <v>47</v>
      </c>
      <c r="L832" t="s">
        <v>48</v>
      </c>
      <c r="M832">
        <v>4</v>
      </c>
      <c r="N832" t="s">
        <v>34</v>
      </c>
      <c r="O832" t="s">
        <v>35</v>
      </c>
      <c r="P832" t="s">
        <v>36</v>
      </c>
      <c r="Q832">
        <v>2</v>
      </c>
      <c r="R832" t="s">
        <v>68</v>
      </c>
      <c r="S832">
        <v>44</v>
      </c>
      <c r="T832" t="s">
        <v>97</v>
      </c>
      <c r="U832" t="s">
        <v>36</v>
      </c>
      <c r="V832" t="s">
        <v>38</v>
      </c>
      <c r="W832">
        <v>2</v>
      </c>
      <c r="X832" t="s">
        <v>39</v>
      </c>
      <c r="Y832">
        <v>2</v>
      </c>
      <c r="Z832" t="s">
        <v>40</v>
      </c>
      <c r="AA832" t="s">
        <v>40</v>
      </c>
      <c r="AB832">
        <v>1</v>
      </c>
    </row>
    <row r="833" spans="1:28" x14ac:dyDescent="0.3">
      <c r="A833">
        <v>832</v>
      </c>
      <c r="B833" t="s">
        <v>41</v>
      </c>
      <c r="C833" t="s">
        <v>27</v>
      </c>
      <c r="D833" t="s">
        <v>28</v>
      </c>
      <c r="E833">
        <v>18</v>
      </c>
      <c r="F833" t="s">
        <v>44</v>
      </c>
      <c r="G833" t="s">
        <v>63</v>
      </c>
      <c r="H833">
        <v>1216</v>
      </c>
      <c r="I833" t="s">
        <v>45</v>
      </c>
      <c r="J833" t="s">
        <v>46</v>
      </c>
      <c r="K833" t="s">
        <v>76</v>
      </c>
      <c r="L833" t="s">
        <v>77</v>
      </c>
      <c r="M833">
        <v>4</v>
      </c>
      <c r="N833" t="s">
        <v>49</v>
      </c>
      <c r="O833" t="s">
        <v>50</v>
      </c>
      <c r="P833" t="s">
        <v>36</v>
      </c>
      <c r="Q833">
        <v>3</v>
      </c>
      <c r="R833" t="s">
        <v>68</v>
      </c>
      <c r="S833">
        <v>23</v>
      </c>
      <c r="T833" t="s">
        <v>96</v>
      </c>
      <c r="U833" t="s">
        <v>36</v>
      </c>
      <c r="V833" t="s">
        <v>69</v>
      </c>
      <c r="W833">
        <v>1</v>
      </c>
      <c r="X833" t="s">
        <v>39</v>
      </c>
      <c r="Y833">
        <v>1</v>
      </c>
      <c r="Z833" t="s">
        <v>40</v>
      </c>
      <c r="AA833" t="s">
        <v>40</v>
      </c>
      <c r="AB833">
        <v>2</v>
      </c>
    </row>
    <row r="834" spans="1:28" x14ac:dyDescent="0.3">
      <c r="A834">
        <v>833</v>
      </c>
      <c r="B834" t="s">
        <v>41</v>
      </c>
      <c r="C834" t="s">
        <v>27</v>
      </c>
      <c r="D834" t="s">
        <v>28</v>
      </c>
      <c r="E834">
        <v>45</v>
      </c>
      <c r="F834" t="s">
        <v>81</v>
      </c>
      <c r="G834" t="s">
        <v>78</v>
      </c>
      <c r="H834">
        <v>11816</v>
      </c>
      <c r="I834" t="s">
        <v>45</v>
      </c>
      <c r="J834" t="s">
        <v>46</v>
      </c>
      <c r="K834" t="s">
        <v>32</v>
      </c>
      <c r="L834" t="s">
        <v>33</v>
      </c>
      <c r="M834">
        <v>2</v>
      </c>
      <c r="N834" t="s">
        <v>34</v>
      </c>
      <c r="O834" t="s">
        <v>35</v>
      </c>
      <c r="P834" t="s">
        <v>36</v>
      </c>
      <c r="Q834">
        <v>4</v>
      </c>
      <c r="R834" t="s">
        <v>68</v>
      </c>
      <c r="S834">
        <v>29</v>
      </c>
      <c r="T834" t="s">
        <v>98</v>
      </c>
      <c r="U834" t="s">
        <v>36</v>
      </c>
      <c r="V834" t="s">
        <v>69</v>
      </c>
      <c r="W834">
        <v>2</v>
      </c>
      <c r="X834" t="s">
        <v>39</v>
      </c>
      <c r="Y834">
        <v>1</v>
      </c>
      <c r="Z834" t="s">
        <v>51</v>
      </c>
      <c r="AA834" t="s">
        <v>40</v>
      </c>
      <c r="AB834">
        <v>2</v>
      </c>
    </row>
    <row r="835" spans="1:28" x14ac:dyDescent="0.3">
      <c r="A835">
        <v>834</v>
      </c>
      <c r="B835" t="s">
        <v>26</v>
      </c>
      <c r="C835" t="s">
        <v>42</v>
      </c>
      <c r="D835" t="s">
        <v>43</v>
      </c>
      <c r="E835">
        <v>24</v>
      </c>
      <c r="F835" t="s">
        <v>44</v>
      </c>
      <c r="G835" t="s">
        <v>30</v>
      </c>
      <c r="H835">
        <v>5084</v>
      </c>
      <c r="I835" t="s">
        <v>31</v>
      </c>
      <c r="J835" t="s">
        <v>31</v>
      </c>
      <c r="K835" t="s">
        <v>32</v>
      </c>
      <c r="L835" t="s">
        <v>33</v>
      </c>
      <c r="M835">
        <v>2</v>
      </c>
      <c r="N835" t="s">
        <v>49</v>
      </c>
      <c r="O835" t="s">
        <v>50</v>
      </c>
      <c r="P835" t="s">
        <v>36</v>
      </c>
      <c r="Q835">
        <v>4</v>
      </c>
      <c r="R835" t="s">
        <v>68</v>
      </c>
      <c r="S835">
        <v>42</v>
      </c>
      <c r="T835" t="s">
        <v>97</v>
      </c>
      <c r="U835" t="s">
        <v>36</v>
      </c>
      <c r="V835" t="s">
        <v>38</v>
      </c>
      <c r="W835">
        <v>1</v>
      </c>
      <c r="X835" t="s">
        <v>39</v>
      </c>
      <c r="Y835">
        <v>1</v>
      </c>
      <c r="Z835" t="s">
        <v>40</v>
      </c>
      <c r="AA835" t="s">
        <v>40</v>
      </c>
      <c r="AB835">
        <v>1</v>
      </c>
    </row>
    <row r="836" spans="1:28" x14ac:dyDescent="0.3">
      <c r="A836">
        <v>835</v>
      </c>
      <c r="B836" t="s">
        <v>41</v>
      </c>
      <c r="C836" t="s">
        <v>83</v>
      </c>
      <c r="D836" t="s">
        <v>84</v>
      </c>
      <c r="E836">
        <v>15</v>
      </c>
      <c r="F836" t="s">
        <v>44</v>
      </c>
      <c r="G836" t="s">
        <v>30</v>
      </c>
      <c r="H836">
        <v>2327</v>
      </c>
      <c r="I836" t="s">
        <v>45</v>
      </c>
      <c r="J836" t="s">
        <v>46</v>
      </c>
      <c r="K836" t="s">
        <v>76</v>
      </c>
      <c r="L836" t="s">
        <v>77</v>
      </c>
      <c r="M836">
        <v>2</v>
      </c>
      <c r="N836" t="s">
        <v>49</v>
      </c>
      <c r="O836" t="s">
        <v>50</v>
      </c>
      <c r="P836" t="s">
        <v>36</v>
      </c>
      <c r="Q836">
        <v>3</v>
      </c>
      <c r="R836" t="s">
        <v>37</v>
      </c>
      <c r="S836">
        <v>25</v>
      </c>
      <c r="T836" t="s">
        <v>98</v>
      </c>
      <c r="U836" t="s">
        <v>36</v>
      </c>
      <c r="V836" t="s">
        <v>38</v>
      </c>
      <c r="W836">
        <v>1</v>
      </c>
      <c r="X836" t="s">
        <v>57</v>
      </c>
      <c r="Y836">
        <v>1</v>
      </c>
      <c r="Z836" t="s">
        <v>51</v>
      </c>
      <c r="AA836" t="s">
        <v>40</v>
      </c>
      <c r="AB836">
        <v>2</v>
      </c>
    </row>
    <row r="837" spans="1:28" x14ac:dyDescent="0.3">
      <c r="A837">
        <v>836</v>
      </c>
      <c r="B837" t="s">
        <v>41</v>
      </c>
      <c r="C837" t="s">
        <v>27</v>
      </c>
      <c r="D837" t="s">
        <v>28</v>
      </c>
      <c r="E837">
        <v>12</v>
      </c>
      <c r="F837" t="s">
        <v>81</v>
      </c>
      <c r="G837" t="s">
        <v>63</v>
      </c>
      <c r="H837">
        <v>1082</v>
      </c>
      <c r="I837" t="s">
        <v>45</v>
      </c>
      <c r="J837" t="s">
        <v>46</v>
      </c>
      <c r="K837" t="s">
        <v>47</v>
      </c>
      <c r="L837" t="s">
        <v>48</v>
      </c>
      <c r="M837">
        <v>4</v>
      </c>
      <c r="N837" t="s">
        <v>34</v>
      </c>
      <c r="O837" t="s">
        <v>35</v>
      </c>
      <c r="P837" t="s">
        <v>36</v>
      </c>
      <c r="Q837">
        <v>4</v>
      </c>
      <c r="R837" t="s">
        <v>68</v>
      </c>
      <c r="S837">
        <v>48</v>
      </c>
      <c r="T837" t="s">
        <v>97</v>
      </c>
      <c r="U837" t="s">
        <v>82</v>
      </c>
      <c r="V837" t="s">
        <v>38</v>
      </c>
      <c r="W837">
        <v>2</v>
      </c>
      <c r="X837" t="s">
        <v>39</v>
      </c>
      <c r="Y837">
        <v>1</v>
      </c>
      <c r="Z837" t="s">
        <v>51</v>
      </c>
      <c r="AA837" t="s">
        <v>40</v>
      </c>
      <c r="AB837">
        <v>2</v>
      </c>
    </row>
    <row r="838" spans="1:28" x14ac:dyDescent="0.3">
      <c r="A838">
        <v>837</v>
      </c>
      <c r="B838" t="s">
        <v>26</v>
      </c>
      <c r="C838" t="s">
        <v>52</v>
      </c>
      <c r="D838" t="s">
        <v>53</v>
      </c>
      <c r="E838">
        <v>12</v>
      </c>
      <c r="F838" t="s">
        <v>44</v>
      </c>
      <c r="G838" t="s">
        <v>30</v>
      </c>
      <c r="H838">
        <v>886</v>
      </c>
      <c r="I838" t="s">
        <v>31</v>
      </c>
      <c r="J838" t="s">
        <v>31</v>
      </c>
      <c r="K838" t="s">
        <v>47</v>
      </c>
      <c r="L838" t="s">
        <v>48</v>
      </c>
      <c r="M838">
        <v>4</v>
      </c>
      <c r="N838" t="s">
        <v>49</v>
      </c>
      <c r="O838" t="s">
        <v>50</v>
      </c>
      <c r="P838" t="s">
        <v>36</v>
      </c>
      <c r="Q838">
        <v>2</v>
      </c>
      <c r="R838" t="s">
        <v>68</v>
      </c>
      <c r="S838">
        <v>21</v>
      </c>
      <c r="T838" t="s">
        <v>96</v>
      </c>
      <c r="U838" t="s">
        <v>36</v>
      </c>
      <c r="V838" t="s">
        <v>38</v>
      </c>
      <c r="W838">
        <v>1</v>
      </c>
      <c r="X838" t="s">
        <v>39</v>
      </c>
      <c r="Y838">
        <v>1</v>
      </c>
      <c r="Z838" t="s">
        <v>51</v>
      </c>
      <c r="AA838" t="s">
        <v>40</v>
      </c>
      <c r="AB838">
        <v>1</v>
      </c>
    </row>
    <row r="839" spans="1:28" x14ac:dyDescent="0.3">
      <c r="A839">
        <v>838</v>
      </c>
      <c r="B839" t="s">
        <v>26</v>
      </c>
      <c r="C839" t="s">
        <v>52</v>
      </c>
      <c r="D839" t="s">
        <v>53</v>
      </c>
      <c r="E839">
        <v>4</v>
      </c>
      <c r="F839" t="s">
        <v>44</v>
      </c>
      <c r="G839" t="s">
        <v>58</v>
      </c>
      <c r="H839">
        <v>601</v>
      </c>
      <c r="I839" t="s">
        <v>45</v>
      </c>
      <c r="J839" t="s">
        <v>46</v>
      </c>
      <c r="K839" t="s">
        <v>76</v>
      </c>
      <c r="L839" t="s">
        <v>77</v>
      </c>
      <c r="M839">
        <v>1</v>
      </c>
      <c r="N839" t="s">
        <v>49</v>
      </c>
      <c r="O839" t="s">
        <v>50</v>
      </c>
      <c r="P839" t="s">
        <v>36</v>
      </c>
      <c r="Q839">
        <v>3</v>
      </c>
      <c r="R839" t="s">
        <v>37</v>
      </c>
      <c r="S839">
        <v>23</v>
      </c>
      <c r="T839" t="s">
        <v>96</v>
      </c>
      <c r="U839" t="s">
        <v>36</v>
      </c>
      <c r="V839" t="s">
        <v>69</v>
      </c>
      <c r="W839">
        <v>1</v>
      </c>
      <c r="X839" t="s">
        <v>57</v>
      </c>
      <c r="Y839">
        <v>2</v>
      </c>
      <c r="Z839" t="s">
        <v>51</v>
      </c>
      <c r="AA839" t="s">
        <v>40</v>
      </c>
      <c r="AB839">
        <v>1</v>
      </c>
    </row>
    <row r="840" spans="1:28" x14ac:dyDescent="0.3">
      <c r="A840">
        <v>839</v>
      </c>
      <c r="B840" t="s">
        <v>26</v>
      </c>
      <c r="C840" t="s">
        <v>27</v>
      </c>
      <c r="D840" t="s">
        <v>28</v>
      </c>
      <c r="E840">
        <v>24</v>
      </c>
      <c r="F840" t="s">
        <v>29</v>
      </c>
      <c r="G840" t="s">
        <v>67</v>
      </c>
      <c r="H840">
        <v>2957</v>
      </c>
      <c r="I840" t="s">
        <v>45</v>
      </c>
      <c r="J840" t="s">
        <v>46</v>
      </c>
      <c r="K840" t="s">
        <v>32</v>
      </c>
      <c r="L840" t="s">
        <v>33</v>
      </c>
      <c r="M840">
        <v>4</v>
      </c>
      <c r="N840" t="s">
        <v>34</v>
      </c>
      <c r="O840" t="s">
        <v>35</v>
      </c>
      <c r="P840" t="s">
        <v>36</v>
      </c>
      <c r="Q840">
        <v>4</v>
      </c>
      <c r="R840" t="s">
        <v>60</v>
      </c>
      <c r="S840">
        <v>63</v>
      </c>
      <c r="T840" t="s">
        <v>95</v>
      </c>
      <c r="U840" t="s">
        <v>36</v>
      </c>
      <c r="V840" t="s">
        <v>38</v>
      </c>
      <c r="W840">
        <v>2</v>
      </c>
      <c r="X840" t="s">
        <v>39</v>
      </c>
      <c r="Y840">
        <v>1</v>
      </c>
      <c r="Z840" t="s">
        <v>40</v>
      </c>
      <c r="AA840" t="s">
        <v>40</v>
      </c>
      <c r="AB840">
        <v>1</v>
      </c>
    </row>
    <row r="841" spans="1:28" x14ac:dyDescent="0.3">
      <c r="A841">
        <v>840</v>
      </c>
      <c r="B841" t="s">
        <v>26</v>
      </c>
      <c r="C841" t="s">
        <v>52</v>
      </c>
      <c r="D841" t="s">
        <v>53</v>
      </c>
      <c r="E841">
        <v>24</v>
      </c>
      <c r="F841" t="s">
        <v>29</v>
      </c>
      <c r="G841" t="s">
        <v>30</v>
      </c>
      <c r="H841">
        <v>2611</v>
      </c>
      <c r="I841" t="s">
        <v>45</v>
      </c>
      <c r="J841" t="s">
        <v>46</v>
      </c>
      <c r="K841" t="s">
        <v>32</v>
      </c>
      <c r="L841" t="s">
        <v>33</v>
      </c>
      <c r="M841">
        <v>4</v>
      </c>
      <c r="N841" t="s">
        <v>34</v>
      </c>
      <c r="O841" t="s">
        <v>75</v>
      </c>
      <c r="P841" t="s">
        <v>87</v>
      </c>
      <c r="Q841">
        <v>3</v>
      </c>
      <c r="R841" t="s">
        <v>37</v>
      </c>
      <c r="S841">
        <v>46</v>
      </c>
      <c r="T841" t="s">
        <v>97</v>
      </c>
      <c r="U841" t="s">
        <v>36</v>
      </c>
      <c r="V841" t="s">
        <v>38</v>
      </c>
      <c r="W841">
        <v>2</v>
      </c>
      <c r="X841" t="s">
        <v>39</v>
      </c>
      <c r="Y841">
        <v>1</v>
      </c>
      <c r="Z841" t="s">
        <v>51</v>
      </c>
      <c r="AA841" t="s">
        <v>40</v>
      </c>
      <c r="AB841">
        <v>1</v>
      </c>
    </row>
    <row r="842" spans="1:28" x14ac:dyDescent="0.3">
      <c r="A842">
        <v>841</v>
      </c>
      <c r="B842" t="s">
        <v>41</v>
      </c>
      <c r="C842" t="s">
        <v>27</v>
      </c>
      <c r="D842" t="s">
        <v>28</v>
      </c>
      <c r="E842">
        <v>36</v>
      </c>
      <c r="F842" t="s">
        <v>44</v>
      </c>
      <c r="G842" t="s">
        <v>58</v>
      </c>
      <c r="H842">
        <v>5179</v>
      </c>
      <c r="I842" t="s">
        <v>45</v>
      </c>
      <c r="J842" t="s">
        <v>46</v>
      </c>
      <c r="K842" t="s">
        <v>55</v>
      </c>
      <c r="L842" t="s">
        <v>56</v>
      </c>
      <c r="M842">
        <v>4</v>
      </c>
      <c r="N842" t="s">
        <v>34</v>
      </c>
      <c r="O842" t="s">
        <v>35</v>
      </c>
      <c r="P842" t="s">
        <v>36</v>
      </c>
      <c r="Q842">
        <v>2</v>
      </c>
      <c r="R842" t="s">
        <v>60</v>
      </c>
      <c r="S842">
        <v>29</v>
      </c>
      <c r="T842" t="s">
        <v>98</v>
      </c>
      <c r="U842" t="s">
        <v>36</v>
      </c>
      <c r="V842" t="s">
        <v>38</v>
      </c>
      <c r="W842">
        <v>1</v>
      </c>
      <c r="X842" t="s">
        <v>39</v>
      </c>
      <c r="Y842">
        <v>1</v>
      </c>
      <c r="Z842" t="s">
        <v>51</v>
      </c>
      <c r="AA842" t="s">
        <v>40</v>
      </c>
      <c r="AB842">
        <v>2</v>
      </c>
    </row>
    <row r="843" spans="1:28" x14ac:dyDescent="0.3">
      <c r="A843">
        <v>842</v>
      </c>
      <c r="B843" t="s">
        <v>26</v>
      </c>
      <c r="C843" t="s">
        <v>52</v>
      </c>
      <c r="D843" t="s">
        <v>53</v>
      </c>
      <c r="E843">
        <v>21</v>
      </c>
      <c r="F843" t="s">
        <v>62</v>
      </c>
      <c r="G843" t="s">
        <v>67</v>
      </c>
      <c r="H843">
        <v>2993</v>
      </c>
      <c r="I843" t="s">
        <v>45</v>
      </c>
      <c r="J843" t="s">
        <v>46</v>
      </c>
      <c r="K843" t="s">
        <v>47</v>
      </c>
      <c r="L843" t="s">
        <v>48</v>
      </c>
      <c r="M843">
        <v>3</v>
      </c>
      <c r="N843" t="s">
        <v>34</v>
      </c>
      <c r="O843" t="s">
        <v>35</v>
      </c>
      <c r="P843" t="s">
        <v>36</v>
      </c>
      <c r="Q843">
        <v>2</v>
      </c>
      <c r="R843" t="s">
        <v>37</v>
      </c>
      <c r="S843">
        <v>28</v>
      </c>
      <c r="T843" t="s">
        <v>98</v>
      </c>
      <c r="U843" t="s">
        <v>86</v>
      </c>
      <c r="V843" t="s">
        <v>38</v>
      </c>
      <c r="W843">
        <v>2</v>
      </c>
      <c r="X843" t="s">
        <v>57</v>
      </c>
      <c r="Y843">
        <v>1</v>
      </c>
      <c r="Z843" t="s">
        <v>51</v>
      </c>
      <c r="AA843" t="s">
        <v>40</v>
      </c>
      <c r="AB843">
        <v>1</v>
      </c>
    </row>
    <row r="844" spans="1:28" x14ac:dyDescent="0.3">
      <c r="A844">
        <v>843</v>
      </c>
      <c r="B844" t="s">
        <v>41</v>
      </c>
      <c r="C844" t="s">
        <v>52</v>
      </c>
      <c r="D844" t="s">
        <v>53</v>
      </c>
      <c r="E844">
        <v>18</v>
      </c>
      <c r="F844" t="s">
        <v>44</v>
      </c>
      <c r="G844" t="s">
        <v>89</v>
      </c>
      <c r="H844">
        <v>1943</v>
      </c>
      <c r="I844" t="s">
        <v>45</v>
      </c>
      <c r="J844" t="s">
        <v>46</v>
      </c>
      <c r="K844" t="s">
        <v>76</v>
      </c>
      <c r="L844" t="s">
        <v>77</v>
      </c>
      <c r="M844">
        <v>4</v>
      </c>
      <c r="N844" t="s">
        <v>49</v>
      </c>
      <c r="O844" t="s">
        <v>50</v>
      </c>
      <c r="P844" t="s">
        <v>36</v>
      </c>
      <c r="Q844">
        <v>4</v>
      </c>
      <c r="R844" t="s">
        <v>37</v>
      </c>
      <c r="S844">
        <v>23</v>
      </c>
      <c r="T844" t="s">
        <v>96</v>
      </c>
      <c r="U844" t="s">
        <v>36</v>
      </c>
      <c r="V844" t="s">
        <v>38</v>
      </c>
      <c r="W844">
        <v>1</v>
      </c>
      <c r="X844" t="s">
        <v>39</v>
      </c>
      <c r="Y844">
        <v>1</v>
      </c>
      <c r="Z844" t="s">
        <v>51</v>
      </c>
      <c r="AA844" t="s">
        <v>40</v>
      </c>
      <c r="AB844">
        <v>2</v>
      </c>
    </row>
    <row r="845" spans="1:28" x14ac:dyDescent="0.3">
      <c r="A845">
        <v>844</v>
      </c>
      <c r="B845" t="s">
        <v>26</v>
      </c>
      <c r="C845" t="s">
        <v>52</v>
      </c>
      <c r="D845" t="s">
        <v>53</v>
      </c>
      <c r="E845">
        <v>24</v>
      </c>
      <c r="F845" t="s">
        <v>85</v>
      </c>
      <c r="G845" t="s">
        <v>78</v>
      </c>
      <c r="H845">
        <v>1559</v>
      </c>
      <c r="I845" t="s">
        <v>45</v>
      </c>
      <c r="J845" t="s">
        <v>46</v>
      </c>
      <c r="K845" t="s">
        <v>55</v>
      </c>
      <c r="L845" t="s">
        <v>56</v>
      </c>
      <c r="M845">
        <v>4</v>
      </c>
      <c r="N845" t="s">
        <v>34</v>
      </c>
      <c r="O845" t="s">
        <v>35</v>
      </c>
      <c r="P845" t="s">
        <v>36</v>
      </c>
      <c r="Q845">
        <v>4</v>
      </c>
      <c r="R845" t="s">
        <v>68</v>
      </c>
      <c r="S845">
        <v>50</v>
      </c>
      <c r="T845" t="s">
        <v>97</v>
      </c>
      <c r="U845" t="s">
        <v>82</v>
      </c>
      <c r="V845" t="s">
        <v>38</v>
      </c>
      <c r="W845">
        <v>1</v>
      </c>
      <c r="X845" t="s">
        <v>39</v>
      </c>
      <c r="Y845">
        <v>1</v>
      </c>
      <c r="Z845" t="s">
        <v>40</v>
      </c>
      <c r="AA845" t="s">
        <v>40</v>
      </c>
      <c r="AB845">
        <v>1</v>
      </c>
    </row>
    <row r="846" spans="1:28" x14ac:dyDescent="0.3">
      <c r="A846">
        <v>845</v>
      </c>
      <c r="B846" t="s">
        <v>26</v>
      </c>
      <c r="C846" t="s">
        <v>52</v>
      </c>
      <c r="D846" t="s">
        <v>53</v>
      </c>
      <c r="E846">
        <v>18</v>
      </c>
      <c r="F846" t="s">
        <v>44</v>
      </c>
      <c r="G846" t="s">
        <v>58</v>
      </c>
      <c r="H846">
        <v>3422</v>
      </c>
      <c r="I846" t="s">
        <v>45</v>
      </c>
      <c r="J846" t="s">
        <v>46</v>
      </c>
      <c r="K846" t="s">
        <v>32</v>
      </c>
      <c r="L846" t="s">
        <v>33</v>
      </c>
      <c r="M846">
        <v>4</v>
      </c>
      <c r="N846" t="s">
        <v>34</v>
      </c>
      <c r="O846" t="s">
        <v>35</v>
      </c>
      <c r="P846" t="s">
        <v>36</v>
      </c>
      <c r="Q846">
        <v>4</v>
      </c>
      <c r="R846" t="s">
        <v>60</v>
      </c>
      <c r="S846">
        <v>47</v>
      </c>
      <c r="T846" t="s">
        <v>97</v>
      </c>
      <c r="U846" t="s">
        <v>82</v>
      </c>
      <c r="V846" t="s">
        <v>38</v>
      </c>
      <c r="W846">
        <v>3</v>
      </c>
      <c r="X846" t="s">
        <v>39</v>
      </c>
      <c r="Y846">
        <v>2</v>
      </c>
      <c r="Z846" t="s">
        <v>40</v>
      </c>
      <c r="AA846" t="s">
        <v>40</v>
      </c>
      <c r="AB846">
        <v>1</v>
      </c>
    </row>
    <row r="847" spans="1:28" x14ac:dyDescent="0.3">
      <c r="A847">
        <v>846</v>
      </c>
      <c r="B847" t="s">
        <v>26</v>
      </c>
      <c r="C847" t="s">
        <v>42</v>
      </c>
      <c r="D847" t="s">
        <v>43</v>
      </c>
      <c r="E847">
        <v>21</v>
      </c>
      <c r="F847" t="s">
        <v>44</v>
      </c>
      <c r="G847" t="s">
        <v>58</v>
      </c>
      <c r="H847">
        <v>3976</v>
      </c>
      <c r="I847" t="s">
        <v>31</v>
      </c>
      <c r="J847" t="s">
        <v>31</v>
      </c>
      <c r="K847" t="s">
        <v>55</v>
      </c>
      <c r="L847" t="s">
        <v>56</v>
      </c>
      <c r="M847">
        <v>2</v>
      </c>
      <c r="N847" t="s">
        <v>34</v>
      </c>
      <c r="O847" t="s">
        <v>35</v>
      </c>
      <c r="P847" t="s">
        <v>36</v>
      </c>
      <c r="Q847">
        <v>3</v>
      </c>
      <c r="R847" t="s">
        <v>68</v>
      </c>
      <c r="S847">
        <v>35</v>
      </c>
      <c r="T847" t="s">
        <v>98</v>
      </c>
      <c r="U847" t="s">
        <v>36</v>
      </c>
      <c r="V847" t="s">
        <v>38</v>
      </c>
      <c r="W847">
        <v>1</v>
      </c>
      <c r="X847" t="s">
        <v>39</v>
      </c>
      <c r="Y847">
        <v>1</v>
      </c>
      <c r="Z847" t="s">
        <v>40</v>
      </c>
      <c r="AA847" t="s">
        <v>40</v>
      </c>
      <c r="AB847">
        <v>1</v>
      </c>
    </row>
    <row r="848" spans="1:28" x14ac:dyDescent="0.3">
      <c r="A848">
        <v>847</v>
      </c>
      <c r="B848" t="s">
        <v>41</v>
      </c>
      <c r="C848" t="s">
        <v>52</v>
      </c>
      <c r="D848" t="s">
        <v>53</v>
      </c>
      <c r="E848">
        <v>18</v>
      </c>
      <c r="F848" t="s">
        <v>44</v>
      </c>
      <c r="G848" t="s">
        <v>63</v>
      </c>
      <c r="H848">
        <v>6761</v>
      </c>
      <c r="I848" t="s">
        <v>31</v>
      </c>
      <c r="J848" t="s">
        <v>31</v>
      </c>
      <c r="K848" t="s">
        <v>47</v>
      </c>
      <c r="L848" t="s">
        <v>48</v>
      </c>
      <c r="M848">
        <v>2</v>
      </c>
      <c r="N848" t="s">
        <v>34</v>
      </c>
      <c r="O848" t="s">
        <v>35</v>
      </c>
      <c r="P848" t="s">
        <v>36</v>
      </c>
      <c r="Q848">
        <v>4</v>
      </c>
      <c r="R848" t="s">
        <v>68</v>
      </c>
      <c r="S848">
        <v>68</v>
      </c>
      <c r="T848" t="s">
        <v>95</v>
      </c>
      <c r="U848" t="s">
        <v>36</v>
      </c>
      <c r="V848" t="s">
        <v>69</v>
      </c>
      <c r="W848">
        <v>2</v>
      </c>
      <c r="X848" t="s">
        <v>39</v>
      </c>
      <c r="Y848">
        <v>1</v>
      </c>
      <c r="Z848" t="s">
        <v>51</v>
      </c>
      <c r="AA848" t="s">
        <v>40</v>
      </c>
      <c r="AB848">
        <v>2</v>
      </c>
    </row>
    <row r="849" spans="1:28" x14ac:dyDescent="0.3">
      <c r="A849">
        <v>848</v>
      </c>
      <c r="B849" t="s">
        <v>26</v>
      </c>
      <c r="C849" t="s">
        <v>52</v>
      </c>
      <c r="D849" t="s">
        <v>53</v>
      </c>
      <c r="E849">
        <v>24</v>
      </c>
      <c r="F849" t="s">
        <v>44</v>
      </c>
      <c r="G849" t="s">
        <v>63</v>
      </c>
      <c r="H849">
        <v>1249</v>
      </c>
      <c r="I849" t="s">
        <v>45</v>
      </c>
      <c r="J849" t="s">
        <v>46</v>
      </c>
      <c r="K849" t="s">
        <v>76</v>
      </c>
      <c r="L849" t="s">
        <v>77</v>
      </c>
      <c r="M849">
        <v>4</v>
      </c>
      <c r="N849" t="s">
        <v>34</v>
      </c>
      <c r="O849" t="s">
        <v>75</v>
      </c>
      <c r="P849" t="s">
        <v>36</v>
      </c>
      <c r="Q849">
        <v>2</v>
      </c>
      <c r="R849" t="s">
        <v>37</v>
      </c>
      <c r="S849">
        <v>28</v>
      </c>
      <c r="T849" t="s">
        <v>98</v>
      </c>
      <c r="U849" t="s">
        <v>36</v>
      </c>
      <c r="V849" t="s">
        <v>38</v>
      </c>
      <c r="W849">
        <v>1</v>
      </c>
      <c r="X849" t="s">
        <v>39</v>
      </c>
      <c r="Y849">
        <v>1</v>
      </c>
      <c r="Z849" t="s">
        <v>51</v>
      </c>
      <c r="AA849" t="s">
        <v>40</v>
      </c>
      <c r="AB849">
        <v>1</v>
      </c>
    </row>
    <row r="850" spans="1:28" x14ac:dyDescent="0.3">
      <c r="A850">
        <v>849</v>
      </c>
      <c r="B850" t="s">
        <v>26</v>
      </c>
      <c r="C850" t="s">
        <v>27</v>
      </c>
      <c r="D850" t="s">
        <v>28</v>
      </c>
      <c r="E850">
        <v>9</v>
      </c>
      <c r="F850" t="s">
        <v>44</v>
      </c>
      <c r="G850" t="s">
        <v>30</v>
      </c>
      <c r="H850">
        <v>1364</v>
      </c>
      <c r="I850" t="s">
        <v>45</v>
      </c>
      <c r="J850" t="s">
        <v>46</v>
      </c>
      <c r="K850" t="s">
        <v>55</v>
      </c>
      <c r="L850" t="s">
        <v>56</v>
      </c>
      <c r="M850">
        <v>3</v>
      </c>
      <c r="N850" t="s">
        <v>34</v>
      </c>
      <c r="O850" t="s">
        <v>35</v>
      </c>
      <c r="P850" t="s">
        <v>36</v>
      </c>
      <c r="Q850">
        <v>4</v>
      </c>
      <c r="R850" t="s">
        <v>37</v>
      </c>
      <c r="S850">
        <v>59</v>
      </c>
      <c r="T850" t="s">
        <v>97</v>
      </c>
      <c r="U850" t="s">
        <v>36</v>
      </c>
      <c r="V850" t="s">
        <v>38</v>
      </c>
      <c r="W850">
        <v>1</v>
      </c>
      <c r="X850" t="s">
        <v>39</v>
      </c>
      <c r="Y850">
        <v>1</v>
      </c>
      <c r="Z850" t="s">
        <v>51</v>
      </c>
      <c r="AA850" t="s">
        <v>40</v>
      </c>
      <c r="AB850">
        <v>1</v>
      </c>
    </row>
    <row r="851" spans="1:28" x14ac:dyDescent="0.3">
      <c r="A851">
        <v>850</v>
      </c>
      <c r="B851" t="s">
        <v>41</v>
      </c>
      <c r="C851" t="s">
        <v>27</v>
      </c>
      <c r="D851" t="s">
        <v>28</v>
      </c>
      <c r="E851">
        <v>12</v>
      </c>
      <c r="F851" t="s">
        <v>44</v>
      </c>
      <c r="G851" t="s">
        <v>30</v>
      </c>
      <c r="H851">
        <v>709</v>
      </c>
      <c r="I851" t="s">
        <v>45</v>
      </c>
      <c r="J851" t="s">
        <v>46</v>
      </c>
      <c r="K851" t="s">
        <v>32</v>
      </c>
      <c r="L851" t="s">
        <v>33</v>
      </c>
      <c r="M851">
        <v>4</v>
      </c>
      <c r="N851" t="s">
        <v>34</v>
      </c>
      <c r="O851" t="s">
        <v>35</v>
      </c>
      <c r="P851" t="s">
        <v>36</v>
      </c>
      <c r="Q851">
        <v>4</v>
      </c>
      <c r="R851" t="s">
        <v>37</v>
      </c>
      <c r="S851">
        <v>57</v>
      </c>
      <c r="T851" t="s">
        <v>97</v>
      </c>
      <c r="U851" t="s">
        <v>86</v>
      </c>
      <c r="V851" t="s">
        <v>38</v>
      </c>
      <c r="W851">
        <v>1</v>
      </c>
      <c r="X851" t="s">
        <v>57</v>
      </c>
      <c r="Y851">
        <v>1</v>
      </c>
      <c r="Z851" t="s">
        <v>51</v>
      </c>
      <c r="AA851" t="s">
        <v>40</v>
      </c>
      <c r="AB851">
        <v>2</v>
      </c>
    </row>
    <row r="852" spans="1:28" x14ac:dyDescent="0.3">
      <c r="A852">
        <v>851</v>
      </c>
      <c r="B852" t="s">
        <v>41</v>
      </c>
      <c r="C852" t="s">
        <v>27</v>
      </c>
      <c r="D852" t="s">
        <v>28</v>
      </c>
      <c r="E852">
        <v>20</v>
      </c>
      <c r="F852" t="s">
        <v>29</v>
      </c>
      <c r="G852" t="s">
        <v>63</v>
      </c>
      <c r="H852">
        <v>2235</v>
      </c>
      <c r="I852" t="s">
        <v>45</v>
      </c>
      <c r="J852" t="s">
        <v>46</v>
      </c>
      <c r="K852" t="s">
        <v>47</v>
      </c>
      <c r="L852" t="s">
        <v>48</v>
      </c>
      <c r="M852">
        <v>4</v>
      </c>
      <c r="N852" t="s">
        <v>34</v>
      </c>
      <c r="O852" t="s">
        <v>75</v>
      </c>
      <c r="P852" t="s">
        <v>59</v>
      </c>
      <c r="Q852">
        <v>2</v>
      </c>
      <c r="R852" t="s">
        <v>60</v>
      </c>
      <c r="S852">
        <v>33</v>
      </c>
      <c r="T852" t="s">
        <v>98</v>
      </c>
      <c r="U852" t="s">
        <v>82</v>
      </c>
      <c r="V852" t="s">
        <v>69</v>
      </c>
      <c r="W852">
        <v>2</v>
      </c>
      <c r="X852" t="s">
        <v>39</v>
      </c>
      <c r="Y852">
        <v>1</v>
      </c>
      <c r="Z852" t="s">
        <v>51</v>
      </c>
      <c r="AA852" t="s">
        <v>51</v>
      </c>
      <c r="AB852">
        <v>2</v>
      </c>
    </row>
    <row r="853" spans="1:28" x14ac:dyDescent="0.3">
      <c r="A853">
        <v>852</v>
      </c>
      <c r="B853" t="s">
        <v>26</v>
      </c>
      <c r="C853" t="s">
        <v>52</v>
      </c>
      <c r="D853" t="s">
        <v>53</v>
      </c>
      <c r="E853">
        <v>24</v>
      </c>
      <c r="F853" t="s">
        <v>29</v>
      </c>
      <c r="G853" t="s">
        <v>67</v>
      </c>
      <c r="H853">
        <v>4042</v>
      </c>
      <c r="I853" t="s">
        <v>31</v>
      </c>
      <c r="J853" t="s">
        <v>31</v>
      </c>
      <c r="K853" t="s">
        <v>55</v>
      </c>
      <c r="L853" t="s">
        <v>56</v>
      </c>
      <c r="M853">
        <v>3</v>
      </c>
      <c r="N853" t="s">
        <v>34</v>
      </c>
      <c r="O853" t="s">
        <v>35</v>
      </c>
      <c r="P853" t="s">
        <v>36</v>
      </c>
      <c r="Q853">
        <v>4</v>
      </c>
      <c r="R853" t="s">
        <v>60</v>
      </c>
      <c r="S853">
        <v>43</v>
      </c>
      <c r="T853" t="s">
        <v>97</v>
      </c>
      <c r="U853" t="s">
        <v>36</v>
      </c>
      <c r="V853" t="s">
        <v>38</v>
      </c>
      <c r="W853">
        <v>2</v>
      </c>
      <c r="X853" t="s">
        <v>39</v>
      </c>
      <c r="Y853">
        <v>1</v>
      </c>
      <c r="Z853" t="s">
        <v>40</v>
      </c>
      <c r="AA853" t="s">
        <v>40</v>
      </c>
      <c r="AB853">
        <v>1</v>
      </c>
    </row>
    <row r="854" spans="1:28" x14ac:dyDescent="0.3">
      <c r="A854">
        <v>853</v>
      </c>
      <c r="B854" t="s">
        <v>26</v>
      </c>
      <c r="C854" t="s">
        <v>52</v>
      </c>
      <c r="D854" t="s">
        <v>53</v>
      </c>
      <c r="E854">
        <v>15</v>
      </c>
      <c r="F854" t="s">
        <v>29</v>
      </c>
      <c r="G854" t="s">
        <v>30</v>
      </c>
      <c r="H854">
        <v>1471</v>
      </c>
      <c r="I854" t="s">
        <v>45</v>
      </c>
      <c r="J854" t="s">
        <v>46</v>
      </c>
      <c r="K854" t="s">
        <v>47</v>
      </c>
      <c r="L854" t="s">
        <v>48</v>
      </c>
      <c r="M854">
        <v>4</v>
      </c>
      <c r="N854" t="s">
        <v>34</v>
      </c>
      <c r="O854" t="s">
        <v>35</v>
      </c>
      <c r="P854" t="s">
        <v>36</v>
      </c>
      <c r="Q854">
        <v>4</v>
      </c>
      <c r="R854" t="s">
        <v>64</v>
      </c>
      <c r="S854">
        <v>35</v>
      </c>
      <c r="T854" t="s">
        <v>98</v>
      </c>
      <c r="U854" t="s">
        <v>36</v>
      </c>
      <c r="V854" t="s">
        <v>61</v>
      </c>
      <c r="W854">
        <v>2</v>
      </c>
      <c r="X854" t="s">
        <v>39</v>
      </c>
      <c r="Y854">
        <v>1</v>
      </c>
      <c r="Z854" t="s">
        <v>40</v>
      </c>
      <c r="AA854" t="s">
        <v>40</v>
      </c>
      <c r="AB854">
        <v>1</v>
      </c>
    </row>
    <row r="855" spans="1:28" x14ac:dyDescent="0.3">
      <c r="A855">
        <v>854</v>
      </c>
      <c r="B855" t="s">
        <v>41</v>
      </c>
      <c r="C855" t="s">
        <v>27</v>
      </c>
      <c r="D855" t="s">
        <v>28</v>
      </c>
      <c r="E855">
        <v>18</v>
      </c>
      <c r="F855" t="s">
        <v>85</v>
      </c>
      <c r="G855" t="s">
        <v>63</v>
      </c>
      <c r="H855">
        <v>1442</v>
      </c>
      <c r="I855" t="s">
        <v>45</v>
      </c>
      <c r="J855" t="s">
        <v>46</v>
      </c>
      <c r="K855" t="s">
        <v>55</v>
      </c>
      <c r="L855" t="s">
        <v>56</v>
      </c>
      <c r="M855">
        <v>4</v>
      </c>
      <c r="N855" t="s">
        <v>34</v>
      </c>
      <c r="O855" t="s">
        <v>35</v>
      </c>
      <c r="P855" t="s">
        <v>36</v>
      </c>
      <c r="Q855">
        <v>4</v>
      </c>
      <c r="R855" t="s">
        <v>64</v>
      </c>
      <c r="S855">
        <v>32</v>
      </c>
      <c r="T855" t="s">
        <v>98</v>
      </c>
      <c r="U855" t="s">
        <v>36</v>
      </c>
      <c r="V855" t="s">
        <v>61</v>
      </c>
      <c r="W855">
        <v>2</v>
      </c>
      <c r="X855" t="s">
        <v>57</v>
      </c>
      <c r="Y855">
        <v>2</v>
      </c>
      <c r="Z855" t="s">
        <v>51</v>
      </c>
      <c r="AA855" t="s">
        <v>40</v>
      </c>
      <c r="AB855">
        <v>2</v>
      </c>
    </row>
    <row r="856" spans="1:28" x14ac:dyDescent="0.3">
      <c r="A856">
        <v>855</v>
      </c>
      <c r="B856" t="s">
        <v>26</v>
      </c>
      <c r="C856" t="s">
        <v>52</v>
      </c>
      <c r="D856" t="s">
        <v>53</v>
      </c>
      <c r="E856">
        <v>36</v>
      </c>
      <c r="F856" t="s">
        <v>62</v>
      </c>
      <c r="G856" t="s">
        <v>63</v>
      </c>
      <c r="H856">
        <v>10875</v>
      </c>
      <c r="I856" t="s">
        <v>45</v>
      </c>
      <c r="J856" t="s">
        <v>46</v>
      </c>
      <c r="K856" t="s">
        <v>32</v>
      </c>
      <c r="L856" t="s">
        <v>33</v>
      </c>
      <c r="M856">
        <v>2</v>
      </c>
      <c r="N856" t="s">
        <v>34</v>
      </c>
      <c r="O856" t="s">
        <v>35</v>
      </c>
      <c r="P856" t="s">
        <v>36</v>
      </c>
      <c r="Q856">
        <v>2</v>
      </c>
      <c r="R856" t="s">
        <v>68</v>
      </c>
      <c r="S856">
        <v>45</v>
      </c>
      <c r="T856" t="s">
        <v>97</v>
      </c>
      <c r="U856" t="s">
        <v>36</v>
      </c>
      <c r="V856" t="s">
        <v>38</v>
      </c>
      <c r="W856">
        <v>2</v>
      </c>
      <c r="X856" t="s">
        <v>39</v>
      </c>
      <c r="Y856">
        <v>2</v>
      </c>
      <c r="Z856" t="s">
        <v>40</v>
      </c>
      <c r="AA856" t="s">
        <v>40</v>
      </c>
      <c r="AB856">
        <v>1</v>
      </c>
    </row>
    <row r="857" spans="1:28" x14ac:dyDescent="0.3">
      <c r="A857">
        <v>856</v>
      </c>
      <c r="B857" t="s">
        <v>26</v>
      </c>
      <c r="C857" t="s">
        <v>52</v>
      </c>
      <c r="D857" t="s">
        <v>53</v>
      </c>
      <c r="E857">
        <v>24</v>
      </c>
      <c r="F857" t="s">
        <v>44</v>
      </c>
      <c r="G857" t="s">
        <v>63</v>
      </c>
      <c r="H857">
        <v>1474</v>
      </c>
      <c r="I857" t="s">
        <v>79</v>
      </c>
      <c r="J857" t="s">
        <v>80</v>
      </c>
      <c r="K857" t="s">
        <v>76</v>
      </c>
      <c r="L857" t="s">
        <v>77</v>
      </c>
      <c r="M857">
        <v>4</v>
      </c>
      <c r="N857" t="s">
        <v>34</v>
      </c>
      <c r="O857" t="s">
        <v>75</v>
      </c>
      <c r="P857" t="s">
        <v>36</v>
      </c>
      <c r="Q857">
        <v>3</v>
      </c>
      <c r="R857" t="s">
        <v>37</v>
      </c>
      <c r="S857">
        <v>33</v>
      </c>
      <c r="T857" t="s">
        <v>98</v>
      </c>
      <c r="U857" t="s">
        <v>36</v>
      </c>
      <c r="V857" t="s">
        <v>38</v>
      </c>
      <c r="W857">
        <v>1</v>
      </c>
      <c r="X857" t="s">
        <v>39</v>
      </c>
      <c r="Y857">
        <v>1</v>
      </c>
      <c r="Z857" t="s">
        <v>40</v>
      </c>
      <c r="AA857" t="s">
        <v>40</v>
      </c>
      <c r="AB857">
        <v>1</v>
      </c>
    </row>
    <row r="858" spans="1:28" x14ac:dyDescent="0.3">
      <c r="A858">
        <v>857</v>
      </c>
      <c r="B858" t="s">
        <v>26</v>
      </c>
      <c r="C858" t="s">
        <v>52</v>
      </c>
      <c r="D858" t="s">
        <v>53</v>
      </c>
      <c r="E858">
        <v>10</v>
      </c>
      <c r="F858" t="s">
        <v>44</v>
      </c>
      <c r="G858" t="s">
        <v>92</v>
      </c>
      <c r="H858">
        <v>894</v>
      </c>
      <c r="I858" t="s">
        <v>31</v>
      </c>
      <c r="J858" t="s">
        <v>31</v>
      </c>
      <c r="K858" t="s">
        <v>55</v>
      </c>
      <c r="L858" t="s">
        <v>56</v>
      </c>
      <c r="M858">
        <v>4</v>
      </c>
      <c r="N858" t="s">
        <v>49</v>
      </c>
      <c r="O858" t="s">
        <v>50</v>
      </c>
      <c r="P858" t="s">
        <v>36</v>
      </c>
      <c r="Q858">
        <v>3</v>
      </c>
      <c r="R858" t="s">
        <v>60</v>
      </c>
      <c r="S858">
        <v>40</v>
      </c>
      <c r="T858" t="s">
        <v>97</v>
      </c>
      <c r="U858" t="s">
        <v>36</v>
      </c>
      <c r="V858" t="s">
        <v>38</v>
      </c>
      <c r="W858">
        <v>1</v>
      </c>
      <c r="X858" t="s">
        <v>39</v>
      </c>
      <c r="Y858">
        <v>1</v>
      </c>
      <c r="Z858" t="s">
        <v>40</v>
      </c>
      <c r="AA858" t="s">
        <v>40</v>
      </c>
      <c r="AB858">
        <v>1</v>
      </c>
    </row>
    <row r="859" spans="1:28" x14ac:dyDescent="0.3">
      <c r="A859">
        <v>858</v>
      </c>
      <c r="B859" t="s">
        <v>26</v>
      </c>
      <c r="C859" t="s">
        <v>52</v>
      </c>
      <c r="D859" t="s">
        <v>53</v>
      </c>
      <c r="E859">
        <v>15</v>
      </c>
      <c r="F859" t="s">
        <v>29</v>
      </c>
      <c r="G859" t="s">
        <v>58</v>
      </c>
      <c r="H859">
        <v>3343</v>
      </c>
      <c r="I859" t="s">
        <v>45</v>
      </c>
      <c r="J859" t="s">
        <v>46</v>
      </c>
      <c r="K859" t="s">
        <v>47</v>
      </c>
      <c r="L859" t="s">
        <v>48</v>
      </c>
      <c r="M859">
        <v>4</v>
      </c>
      <c r="N859" t="s">
        <v>34</v>
      </c>
      <c r="O859" t="s">
        <v>35</v>
      </c>
      <c r="P859" t="s">
        <v>36</v>
      </c>
      <c r="Q859">
        <v>2</v>
      </c>
      <c r="R859" t="s">
        <v>64</v>
      </c>
      <c r="S859">
        <v>28</v>
      </c>
      <c r="T859" t="s">
        <v>98</v>
      </c>
      <c r="U859" t="s">
        <v>36</v>
      </c>
      <c r="V859" t="s">
        <v>61</v>
      </c>
      <c r="W859">
        <v>1</v>
      </c>
      <c r="X859" t="s">
        <v>39</v>
      </c>
      <c r="Y859">
        <v>1</v>
      </c>
      <c r="Z859" t="s">
        <v>40</v>
      </c>
      <c r="AA859" t="s">
        <v>40</v>
      </c>
      <c r="AB859">
        <v>1</v>
      </c>
    </row>
    <row r="860" spans="1:28" x14ac:dyDescent="0.3">
      <c r="A860">
        <v>859</v>
      </c>
      <c r="B860" t="s">
        <v>41</v>
      </c>
      <c r="C860" t="s">
        <v>27</v>
      </c>
      <c r="D860" t="s">
        <v>28</v>
      </c>
      <c r="E860">
        <v>15</v>
      </c>
      <c r="F860" t="s">
        <v>44</v>
      </c>
      <c r="G860" t="s">
        <v>63</v>
      </c>
      <c r="H860">
        <v>3959</v>
      </c>
      <c r="I860" t="s">
        <v>45</v>
      </c>
      <c r="J860" t="s">
        <v>46</v>
      </c>
      <c r="K860" t="s">
        <v>47</v>
      </c>
      <c r="L860" t="s">
        <v>48</v>
      </c>
      <c r="M860">
        <v>3</v>
      </c>
      <c r="N860" t="s">
        <v>49</v>
      </c>
      <c r="O860" t="s">
        <v>50</v>
      </c>
      <c r="P860" t="s">
        <v>36</v>
      </c>
      <c r="Q860">
        <v>2</v>
      </c>
      <c r="R860" t="s">
        <v>60</v>
      </c>
      <c r="S860">
        <v>29</v>
      </c>
      <c r="T860" t="s">
        <v>98</v>
      </c>
      <c r="U860" t="s">
        <v>36</v>
      </c>
      <c r="V860" t="s">
        <v>38</v>
      </c>
      <c r="W860">
        <v>1</v>
      </c>
      <c r="X860" t="s">
        <v>39</v>
      </c>
      <c r="Y860">
        <v>1</v>
      </c>
      <c r="Z860" t="s">
        <v>40</v>
      </c>
      <c r="AA860" t="s">
        <v>40</v>
      </c>
      <c r="AB860">
        <v>2</v>
      </c>
    </row>
    <row r="861" spans="1:28" x14ac:dyDescent="0.3">
      <c r="A861">
        <v>860</v>
      </c>
      <c r="B861" t="s">
        <v>26</v>
      </c>
      <c r="C861" t="s">
        <v>52</v>
      </c>
      <c r="D861" t="s">
        <v>53</v>
      </c>
      <c r="E861">
        <v>9</v>
      </c>
      <c r="F861" t="s">
        <v>44</v>
      </c>
      <c r="G861" t="s">
        <v>63</v>
      </c>
      <c r="H861">
        <v>3577</v>
      </c>
      <c r="I861" t="s">
        <v>79</v>
      </c>
      <c r="J861" t="s">
        <v>80</v>
      </c>
      <c r="K861" t="s">
        <v>47</v>
      </c>
      <c r="L861" t="s">
        <v>48</v>
      </c>
      <c r="M861">
        <v>1</v>
      </c>
      <c r="N861" t="s">
        <v>34</v>
      </c>
      <c r="O861" t="s">
        <v>35</v>
      </c>
      <c r="P861" t="s">
        <v>59</v>
      </c>
      <c r="Q861">
        <v>2</v>
      </c>
      <c r="R861" t="s">
        <v>37</v>
      </c>
      <c r="S861">
        <v>26</v>
      </c>
      <c r="T861" t="s">
        <v>98</v>
      </c>
      <c r="U861" t="s">
        <v>36</v>
      </c>
      <c r="V861" t="s">
        <v>69</v>
      </c>
      <c r="W861">
        <v>1</v>
      </c>
      <c r="X861" t="s">
        <v>39</v>
      </c>
      <c r="Y861">
        <v>2</v>
      </c>
      <c r="Z861" t="s">
        <v>51</v>
      </c>
      <c r="AA861" t="s">
        <v>51</v>
      </c>
      <c r="AB861">
        <v>1</v>
      </c>
    </row>
    <row r="862" spans="1:28" x14ac:dyDescent="0.3">
      <c r="A862">
        <v>861</v>
      </c>
      <c r="B862" t="s">
        <v>26</v>
      </c>
      <c r="C862" t="s">
        <v>52</v>
      </c>
      <c r="D862" t="s">
        <v>53</v>
      </c>
      <c r="E862">
        <v>24</v>
      </c>
      <c r="F862" t="s">
        <v>29</v>
      </c>
      <c r="G862" t="s">
        <v>67</v>
      </c>
      <c r="H862">
        <v>5804</v>
      </c>
      <c r="I862" t="s">
        <v>71</v>
      </c>
      <c r="J862" t="s">
        <v>72</v>
      </c>
      <c r="K862" t="s">
        <v>47</v>
      </c>
      <c r="L862" t="s">
        <v>48</v>
      </c>
      <c r="M862">
        <v>4</v>
      </c>
      <c r="N862" t="s">
        <v>34</v>
      </c>
      <c r="O862" t="s">
        <v>35</v>
      </c>
      <c r="P862" t="s">
        <v>36</v>
      </c>
      <c r="Q862">
        <v>2</v>
      </c>
      <c r="R862" t="s">
        <v>37</v>
      </c>
      <c r="S862">
        <v>27</v>
      </c>
      <c r="T862" t="s">
        <v>98</v>
      </c>
      <c r="U862" t="s">
        <v>36</v>
      </c>
      <c r="V862" t="s">
        <v>38</v>
      </c>
      <c r="W862">
        <v>2</v>
      </c>
      <c r="X862" t="s">
        <v>39</v>
      </c>
      <c r="Y862">
        <v>1</v>
      </c>
      <c r="Z862" t="s">
        <v>51</v>
      </c>
      <c r="AA862" t="s">
        <v>40</v>
      </c>
      <c r="AB862">
        <v>1</v>
      </c>
    </row>
    <row r="863" spans="1:28" x14ac:dyDescent="0.3">
      <c r="A863">
        <v>862</v>
      </c>
      <c r="B863" t="s">
        <v>41</v>
      </c>
      <c r="C863" t="s">
        <v>52</v>
      </c>
      <c r="D863" t="s">
        <v>53</v>
      </c>
      <c r="E863">
        <v>18</v>
      </c>
      <c r="F863" t="s">
        <v>62</v>
      </c>
      <c r="G863" t="s">
        <v>78</v>
      </c>
      <c r="H863">
        <v>2169</v>
      </c>
      <c r="I863" t="s">
        <v>45</v>
      </c>
      <c r="J863" t="s">
        <v>46</v>
      </c>
      <c r="K863" t="s">
        <v>47</v>
      </c>
      <c r="L863" t="s">
        <v>48</v>
      </c>
      <c r="M863">
        <v>4</v>
      </c>
      <c r="N863" t="s">
        <v>34</v>
      </c>
      <c r="O863" t="s">
        <v>75</v>
      </c>
      <c r="P863" t="s">
        <v>36</v>
      </c>
      <c r="Q863">
        <v>2</v>
      </c>
      <c r="R863" t="s">
        <v>68</v>
      </c>
      <c r="S863">
        <v>28</v>
      </c>
      <c r="T863" t="s">
        <v>98</v>
      </c>
      <c r="U863" t="s">
        <v>36</v>
      </c>
      <c r="V863" t="s">
        <v>38</v>
      </c>
      <c r="W863">
        <v>1</v>
      </c>
      <c r="X863" t="s">
        <v>39</v>
      </c>
      <c r="Y863">
        <v>1</v>
      </c>
      <c r="Z863" t="s">
        <v>40</v>
      </c>
      <c r="AA863" t="s">
        <v>40</v>
      </c>
      <c r="AB863">
        <v>2</v>
      </c>
    </row>
    <row r="864" spans="1:28" x14ac:dyDescent="0.3">
      <c r="A864">
        <v>863</v>
      </c>
      <c r="B864" t="s">
        <v>41</v>
      </c>
      <c r="C864" t="s">
        <v>27</v>
      </c>
      <c r="D864" t="s">
        <v>28</v>
      </c>
      <c r="E864">
        <v>24</v>
      </c>
      <c r="F864" t="s">
        <v>44</v>
      </c>
      <c r="G864" t="s">
        <v>30</v>
      </c>
      <c r="H864">
        <v>2439</v>
      </c>
      <c r="I864" t="s">
        <v>45</v>
      </c>
      <c r="J864" t="s">
        <v>46</v>
      </c>
      <c r="K864" t="s">
        <v>76</v>
      </c>
      <c r="L864" t="s">
        <v>77</v>
      </c>
      <c r="M864">
        <v>4</v>
      </c>
      <c r="N864" t="s">
        <v>49</v>
      </c>
      <c r="O864" t="s">
        <v>50</v>
      </c>
      <c r="P864" t="s">
        <v>36</v>
      </c>
      <c r="Q864">
        <v>4</v>
      </c>
      <c r="R864" t="s">
        <v>37</v>
      </c>
      <c r="S864">
        <v>35</v>
      </c>
      <c r="T864" t="s">
        <v>98</v>
      </c>
      <c r="U864" t="s">
        <v>36</v>
      </c>
      <c r="V864" t="s">
        <v>38</v>
      </c>
      <c r="W864">
        <v>1</v>
      </c>
      <c r="X864" t="s">
        <v>39</v>
      </c>
      <c r="Y864">
        <v>1</v>
      </c>
      <c r="Z864" t="s">
        <v>40</v>
      </c>
      <c r="AA864" t="s">
        <v>40</v>
      </c>
      <c r="AB864">
        <v>2</v>
      </c>
    </row>
    <row r="865" spans="1:28" x14ac:dyDescent="0.3">
      <c r="A865">
        <v>864</v>
      </c>
      <c r="B865" t="s">
        <v>26</v>
      </c>
      <c r="C865" t="s">
        <v>52</v>
      </c>
      <c r="D865" t="s">
        <v>53</v>
      </c>
      <c r="E865">
        <v>27</v>
      </c>
      <c r="F865" t="s">
        <v>29</v>
      </c>
      <c r="G865" t="s">
        <v>58</v>
      </c>
      <c r="H865">
        <v>4526</v>
      </c>
      <c r="I865" t="s">
        <v>71</v>
      </c>
      <c r="J865" t="s">
        <v>72</v>
      </c>
      <c r="K865" t="s">
        <v>76</v>
      </c>
      <c r="L865" t="s">
        <v>77</v>
      </c>
      <c r="M865">
        <v>4</v>
      </c>
      <c r="N865" t="s">
        <v>34</v>
      </c>
      <c r="O865" t="s">
        <v>35</v>
      </c>
      <c r="P865" t="s">
        <v>36</v>
      </c>
      <c r="Q865">
        <v>2</v>
      </c>
      <c r="R865" t="s">
        <v>37</v>
      </c>
      <c r="S865">
        <v>32</v>
      </c>
      <c r="T865" t="s">
        <v>98</v>
      </c>
      <c r="U865" t="s">
        <v>86</v>
      </c>
      <c r="V865" t="s">
        <v>38</v>
      </c>
      <c r="W865">
        <v>2</v>
      </c>
      <c r="X865" t="s">
        <v>57</v>
      </c>
      <c r="Y865">
        <v>2</v>
      </c>
      <c r="Z865" t="s">
        <v>40</v>
      </c>
      <c r="AA865" t="s">
        <v>40</v>
      </c>
      <c r="AB865">
        <v>1</v>
      </c>
    </row>
    <row r="866" spans="1:28" x14ac:dyDescent="0.3">
      <c r="A866">
        <v>865</v>
      </c>
      <c r="B866" t="s">
        <v>41</v>
      </c>
      <c r="C866" t="s">
        <v>52</v>
      </c>
      <c r="D866" t="s">
        <v>53</v>
      </c>
      <c r="E866">
        <v>10</v>
      </c>
      <c r="F866" t="s">
        <v>44</v>
      </c>
      <c r="G866" t="s">
        <v>58</v>
      </c>
      <c r="H866">
        <v>2210</v>
      </c>
      <c r="I866" t="s">
        <v>45</v>
      </c>
      <c r="J866" t="s">
        <v>46</v>
      </c>
      <c r="K866" t="s">
        <v>47</v>
      </c>
      <c r="L866" t="s">
        <v>48</v>
      </c>
      <c r="M866">
        <v>2</v>
      </c>
      <c r="N866" t="s">
        <v>34</v>
      </c>
      <c r="O866" t="s">
        <v>35</v>
      </c>
      <c r="P866" t="s">
        <v>36</v>
      </c>
      <c r="Q866">
        <v>2</v>
      </c>
      <c r="R866" t="s">
        <v>37</v>
      </c>
      <c r="S866">
        <v>25</v>
      </c>
      <c r="T866" t="s">
        <v>98</v>
      </c>
      <c r="U866" t="s">
        <v>82</v>
      </c>
      <c r="V866" t="s">
        <v>69</v>
      </c>
      <c r="W866">
        <v>1</v>
      </c>
      <c r="X866" t="s">
        <v>57</v>
      </c>
      <c r="Y866">
        <v>1</v>
      </c>
      <c r="Z866" t="s">
        <v>51</v>
      </c>
      <c r="AA866" t="s">
        <v>40</v>
      </c>
      <c r="AB866">
        <v>2</v>
      </c>
    </row>
    <row r="867" spans="1:28" x14ac:dyDescent="0.3">
      <c r="A867">
        <v>866</v>
      </c>
      <c r="B867" t="s">
        <v>26</v>
      </c>
      <c r="C867" t="s">
        <v>52</v>
      </c>
      <c r="D867" t="s">
        <v>53</v>
      </c>
      <c r="E867">
        <v>15</v>
      </c>
      <c r="F867" t="s">
        <v>44</v>
      </c>
      <c r="G867" t="s">
        <v>58</v>
      </c>
      <c r="H867">
        <v>2221</v>
      </c>
      <c r="I867" t="s">
        <v>65</v>
      </c>
      <c r="J867" t="s">
        <v>66</v>
      </c>
      <c r="K867" t="s">
        <v>47</v>
      </c>
      <c r="L867" t="s">
        <v>48</v>
      </c>
      <c r="M867">
        <v>2</v>
      </c>
      <c r="N867" t="s">
        <v>49</v>
      </c>
      <c r="O867" t="s">
        <v>50</v>
      </c>
      <c r="P867" t="s">
        <v>36</v>
      </c>
      <c r="Q867">
        <v>4</v>
      </c>
      <c r="R867" t="s">
        <v>68</v>
      </c>
      <c r="S867">
        <v>20</v>
      </c>
      <c r="T867" t="s">
        <v>96</v>
      </c>
      <c r="U867" t="s">
        <v>36</v>
      </c>
      <c r="V867" t="s">
        <v>69</v>
      </c>
      <c r="W867">
        <v>1</v>
      </c>
      <c r="X867" t="s">
        <v>39</v>
      </c>
      <c r="Y867">
        <v>1</v>
      </c>
      <c r="Z867" t="s">
        <v>51</v>
      </c>
      <c r="AA867" t="s">
        <v>40</v>
      </c>
      <c r="AB867">
        <v>1</v>
      </c>
    </row>
    <row r="868" spans="1:28" x14ac:dyDescent="0.3">
      <c r="A868">
        <v>867</v>
      </c>
      <c r="B868" t="s">
        <v>26</v>
      </c>
      <c r="C868" t="s">
        <v>27</v>
      </c>
      <c r="D868" t="s">
        <v>28</v>
      </c>
      <c r="E868">
        <v>18</v>
      </c>
      <c r="F868" t="s">
        <v>44</v>
      </c>
      <c r="G868" t="s">
        <v>30</v>
      </c>
      <c r="H868">
        <v>2389</v>
      </c>
      <c r="I868" t="s">
        <v>45</v>
      </c>
      <c r="J868" t="s">
        <v>46</v>
      </c>
      <c r="K868" t="s">
        <v>76</v>
      </c>
      <c r="L868" t="s">
        <v>77</v>
      </c>
      <c r="M868">
        <v>4</v>
      </c>
      <c r="N868" t="s">
        <v>49</v>
      </c>
      <c r="O868" t="s">
        <v>50</v>
      </c>
      <c r="P868" t="s">
        <v>36</v>
      </c>
      <c r="Q868">
        <v>1</v>
      </c>
      <c r="R868" t="s">
        <v>68</v>
      </c>
      <c r="S868">
        <v>27</v>
      </c>
      <c r="T868" t="s">
        <v>98</v>
      </c>
      <c r="U868" t="s">
        <v>86</v>
      </c>
      <c r="V868" t="s">
        <v>38</v>
      </c>
      <c r="W868">
        <v>1</v>
      </c>
      <c r="X868" t="s">
        <v>39</v>
      </c>
      <c r="Y868">
        <v>1</v>
      </c>
      <c r="Z868" t="s">
        <v>51</v>
      </c>
      <c r="AA868" t="s">
        <v>40</v>
      </c>
      <c r="AB868">
        <v>1</v>
      </c>
    </row>
    <row r="869" spans="1:28" x14ac:dyDescent="0.3">
      <c r="A869">
        <v>868</v>
      </c>
      <c r="B869" t="s">
        <v>26</v>
      </c>
      <c r="C869" t="s">
        <v>52</v>
      </c>
      <c r="D869" t="s">
        <v>53</v>
      </c>
      <c r="E869">
        <v>12</v>
      </c>
      <c r="F869" t="s">
        <v>29</v>
      </c>
      <c r="G869" t="s">
        <v>58</v>
      </c>
      <c r="H869">
        <v>3331</v>
      </c>
      <c r="I869" t="s">
        <v>45</v>
      </c>
      <c r="J869" t="s">
        <v>46</v>
      </c>
      <c r="K869" t="s">
        <v>32</v>
      </c>
      <c r="L869" t="s">
        <v>33</v>
      </c>
      <c r="M869">
        <v>2</v>
      </c>
      <c r="N869" t="s">
        <v>34</v>
      </c>
      <c r="O869" t="s">
        <v>35</v>
      </c>
      <c r="P869" t="s">
        <v>36</v>
      </c>
      <c r="Q869">
        <v>4</v>
      </c>
      <c r="R869" t="s">
        <v>60</v>
      </c>
      <c r="S869">
        <v>42</v>
      </c>
      <c r="T869" t="s">
        <v>97</v>
      </c>
      <c r="U869" t="s">
        <v>86</v>
      </c>
      <c r="V869" t="s">
        <v>38</v>
      </c>
      <c r="W869">
        <v>1</v>
      </c>
      <c r="X869" t="s">
        <v>39</v>
      </c>
      <c r="Y869">
        <v>1</v>
      </c>
      <c r="Z869" t="s">
        <v>51</v>
      </c>
      <c r="AA869" t="s">
        <v>40</v>
      </c>
      <c r="AB869">
        <v>1</v>
      </c>
    </row>
    <row r="870" spans="1:28" x14ac:dyDescent="0.3">
      <c r="A870">
        <v>869</v>
      </c>
      <c r="B870" t="s">
        <v>26</v>
      </c>
      <c r="C870" t="s">
        <v>52</v>
      </c>
      <c r="D870" t="s">
        <v>53</v>
      </c>
      <c r="E870">
        <v>36</v>
      </c>
      <c r="F870" t="s">
        <v>44</v>
      </c>
      <c r="G870" t="s">
        <v>78</v>
      </c>
      <c r="H870">
        <v>7409</v>
      </c>
      <c r="I870" t="s">
        <v>31</v>
      </c>
      <c r="J870" t="s">
        <v>31</v>
      </c>
      <c r="K870" t="s">
        <v>32</v>
      </c>
      <c r="L870" t="s">
        <v>33</v>
      </c>
      <c r="M870">
        <v>3</v>
      </c>
      <c r="N870" t="s">
        <v>34</v>
      </c>
      <c r="O870" t="s">
        <v>35</v>
      </c>
      <c r="P870" t="s">
        <v>36</v>
      </c>
      <c r="Q870">
        <v>2</v>
      </c>
      <c r="R870" t="s">
        <v>60</v>
      </c>
      <c r="S870">
        <v>37</v>
      </c>
      <c r="T870" t="s">
        <v>98</v>
      </c>
      <c r="U870" t="s">
        <v>36</v>
      </c>
      <c r="V870" t="s">
        <v>38</v>
      </c>
      <c r="W870">
        <v>2</v>
      </c>
      <c r="X870" t="s">
        <v>39</v>
      </c>
      <c r="Y870">
        <v>1</v>
      </c>
      <c r="Z870" t="s">
        <v>51</v>
      </c>
      <c r="AA870" t="s">
        <v>40</v>
      </c>
      <c r="AB870">
        <v>1</v>
      </c>
    </row>
    <row r="871" spans="1:28" x14ac:dyDescent="0.3">
      <c r="A871">
        <v>870</v>
      </c>
      <c r="B871" t="s">
        <v>26</v>
      </c>
      <c r="C871" t="s">
        <v>27</v>
      </c>
      <c r="D871" t="s">
        <v>28</v>
      </c>
      <c r="E871">
        <v>12</v>
      </c>
      <c r="F871" t="s">
        <v>44</v>
      </c>
      <c r="G871" t="s">
        <v>58</v>
      </c>
      <c r="H871">
        <v>652</v>
      </c>
      <c r="I871" t="s">
        <v>45</v>
      </c>
      <c r="J871" t="s">
        <v>46</v>
      </c>
      <c r="K871" t="s">
        <v>32</v>
      </c>
      <c r="L871" t="s">
        <v>33</v>
      </c>
      <c r="M871">
        <v>4</v>
      </c>
      <c r="N871" t="s">
        <v>49</v>
      </c>
      <c r="O871" t="s">
        <v>50</v>
      </c>
      <c r="P871" t="s">
        <v>36</v>
      </c>
      <c r="Q871">
        <v>4</v>
      </c>
      <c r="R871" t="s">
        <v>60</v>
      </c>
      <c r="S871">
        <v>24</v>
      </c>
      <c r="T871" t="s">
        <v>96</v>
      </c>
      <c r="U871" t="s">
        <v>36</v>
      </c>
      <c r="V871" t="s">
        <v>69</v>
      </c>
      <c r="W871">
        <v>1</v>
      </c>
      <c r="X871" t="s">
        <v>39</v>
      </c>
      <c r="Y871">
        <v>1</v>
      </c>
      <c r="Z871" t="s">
        <v>51</v>
      </c>
      <c r="AA871" t="s">
        <v>40</v>
      </c>
      <c r="AB871">
        <v>1</v>
      </c>
    </row>
    <row r="872" spans="1:28" x14ac:dyDescent="0.3">
      <c r="A872">
        <v>871</v>
      </c>
      <c r="B872" t="s">
        <v>26</v>
      </c>
      <c r="C872" t="s">
        <v>52</v>
      </c>
      <c r="D872" t="s">
        <v>53</v>
      </c>
      <c r="E872">
        <v>36</v>
      </c>
      <c r="F872" t="s">
        <v>62</v>
      </c>
      <c r="G872" t="s">
        <v>58</v>
      </c>
      <c r="H872">
        <v>7678</v>
      </c>
      <c r="I872" t="s">
        <v>65</v>
      </c>
      <c r="J872" t="s">
        <v>66</v>
      </c>
      <c r="K872" t="s">
        <v>55</v>
      </c>
      <c r="L872" t="s">
        <v>56</v>
      </c>
      <c r="M872">
        <v>2</v>
      </c>
      <c r="N872" t="s">
        <v>49</v>
      </c>
      <c r="O872" t="s">
        <v>50</v>
      </c>
      <c r="P872" t="s">
        <v>36</v>
      </c>
      <c r="Q872">
        <v>4</v>
      </c>
      <c r="R872" t="s">
        <v>68</v>
      </c>
      <c r="S872">
        <v>40</v>
      </c>
      <c r="T872" t="s">
        <v>97</v>
      </c>
      <c r="U872" t="s">
        <v>36</v>
      </c>
      <c r="V872" t="s">
        <v>38</v>
      </c>
      <c r="W872">
        <v>2</v>
      </c>
      <c r="X872" t="s">
        <v>39</v>
      </c>
      <c r="Y872">
        <v>1</v>
      </c>
      <c r="Z872" t="s">
        <v>40</v>
      </c>
      <c r="AA872" t="s">
        <v>40</v>
      </c>
      <c r="AB872">
        <v>1</v>
      </c>
    </row>
    <row r="873" spans="1:28" x14ac:dyDescent="0.3">
      <c r="A873">
        <v>872</v>
      </c>
      <c r="B873" t="s">
        <v>26</v>
      </c>
      <c r="C873" t="s">
        <v>83</v>
      </c>
      <c r="D873" t="s">
        <v>84</v>
      </c>
      <c r="E873">
        <v>6</v>
      </c>
      <c r="F873" t="s">
        <v>29</v>
      </c>
      <c r="G873" t="s">
        <v>63</v>
      </c>
      <c r="H873">
        <v>1343</v>
      </c>
      <c r="I873" t="s">
        <v>45</v>
      </c>
      <c r="J873" t="s">
        <v>46</v>
      </c>
      <c r="K873" t="s">
        <v>32</v>
      </c>
      <c r="L873" t="s">
        <v>33</v>
      </c>
      <c r="M873">
        <v>1</v>
      </c>
      <c r="N873" t="s">
        <v>34</v>
      </c>
      <c r="O873" t="s">
        <v>35</v>
      </c>
      <c r="P873" t="s">
        <v>36</v>
      </c>
      <c r="Q873">
        <v>4</v>
      </c>
      <c r="R873" t="s">
        <v>37</v>
      </c>
      <c r="S873">
        <v>46</v>
      </c>
      <c r="T873" t="s">
        <v>97</v>
      </c>
      <c r="U873" t="s">
        <v>36</v>
      </c>
      <c r="V873" t="s">
        <v>38</v>
      </c>
      <c r="W873">
        <v>2</v>
      </c>
      <c r="X873" t="s">
        <v>39</v>
      </c>
      <c r="Y873">
        <v>2</v>
      </c>
      <c r="Z873" t="s">
        <v>51</v>
      </c>
      <c r="AA873" t="s">
        <v>51</v>
      </c>
      <c r="AB873">
        <v>1</v>
      </c>
    </row>
    <row r="874" spans="1:28" x14ac:dyDescent="0.3">
      <c r="A874">
        <v>873</v>
      </c>
      <c r="B874" t="s">
        <v>26</v>
      </c>
      <c r="C874" t="s">
        <v>27</v>
      </c>
      <c r="D874" t="s">
        <v>28</v>
      </c>
      <c r="E874">
        <v>24</v>
      </c>
      <c r="F874" t="s">
        <v>29</v>
      </c>
      <c r="G874" t="s">
        <v>78</v>
      </c>
      <c r="H874">
        <v>1382</v>
      </c>
      <c r="I874" t="s">
        <v>79</v>
      </c>
      <c r="J874" t="s">
        <v>80</v>
      </c>
      <c r="K874" t="s">
        <v>55</v>
      </c>
      <c r="L874" t="s">
        <v>56</v>
      </c>
      <c r="M874">
        <v>4</v>
      </c>
      <c r="N874" t="s">
        <v>34</v>
      </c>
      <c r="O874" t="s">
        <v>35</v>
      </c>
      <c r="P874" t="s">
        <v>36</v>
      </c>
      <c r="Q874">
        <v>1</v>
      </c>
      <c r="R874" t="s">
        <v>37</v>
      </c>
      <c r="S874">
        <v>26</v>
      </c>
      <c r="T874" t="s">
        <v>98</v>
      </c>
      <c r="U874" t="s">
        <v>36</v>
      </c>
      <c r="V874" t="s">
        <v>38</v>
      </c>
      <c r="W874">
        <v>2</v>
      </c>
      <c r="X874" t="s">
        <v>39</v>
      </c>
      <c r="Y874">
        <v>1</v>
      </c>
      <c r="Z874" t="s">
        <v>40</v>
      </c>
      <c r="AA874" t="s">
        <v>40</v>
      </c>
      <c r="AB874">
        <v>1</v>
      </c>
    </row>
    <row r="875" spans="1:28" x14ac:dyDescent="0.3">
      <c r="A875">
        <v>874</v>
      </c>
      <c r="B875" t="s">
        <v>26</v>
      </c>
      <c r="C875" t="s">
        <v>52</v>
      </c>
      <c r="D875" t="s">
        <v>53</v>
      </c>
      <c r="E875">
        <v>15</v>
      </c>
      <c r="F875" t="s">
        <v>44</v>
      </c>
      <c r="G875" t="s">
        <v>88</v>
      </c>
      <c r="H875">
        <v>874</v>
      </c>
      <c r="I875" t="s">
        <v>31</v>
      </c>
      <c r="J875" t="s">
        <v>31</v>
      </c>
      <c r="K875" t="s">
        <v>76</v>
      </c>
      <c r="L875" t="s">
        <v>77</v>
      </c>
      <c r="M875">
        <v>4</v>
      </c>
      <c r="N875" t="s">
        <v>49</v>
      </c>
      <c r="O875" t="s">
        <v>50</v>
      </c>
      <c r="P875" t="s">
        <v>36</v>
      </c>
      <c r="Q875">
        <v>1</v>
      </c>
      <c r="R875" t="s">
        <v>37</v>
      </c>
      <c r="S875">
        <v>24</v>
      </c>
      <c r="T875" t="s">
        <v>96</v>
      </c>
      <c r="U875" t="s">
        <v>36</v>
      </c>
      <c r="V875" t="s">
        <v>38</v>
      </c>
      <c r="W875">
        <v>1</v>
      </c>
      <c r="X875" t="s">
        <v>39</v>
      </c>
      <c r="Y875">
        <v>1</v>
      </c>
      <c r="Z875" t="s">
        <v>51</v>
      </c>
      <c r="AA875" t="s">
        <v>40</v>
      </c>
      <c r="AB875">
        <v>1</v>
      </c>
    </row>
    <row r="876" spans="1:28" x14ac:dyDescent="0.3">
      <c r="A876">
        <v>875</v>
      </c>
      <c r="B876" t="s">
        <v>26</v>
      </c>
      <c r="C876" t="s">
        <v>27</v>
      </c>
      <c r="D876" t="s">
        <v>28</v>
      </c>
      <c r="E876">
        <v>12</v>
      </c>
      <c r="F876" t="s">
        <v>44</v>
      </c>
      <c r="G876" t="s">
        <v>58</v>
      </c>
      <c r="H876">
        <v>3590</v>
      </c>
      <c r="I876" t="s">
        <v>45</v>
      </c>
      <c r="J876" t="s">
        <v>46</v>
      </c>
      <c r="K876" t="s">
        <v>47</v>
      </c>
      <c r="L876" t="s">
        <v>48</v>
      </c>
      <c r="M876">
        <v>2</v>
      </c>
      <c r="N876" t="s">
        <v>34</v>
      </c>
      <c r="O876" t="s">
        <v>35</v>
      </c>
      <c r="P876" t="s">
        <v>87</v>
      </c>
      <c r="Q876">
        <v>2</v>
      </c>
      <c r="R876" t="s">
        <v>60</v>
      </c>
      <c r="S876">
        <v>29</v>
      </c>
      <c r="T876" t="s">
        <v>98</v>
      </c>
      <c r="U876" t="s">
        <v>36</v>
      </c>
      <c r="V876" t="s">
        <v>38</v>
      </c>
      <c r="W876">
        <v>1</v>
      </c>
      <c r="X876" t="s">
        <v>57</v>
      </c>
      <c r="Y876">
        <v>2</v>
      </c>
      <c r="Z876" t="s">
        <v>51</v>
      </c>
      <c r="AA876" t="s">
        <v>40</v>
      </c>
      <c r="AB876">
        <v>1</v>
      </c>
    </row>
    <row r="877" spans="1:28" x14ac:dyDescent="0.3">
      <c r="A877">
        <v>876</v>
      </c>
      <c r="B877" t="s">
        <v>26</v>
      </c>
      <c r="C877" t="s">
        <v>42</v>
      </c>
      <c r="D877" t="s">
        <v>43</v>
      </c>
      <c r="E877">
        <v>11</v>
      </c>
      <c r="F877" t="s">
        <v>29</v>
      </c>
      <c r="G877" t="s">
        <v>63</v>
      </c>
      <c r="H877">
        <v>1322</v>
      </c>
      <c r="I877" t="s">
        <v>71</v>
      </c>
      <c r="J877" t="s">
        <v>72</v>
      </c>
      <c r="K877" t="s">
        <v>47</v>
      </c>
      <c r="L877" t="s">
        <v>48</v>
      </c>
      <c r="M877">
        <v>4</v>
      </c>
      <c r="N877" t="s">
        <v>49</v>
      </c>
      <c r="O877" t="s">
        <v>50</v>
      </c>
      <c r="P877" t="s">
        <v>36</v>
      </c>
      <c r="Q877">
        <v>4</v>
      </c>
      <c r="R877" t="s">
        <v>68</v>
      </c>
      <c r="S877">
        <v>40</v>
      </c>
      <c r="T877" t="s">
        <v>97</v>
      </c>
      <c r="U877" t="s">
        <v>36</v>
      </c>
      <c r="V877" t="s">
        <v>38</v>
      </c>
      <c r="W877">
        <v>2</v>
      </c>
      <c r="X877" t="s">
        <v>39</v>
      </c>
      <c r="Y877">
        <v>1</v>
      </c>
      <c r="Z877" t="s">
        <v>51</v>
      </c>
      <c r="AA877" t="s">
        <v>40</v>
      </c>
      <c r="AB877">
        <v>1</v>
      </c>
    </row>
    <row r="878" spans="1:28" x14ac:dyDescent="0.3">
      <c r="A878">
        <v>877</v>
      </c>
      <c r="B878" t="s">
        <v>26</v>
      </c>
      <c r="C878" t="s">
        <v>27</v>
      </c>
      <c r="D878" t="s">
        <v>28</v>
      </c>
      <c r="E878">
        <v>18</v>
      </c>
      <c r="F878" t="s">
        <v>85</v>
      </c>
      <c r="G878" t="s">
        <v>30</v>
      </c>
      <c r="H878">
        <v>1940</v>
      </c>
      <c r="I878" t="s">
        <v>45</v>
      </c>
      <c r="J878" t="s">
        <v>46</v>
      </c>
      <c r="K878" t="s">
        <v>76</v>
      </c>
      <c r="L878" t="s">
        <v>77</v>
      </c>
      <c r="M878">
        <v>3</v>
      </c>
      <c r="N878" t="s">
        <v>34</v>
      </c>
      <c r="O878" t="s">
        <v>35</v>
      </c>
      <c r="P878" t="s">
        <v>87</v>
      </c>
      <c r="Q878">
        <v>4</v>
      </c>
      <c r="R878" t="s">
        <v>64</v>
      </c>
      <c r="S878">
        <v>36</v>
      </c>
      <c r="T878" t="s">
        <v>98</v>
      </c>
      <c r="U878" t="s">
        <v>82</v>
      </c>
      <c r="V878" t="s">
        <v>61</v>
      </c>
      <c r="W878">
        <v>1</v>
      </c>
      <c r="X878" t="s">
        <v>70</v>
      </c>
      <c r="Y878">
        <v>1</v>
      </c>
      <c r="Z878" t="s">
        <v>40</v>
      </c>
      <c r="AA878" t="s">
        <v>40</v>
      </c>
      <c r="AB878">
        <v>1</v>
      </c>
    </row>
    <row r="879" spans="1:28" x14ac:dyDescent="0.3">
      <c r="A879">
        <v>878</v>
      </c>
      <c r="B879" t="s">
        <v>26</v>
      </c>
      <c r="C879" t="s">
        <v>52</v>
      </c>
      <c r="D879" t="s">
        <v>53</v>
      </c>
      <c r="E879">
        <v>36</v>
      </c>
      <c r="F879" t="s">
        <v>44</v>
      </c>
      <c r="G879" t="s">
        <v>30</v>
      </c>
      <c r="H879">
        <v>3595</v>
      </c>
      <c r="I879" t="s">
        <v>45</v>
      </c>
      <c r="J879" t="s">
        <v>46</v>
      </c>
      <c r="K879" t="s">
        <v>32</v>
      </c>
      <c r="L879" t="s">
        <v>33</v>
      </c>
      <c r="M879">
        <v>4</v>
      </c>
      <c r="N879" t="s">
        <v>34</v>
      </c>
      <c r="O879" t="s">
        <v>35</v>
      </c>
      <c r="P879" t="s">
        <v>36</v>
      </c>
      <c r="Q879">
        <v>2</v>
      </c>
      <c r="R879" t="s">
        <v>68</v>
      </c>
      <c r="S879">
        <v>28</v>
      </c>
      <c r="T879" t="s">
        <v>98</v>
      </c>
      <c r="U879" t="s">
        <v>36</v>
      </c>
      <c r="V879" t="s">
        <v>38</v>
      </c>
      <c r="W879">
        <v>1</v>
      </c>
      <c r="X879" t="s">
        <v>39</v>
      </c>
      <c r="Y879">
        <v>1</v>
      </c>
      <c r="Z879" t="s">
        <v>51</v>
      </c>
      <c r="AA879" t="s">
        <v>40</v>
      </c>
      <c r="AB879">
        <v>1</v>
      </c>
    </row>
    <row r="880" spans="1:28" x14ac:dyDescent="0.3">
      <c r="A880">
        <v>879</v>
      </c>
      <c r="B880" t="s">
        <v>41</v>
      </c>
      <c r="C880" t="s">
        <v>27</v>
      </c>
      <c r="D880" t="s">
        <v>28</v>
      </c>
      <c r="E880">
        <v>9</v>
      </c>
      <c r="F880" t="s">
        <v>44</v>
      </c>
      <c r="G880" t="s">
        <v>63</v>
      </c>
      <c r="H880">
        <v>1422</v>
      </c>
      <c r="I880" t="s">
        <v>45</v>
      </c>
      <c r="J880" t="s">
        <v>46</v>
      </c>
      <c r="K880" t="s">
        <v>76</v>
      </c>
      <c r="L880" t="s">
        <v>77</v>
      </c>
      <c r="M880">
        <v>3</v>
      </c>
      <c r="N880" t="s">
        <v>34</v>
      </c>
      <c r="O880" t="s">
        <v>35</v>
      </c>
      <c r="P880" t="s">
        <v>36</v>
      </c>
      <c r="Q880">
        <v>2</v>
      </c>
      <c r="R880" t="s">
        <v>64</v>
      </c>
      <c r="S880">
        <v>27</v>
      </c>
      <c r="T880" t="s">
        <v>98</v>
      </c>
      <c r="U880" t="s">
        <v>36</v>
      </c>
      <c r="V880" t="s">
        <v>61</v>
      </c>
      <c r="W880">
        <v>1</v>
      </c>
      <c r="X880" t="s">
        <v>70</v>
      </c>
      <c r="Y880">
        <v>1</v>
      </c>
      <c r="Z880" t="s">
        <v>40</v>
      </c>
      <c r="AA880" t="s">
        <v>40</v>
      </c>
      <c r="AB880">
        <v>2</v>
      </c>
    </row>
    <row r="881" spans="1:28" x14ac:dyDescent="0.3">
      <c r="A881">
        <v>880</v>
      </c>
      <c r="B881" t="s">
        <v>26</v>
      </c>
      <c r="C881" t="s">
        <v>52</v>
      </c>
      <c r="D881" t="s">
        <v>53</v>
      </c>
      <c r="E881">
        <v>30</v>
      </c>
      <c r="F881" t="s">
        <v>29</v>
      </c>
      <c r="G881" t="s">
        <v>30</v>
      </c>
      <c r="H881">
        <v>6742</v>
      </c>
      <c r="I881" t="s">
        <v>31</v>
      </c>
      <c r="J881" t="s">
        <v>31</v>
      </c>
      <c r="K881" t="s">
        <v>55</v>
      </c>
      <c r="L881" t="s">
        <v>56</v>
      </c>
      <c r="M881">
        <v>2</v>
      </c>
      <c r="N881" t="s">
        <v>34</v>
      </c>
      <c r="O881" t="s">
        <v>35</v>
      </c>
      <c r="P881" t="s">
        <v>36</v>
      </c>
      <c r="Q881">
        <v>3</v>
      </c>
      <c r="R881" t="s">
        <v>60</v>
      </c>
      <c r="S881">
        <v>36</v>
      </c>
      <c r="T881" t="s">
        <v>98</v>
      </c>
      <c r="U881" t="s">
        <v>36</v>
      </c>
      <c r="V881" t="s">
        <v>38</v>
      </c>
      <c r="W881">
        <v>2</v>
      </c>
      <c r="X881" t="s">
        <v>39</v>
      </c>
      <c r="Y881">
        <v>1</v>
      </c>
      <c r="Z881" t="s">
        <v>51</v>
      </c>
      <c r="AA881" t="s">
        <v>40</v>
      </c>
      <c r="AB881">
        <v>1</v>
      </c>
    </row>
    <row r="882" spans="1:28" x14ac:dyDescent="0.3">
      <c r="A882">
        <v>881</v>
      </c>
      <c r="B882" t="s">
        <v>26</v>
      </c>
      <c r="C882" t="s">
        <v>52</v>
      </c>
      <c r="D882" t="s">
        <v>53</v>
      </c>
      <c r="E882">
        <v>24</v>
      </c>
      <c r="F882" t="s">
        <v>44</v>
      </c>
      <c r="G882" t="s">
        <v>67</v>
      </c>
      <c r="H882">
        <v>7814</v>
      </c>
      <c r="I882" t="s">
        <v>45</v>
      </c>
      <c r="J882" t="s">
        <v>46</v>
      </c>
      <c r="K882" t="s">
        <v>55</v>
      </c>
      <c r="L882" t="s">
        <v>56</v>
      </c>
      <c r="M882">
        <v>3</v>
      </c>
      <c r="N882" t="s">
        <v>34</v>
      </c>
      <c r="O882" t="s">
        <v>35</v>
      </c>
      <c r="P882" t="s">
        <v>36</v>
      </c>
      <c r="Q882">
        <v>3</v>
      </c>
      <c r="R882" t="s">
        <v>68</v>
      </c>
      <c r="S882">
        <v>38</v>
      </c>
      <c r="T882" t="s">
        <v>98</v>
      </c>
      <c r="U882" t="s">
        <v>36</v>
      </c>
      <c r="V882" t="s">
        <v>38</v>
      </c>
      <c r="W882">
        <v>1</v>
      </c>
      <c r="X882" t="s">
        <v>70</v>
      </c>
      <c r="Y882">
        <v>1</v>
      </c>
      <c r="Z882" t="s">
        <v>40</v>
      </c>
      <c r="AA882" t="s">
        <v>40</v>
      </c>
      <c r="AB882">
        <v>1</v>
      </c>
    </row>
    <row r="883" spans="1:28" x14ac:dyDescent="0.3">
      <c r="A883">
        <v>882</v>
      </c>
      <c r="B883" t="s">
        <v>26</v>
      </c>
      <c r="C883" t="s">
        <v>52</v>
      </c>
      <c r="D883" t="s">
        <v>53</v>
      </c>
      <c r="E883">
        <v>24</v>
      </c>
      <c r="F883" t="s">
        <v>44</v>
      </c>
      <c r="G883" t="s">
        <v>67</v>
      </c>
      <c r="H883">
        <v>9277</v>
      </c>
      <c r="I883" t="s">
        <v>31</v>
      </c>
      <c r="J883" t="s">
        <v>31</v>
      </c>
      <c r="K883" t="s">
        <v>47</v>
      </c>
      <c r="L883" t="s">
        <v>48</v>
      </c>
      <c r="M883">
        <v>2</v>
      </c>
      <c r="N883" t="s">
        <v>34</v>
      </c>
      <c r="O883" t="s">
        <v>73</v>
      </c>
      <c r="P883" t="s">
        <v>36</v>
      </c>
      <c r="Q883">
        <v>4</v>
      </c>
      <c r="R883" t="s">
        <v>64</v>
      </c>
      <c r="S883">
        <v>48</v>
      </c>
      <c r="T883" t="s">
        <v>97</v>
      </c>
      <c r="U883" t="s">
        <v>36</v>
      </c>
      <c r="V883" t="s">
        <v>61</v>
      </c>
      <c r="W883">
        <v>1</v>
      </c>
      <c r="X883" t="s">
        <v>39</v>
      </c>
      <c r="Y883">
        <v>1</v>
      </c>
      <c r="Z883" t="s">
        <v>40</v>
      </c>
      <c r="AA883" t="s">
        <v>40</v>
      </c>
      <c r="AB883">
        <v>1</v>
      </c>
    </row>
    <row r="884" spans="1:28" x14ac:dyDescent="0.3">
      <c r="A884">
        <v>883</v>
      </c>
      <c r="B884" t="s">
        <v>26</v>
      </c>
      <c r="C884" t="s">
        <v>42</v>
      </c>
      <c r="D884" t="s">
        <v>43</v>
      </c>
      <c r="E884">
        <v>30</v>
      </c>
      <c r="F884" t="s">
        <v>29</v>
      </c>
      <c r="G884" t="s">
        <v>63</v>
      </c>
      <c r="H884">
        <v>2181</v>
      </c>
      <c r="I884" t="s">
        <v>31</v>
      </c>
      <c r="J884" t="s">
        <v>31</v>
      </c>
      <c r="K884" t="s">
        <v>32</v>
      </c>
      <c r="L884" t="s">
        <v>33</v>
      </c>
      <c r="M884">
        <v>4</v>
      </c>
      <c r="N884" t="s">
        <v>34</v>
      </c>
      <c r="O884" t="s">
        <v>35</v>
      </c>
      <c r="P884" t="s">
        <v>36</v>
      </c>
      <c r="Q884">
        <v>4</v>
      </c>
      <c r="R884" t="s">
        <v>37</v>
      </c>
      <c r="S884">
        <v>36</v>
      </c>
      <c r="T884" t="s">
        <v>98</v>
      </c>
      <c r="U884" t="s">
        <v>36</v>
      </c>
      <c r="V884" t="s">
        <v>38</v>
      </c>
      <c r="W884">
        <v>2</v>
      </c>
      <c r="X884" t="s">
        <v>39</v>
      </c>
      <c r="Y884">
        <v>1</v>
      </c>
      <c r="Z884" t="s">
        <v>51</v>
      </c>
      <c r="AA884" t="s">
        <v>40</v>
      </c>
      <c r="AB884">
        <v>1</v>
      </c>
    </row>
    <row r="885" spans="1:28" x14ac:dyDescent="0.3">
      <c r="A885">
        <v>884</v>
      </c>
      <c r="B885" t="s">
        <v>26</v>
      </c>
      <c r="C885" t="s">
        <v>52</v>
      </c>
      <c r="D885" t="s">
        <v>53</v>
      </c>
      <c r="E885">
        <v>18</v>
      </c>
      <c r="F885" t="s">
        <v>29</v>
      </c>
      <c r="G885" t="s">
        <v>30</v>
      </c>
      <c r="H885">
        <v>1098</v>
      </c>
      <c r="I885" t="s">
        <v>45</v>
      </c>
      <c r="J885" t="s">
        <v>46</v>
      </c>
      <c r="K885" t="s">
        <v>74</v>
      </c>
      <c r="L885" t="s">
        <v>74</v>
      </c>
      <c r="M885">
        <v>4</v>
      </c>
      <c r="N885" t="s">
        <v>49</v>
      </c>
      <c r="O885" t="s">
        <v>50</v>
      </c>
      <c r="P885" t="s">
        <v>36</v>
      </c>
      <c r="Q885">
        <v>4</v>
      </c>
      <c r="R885" t="s">
        <v>68</v>
      </c>
      <c r="S885">
        <v>65</v>
      </c>
      <c r="T885" t="s">
        <v>95</v>
      </c>
      <c r="U885" t="s">
        <v>36</v>
      </c>
      <c r="V885" t="s">
        <v>38</v>
      </c>
      <c r="W885">
        <v>2</v>
      </c>
      <c r="X885" t="s">
        <v>90</v>
      </c>
      <c r="Y885">
        <v>1</v>
      </c>
      <c r="Z885" t="s">
        <v>51</v>
      </c>
      <c r="AA885" t="s">
        <v>40</v>
      </c>
      <c r="AB885">
        <v>1</v>
      </c>
    </row>
    <row r="886" spans="1:28" x14ac:dyDescent="0.3">
      <c r="A886">
        <v>885</v>
      </c>
      <c r="B886" t="s">
        <v>41</v>
      </c>
      <c r="C886" t="s">
        <v>42</v>
      </c>
      <c r="D886" t="s">
        <v>43</v>
      </c>
      <c r="E886">
        <v>24</v>
      </c>
      <c r="F886" t="s">
        <v>44</v>
      </c>
      <c r="G886" t="s">
        <v>58</v>
      </c>
      <c r="H886">
        <v>4057</v>
      </c>
      <c r="I886" t="s">
        <v>45</v>
      </c>
      <c r="J886" t="s">
        <v>46</v>
      </c>
      <c r="K886" t="s">
        <v>55</v>
      </c>
      <c r="L886" t="s">
        <v>56</v>
      </c>
      <c r="M886">
        <v>3</v>
      </c>
      <c r="N886" t="s">
        <v>34</v>
      </c>
      <c r="O886" t="s">
        <v>73</v>
      </c>
      <c r="P886" t="s">
        <v>36</v>
      </c>
      <c r="Q886">
        <v>3</v>
      </c>
      <c r="R886" t="s">
        <v>68</v>
      </c>
      <c r="S886">
        <v>43</v>
      </c>
      <c r="T886" t="s">
        <v>97</v>
      </c>
      <c r="U886" t="s">
        <v>36</v>
      </c>
      <c r="V886" t="s">
        <v>38</v>
      </c>
      <c r="W886">
        <v>1</v>
      </c>
      <c r="X886" t="s">
        <v>39</v>
      </c>
      <c r="Y886">
        <v>1</v>
      </c>
      <c r="Z886" t="s">
        <v>40</v>
      </c>
      <c r="AA886" t="s">
        <v>40</v>
      </c>
      <c r="AB886">
        <v>2</v>
      </c>
    </row>
    <row r="887" spans="1:28" x14ac:dyDescent="0.3">
      <c r="A887">
        <v>886</v>
      </c>
      <c r="B887" t="s">
        <v>41</v>
      </c>
      <c r="C887" t="s">
        <v>27</v>
      </c>
      <c r="D887" t="s">
        <v>28</v>
      </c>
      <c r="E887">
        <v>12</v>
      </c>
      <c r="F887" t="s">
        <v>44</v>
      </c>
      <c r="G887" t="s">
        <v>54</v>
      </c>
      <c r="H887">
        <v>795</v>
      </c>
      <c r="I887" t="s">
        <v>45</v>
      </c>
      <c r="J887" t="s">
        <v>46</v>
      </c>
      <c r="K887" t="s">
        <v>76</v>
      </c>
      <c r="L887" t="s">
        <v>77</v>
      </c>
      <c r="M887">
        <v>4</v>
      </c>
      <c r="N887" t="s">
        <v>49</v>
      </c>
      <c r="O887" t="s">
        <v>50</v>
      </c>
      <c r="P887" t="s">
        <v>36</v>
      </c>
      <c r="Q887">
        <v>4</v>
      </c>
      <c r="R887" t="s">
        <v>60</v>
      </c>
      <c r="S887">
        <v>53</v>
      </c>
      <c r="T887" t="s">
        <v>97</v>
      </c>
      <c r="U887" t="s">
        <v>36</v>
      </c>
      <c r="V887" t="s">
        <v>38</v>
      </c>
      <c r="W887">
        <v>1</v>
      </c>
      <c r="X887" t="s">
        <v>39</v>
      </c>
      <c r="Y887">
        <v>1</v>
      </c>
      <c r="Z887" t="s">
        <v>51</v>
      </c>
      <c r="AA887" t="s">
        <v>40</v>
      </c>
      <c r="AB887">
        <v>2</v>
      </c>
    </row>
    <row r="888" spans="1:28" x14ac:dyDescent="0.3">
      <c r="A888">
        <v>887</v>
      </c>
      <c r="B888" t="s">
        <v>26</v>
      </c>
      <c r="C888" t="s">
        <v>42</v>
      </c>
      <c r="D888" t="s">
        <v>43</v>
      </c>
      <c r="E888">
        <v>24</v>
      </c>
      <c r="F888" t="s">
        <v>29</v>
      </c>
      <c r="G888" t="s">
        <v>78</v>
      </c>
      <c r="H888">
        <v>2825</v>
      </c>
      <c r="I888" t="s">
        <v>31</v>
      </c>
      <c r="J888" t="s">
        <v>31</v>
      </c>
      <c r="K888" t="s">
        <v>55</v>
      </c>
      <c r="L888" t="s">
        <v>56</v>
      </c>
      <c r="M888">
        <v>4</v>
      </c>
      <c r="N888" t="s">
        <v>34</v>
      </c>
      <c r="O888" t="s">
        <v>35</v>
      </c>
      <c r="P888" t="s">
        <v>36</v>
      </c>
      <c r="Q888">
        <v>3</v>
      </c>
      <c r="R888" t="s">
        <v>64</v>
      </c>
      <c r="S888">
        <v>34</v>
      </c>
      <c r="T888" t="s">
        <v>98</v>
      </c>
      <c r="U888" t="s">
        <v>36</v>
      </c>
      <c r="V888" t="s">
        <v>38</v>
      </c>
      <c r="W888">
        <v>2</v>
      </c>
      <c r="X888" t="s">
        <v>39</v>
      </c>
      <c r="Y888">
        <v>2</v>
      </c>
      <c r="Z888" t="s">
        <v>40</v>
      </c>
      <c r="AA888" t="s">
        <v>40</v>
      </c>
      <c r="AB888">
        <v>1</v>
      </c>
    </row>
    <row r="889" spans="1:28" x14ac:dyDescent="0.3">
      <c r="A889">
        <v>888</v>
      </c>
      <c r="B889" t="s">
        <v>41</v>
      </c>
      <c r="C889" t="s">
        <v>42</v>
      </c>
      <c r="D889" t="s">
        <v>43</v>
      </c>
      <c r="E889">
        <v>48</v>
      </c>
      <c r="F889" t="s">
        <v>44</v>
      </c>
      <c r="G889" t="s">
        <v>78</v>
      </c>
      <c r="H889">
        <v>15672</v>
      </c>
      <c r="I889" t="s">
        <v>45</v>
      </c>
      <c r="J889" t="s">
        <v>46</v>
      </c>
      <c r="K889" t="s">
        <v>47</v>
      </c>
      <c r="L889" t="s">
        <v>48</v>
      </c>
      <c r="M889">
        <v>2</v>
      </c>
      <c r="N889" t="s">
        <v>34</v>
      </c>
      <c r="O889" t="s">
        <v>35</v>
      </c>
      <c r="P889" t="s">
        <v>36</v>
      </c>
      <c r="Q889">
        <v>2</v>
      </c>
      <c r="R889" t="s">
        <v>68</v>
      </c>
      <c r="S889">
        <v>23</v>
      </c>
      <c r="T889" t="s">
        <v>96</v>
      </c>
      <c r="U889" t="s">
        <v>36</v>
      </c>
      <c r="V889" t="s">
        <v>38</v>
      </c>
      <c r="W889">
        <v>1</v>
      </c>
      <c r="X889" t="s">
        <v>39</v>
      </c>
      <c r="Y889">
        <v>1</v>
      </c>
      <c r="Z889" t="s">
        <v>40</v>
      </c>
      <c r="AA889" t="s">
        <v>40</v>
      </c>
      <c r="AB889">
        <v>2</v>
      </c>
    </row>
    <row r="890" spans="1:28" x14ac:dyDescent="0.3">
      <c r="A890">
        <v>889</v>
      </c>
      <c r="B890" t="s">
        <v>26</v>
      </c>
      <c r="C890" t="s">
        <v>52</v>
      </c>
      <c r="D890" t="s">
        <v>53</v>
      </c>
      <c r="E890">
        <v>36</v>
      </c>
      <c r="F890" t="s">
        <v>29</v>
      </c>
      <c r="G890" t="s">
        <v>63</v>
      </c>
      <c r="H890">
        <v>6614</v>
      </c>
      <c r="I890" t="s">
        <v>45</v>
      </c>
      <c r="J890" t="s">
        <v>46</v>
      </c>
      <c r="K890" t="s">
        <v>32</v>
      </c>
      <c r="L890" t="s">
        <v>33</v>
      </c>
      <c r="M890">
        <v>4</v>
      </c>
      <c r="N890" t="s">
        <v>34</v>
      </c>
      <c r="O890" t="s">
        <v>35</v>
      </c>
      <c r="P890" t="s">
        <v>36</v>
      </c>
      <c r="Q890">
        <v>4</v>
      </c>
      <c r="R890" t="s">
        <v>68</v>
      </c>
      <c r="S890">
        <v>34</v>
      </c>
      <c r="T890" t="s">
        <v>98</v>
      </c>
      <c r="U890" t="s">
        <v>36</v>
      </c>
      <c r="V890" t="s">
        <v>38</v>
      </c>
      <c r="W890">
        <v>2</v>
      </c>
      <c r="X890" t="s">
        <v>70</v>
      </c>
      <c r="Y890">
        <v>1</v>
      </c>
      <c r="Z890" t="s">
        <v>40</v>
      </c>
      <c r="AA890" t="s">
        <v>40</v>
      </c>
      <c r="AB890">
        <v>1</v>
      </c>
    </row>
    <row r="891" spans="1:28" x14ac:dyDescent="0.3">
      <c r="A891">
        <v>890</v>
      </c>
      <c r="B891" t="s">
        <v>26</v>
      </c>
      <c r="C891" t="s">
        <v>52</v>
      </c>
      <c r="D891" t="s">
        <v>53</v>
      </c>
      <c r="E891">
        <v>28</v>
      </c>
      <c r="F891" t="s">
        <v>85</v>
      </c>
      <c r="G891" t="s">
        <v>67</v>
      </c>
      <c r="H891">
        <v>7824</v>
      </c>
      <c r="I891" t="s">
        <v>31</v>
      </c>
      <c r="J891" t="s">
        <v>31</v>
      </c>
      <c r="K891" t="s">
        <v>76</v>
      </c>
      <c r="L891" t="s">
        <v>77</v>
      </c>
      <c r="M891">
        <v>3</v>
      </c>
      <c r="N891" t="s">
        <v>34</v>
      </c>
      <c r="O891" t="s">
        <v>35</v>
      </c>
      <c r="P891" t="s">
        <v>59</v>
      </c>
      <c r="Q891">
        <v>4</v>
      </c>
      <c r="R891" t="s">
        <v>37</v>
      </c>
      <c r="S891">
        <v>40</v>
      </c>
      <c r="T891" t="s">
        <v>97</v>
      </c>
      <c r="U891" t="s">
        <v>82</v>
      </c>
      <c r="V891" t="s">
        <v>69</v>
      </c>
      <c r="W891">
        <v>2</v>
      </c>
      <c r="X891" t="s">
        <v>39</v>
      </c>
      <c r="Y891">
        <v>2</v>
      </c>
      <c r="Z891" t="s">
        <v>40</v>
      </c>
      <c r="AA891" t="s">
        <v>40</v>
      </c>
      <c r="AB891">
        <v>1</v>
      </c>
    </row>
    <row r="892" spans="1:28" x14ac:dyDescent="0.3">
      <c r="A892">
        <v>891</v>
      </c>
      <c r="B892" t="s">
        <v>26</v>
      </c>
      <c r="C892" t="s">
        <v>27</v>
      </c>
      <c r="D892" t="s">
        <v>28</v>
      </c>
      <c r="E892">
        <v>27</v>
      </c>
      <c r="F892" t="s">
        <v>29</v>
      </c>
      <c r="G892" t="s">
        <v>78</v>
      </c>
      <c r="H892">
        <v>2442</v>
      </c>
      <c r="I892" t="s">
        <v>45</v>
      </c>
      <c r="J892" t="s">
        <v>46</v>
      </c>
      <c r="K892" t="s">
        <v>32</v>
      </c>
      <c r="L892" t="s">
        <v>33</v>
      </c>
      <c r="M892">
        <v>4</v>
      </c>
      <c r="N892" t="s">
        <v>34</v>
      </c>
      <c r="O892" t="s">
        <v>35</v>
      </c>
      <c r="P892" t="s">
        <v>36</v>
      </c>
      <c r="Q892">
        <v>4</v>
      </c>
      <c r="R892" t="s">
        <v>68</v>
      </c>
      <c r="S892">
        <v>43</v>
      </c>
      <c r="T892" t="s">
        <v>97</v>
      </c>
      <c r="U892" t="s">
        <v>86</v>
      </c>
      <c r="V892" t="s">
        <v>38</v>
      </c>
      <c r="W892">
        <v>4</v>
      </c>
      <c r="X892" t="s">
        <v>70</v>
      </c>
      <c r="Y892">
        <v>2</v>
      </c>
      <c r="Z892" t="s">
        <v>40</v>
      </c>
      <c r="AA892" t="s">
        <v>40</v>
      </c>
      <c r="AB892">
        <v>1</v>
      </c>
    </row>
    <row r="893" spans="1:28" x14ac:dyDescent="0.3">
      <c r="A893">
        <v>892</v>
      </c>
      <c r="B893" t="s">
        <v>26</v>
      </c>
      <c r="C893" t="s">
        <v>52</v>
      </c>
      <c r="D893" t="s">
        <v>53</v>
      </c>
      <c r="E893">
        <v>15</v>
      </c>
      <c r="F893" t="s">
        <v>29</v>
      </c>
      <c r="G893" t="s">
        <v>30</v>
      </c>
      <c r="H893">
        <v>1829</v>
      </c>
      <c r="I893" t="s">
        <v>45</v>
      </c>
      <c r="J893" t="s">
        <v>46</v>
      </c>
      <c r="K893" t="s">
        <v>32</v>
      </c>
      <c r="L893" t="s">
        <v>33</v>
      </c>
      <c r="M893">
        <v>4</v>
      </c>
      <c r="N893" t="s">
        <v>34</v>
      </c>
      <c r="O893" t="s">
        <v>35</v>
      </c>
      <c r="P893" t="s">
        <v>36</v>
      </c>
      <c r="Q893">
        <v>4</v>
      </c>
      <c r="R893" t="s">
        <v>68</v>
      </c>
      <c r="S893">
        <v>46</v>
      </c>
      <c r="T893" t="s">
        <v>97</v>
      </c>
      <c r="U893" t="s">
        <v>36</v>
      </c>
      <c r="V893" t="s">
        <v>38</v>
      </c>
      <c r="W893">
        <v>2</v>
      </c>
      <c r="X893" t="s">
        <v>39</v>
      </c>
      <c r="Y893">
        <v>1</v>
      </c>
      <c r="Z893" t="s">
        <v>40</v>
      </c>
      <c r="AA893" t="s">
        <v>40</v>
      </c>
      <c r="AB893">
        <v>1</v>
      </c>
    </row>
    <row r="894" spans="1:28" x14ac:dyDescent="0.3">
      <c r="A894">
        <v>893</v>
      </c>
      <c r="B894" t="s">
        <v>26</v>
      </c>
      <c r="C894" t="s">
        <v>27</v>
      </c>
      <c r="D894" t="s">
        <v>28</v>
      </c>
      <c r="E894">
        <v>12</v>
      </c>
      <c r="F894" t="s">
        <v>29</v>
      </c>
      <c r="G894" t="s">
        <v>63</v>
      </c>
      <c r="H894">
        <v>2171</v>
      </c>
      <c r="I894" t="s">
        <v>45</v>
      </c>
      <c r="J894" t="s">
        <v>46</v>
      </c>
      <c r="K894" t="s">
        <v>47</v>
      </c>
      <c r="L894" t="s">
        <v>48</v>
      </c>
      <c r="M894">
        <v>4</v>
      </c>
      <c r="N894" t="s">
        <v>34</v>
      </c>
      <c r="O894" t="s">
        <v>35</v>
      </c>
      <c r="P894" t="s">
        <v>36</v>
      </c>
      <c r="Q894">
        <v>4</v>
      </c>
      <c r="R894" t="s">
        <v>60</v>
      </c>
      <c r="S894">
        <v>38</v>
      </c>
      <c r="T894" t="s">
        <v>98</v>
      </c>
      <c r="U894" t="s">
        <v>82</v>
      </c>
      <c r="V894" t="s">
        <v>38</v>
      </c>
      <c r="W894">
        <v>2</v>
      </c>
      <c r="X894" t="s">
        <v>57</v>
      </c>
      <c r="Y894">
        <v>1</v>
      </c>
      <c r="Z894" t="s">
        <v>51</v>
      </c>
      <c r="AA894" t="s">
        <v>51</v>
      </c>
      <c r="AB894">
        <v>1</v>
      </c>
    </row>
    <row r="895" spans="1:28" x14ac:dyDescent="0.3">
      <c r="A895">
        <v>894</v>
      </c>
      <c r="B895" t="s">
        <v>26</v>
      </c>
      <c r="C895" t="s">
        <v>42</v>
      </c>
      <c r="D895" t="s">
        <v>43</v>
      </c>
      <c r="E895">
        <v>36</v>
      </c>
      <c r="F895" t="s">
        <v>29</v>
      </c>
      <c r="G895" t="s">
        <v>67</v>
      </c>
      <c r="H895">
        <v>5800</v>
      </c>
      <c r="I895" t="s">
        <v>45</v>
      </c>
      <c r="J895" t="s">
        <v>46</v>
      </c>
      <c r="K895" t="s">
        <v>47</v>
      </c>
      <c r="L895" t="s">
        <v>48</v>
      </c>
      <c r="M895">
        <v>3</v>
      </c>
      <c r="N895" t="s">
        <v>34</v>
      </c>
      <c r="O895" t="s">
        <v>35</v>
      </c>
      <c r="P895" t="s">
        <v>36</v>
      </c>
      <c r="Q895">
        <v>4</v>
      </c>
      <c r="R895" t="s">
        <v>68</v>
      </c>
      <c r="S895">
        <v>34</v>
      </c>
      <c r="T895" t="s">
        <v>98</v>
      </c>
      <c r="U895" t="s">
        <v>36</v>
      </c>
      <c r="V895" t="s">
        <v>38</v>
      </c>
      <c r="W895">
        <v>2</v>
      </c>
      <c r="X895" t="s">
        <v>39</v>
      </c>
      <c r="Y895">
        <v>1</v>
      </c>
      <c r="Z895" t="s">
        <v>40</v>
      </c>
      <c r="AA895" t="s">
        <v>40</v>
      </c>
      <c r="AB895">
        <v>1</v>
      </c>
    </row>
    <row r="896" spans="1:28" x14ac:dyDescent="0.3">
      <c r="A896">
        <v>895</v>
      </c>
      <c r="B896" t="s">
        <v>26</v>
      </c>
      <c r="C896" t="s">
        <v>52</v>
      </c>
      <c r="D896" t="s">
        <v>53</v>
      </c>
      <c r="E896">
        <v>18</v>
      </c>
      <c r="F896" t="s">
        <v>29</v>
      </c>
      <c r="G896" t="s">
        <v>30</v>
      </c>
      <c r="H896">
        <v>1169</v>
      </c>
      <c r="I896" t="s">
        <v>31</v>
      </c>
      <c r="J896" t="s">
        <v>31</v>
      </c>
      <c r="K896" t="s">
        <v>47</v>
      </c>
      <c r="L896" t="s">
        <v>48</v>
      </c>
      <c r="M896">
        <v>4</v>
      </c>
      <c r="N896" t="s">
        <v>34</v>
      </c>
      <c r="O896" t="s">
        <v>35</v>
      </c>
      <c r="P896" t="s">
        <v>36</v>
      </c>
      <c r="Q896">
        <v>3</v>
      </c>
      <c r="R896" t="s">
        <v>60</v>
      </c>
      <c r="S896">
        <v>29</v>
      </c>
      <c r="T896" t="s">
        <v>98</v>
      </c>
      <c r="U896" t="s">
        <v>36</v>
      </c>
      <c r="V896" t="s">
        <v>38</v>
      </c>
      <c r="W896">
        <v>2</v>
      </c>
      <c r="X896" t="s">
        <v>39</v>
      </c>
      <c r="Y896">
        <v>1</v>
      </c>
      <c r="Z896" t="s">
        <v>40</v>
      </c>
      <c r="AA896" t="s">
        <v>40</v>
      </c>
      <c r="AB896">
        <v>1</v>
      </c>
    </row>
    <row r="897" spans="1:28" x14ac:dyDescent="0.3">
      <c r="A897">
        <v>896</v>
      </c>
      <c r="B897" t="s">
        <v>26</v>
      </c>
      <c r="C897" t="s">
        <v>52</v>
      </c>
      <c r="D897" t="s">
        <v>53</v>
      </c>
      <c r="E897">
        <v>36</v>
      </c>
      <c r="F897" t="s">
        <v>62</v>
      </c>
      <c r="G897" t="s">
        <v>67</v>
      </c>
      <c r="H897">
        <v>8947</v>
      </c>
      <c r="I897" t="s">
        <v>31</v>
      </c>
      <c r="J897" t="s">
        <v>31</v>
      </c>
      <c r="K897" t="s">
        <v>55</v>
      </c>
      <c r="L897" t="s">
        <v>56</v>
      </c>
      <c r="M897">
        <v>3</v>
      </c>
      <c r="N897" t="s">
        <v>34</v>
      </c>
      <c r="O897" t="s">
        <v>35</v>
      </c>
      <c r="P897" t="s">
        <v>36</v>
      </c>
      <c r="Q897">
        <v>2</v>
      </c>
      <c r="R897" t="s">
        <v>68</v>
      </c>
      <c r="S897">
        <v>31</v>
      </c>
      <c r="T897" t="s">
        <v>98</v>
      </c>
      <c r="U897" t="s">
        <v>86</v>
      </c>
      <c r="V897" t="s">
        <v>38</v>
      </c>
      <c r="W897">
        <v>1</v>
      </c>
      <c r="X897" t="s">
        <v>70</v>
      </c>
      <c r="Y897">
        <v>2</v>
      </c>
      <c r="Z897" t="s">
        <v>40</v>
      </c>
      <c r="AA897" t="s">
        <v>40</v>
      </c>
      <c r="AB897">
        <v>1</v>
      </c>
    </row>
    <row r="898" spans="1:28" x14ac:dyDescent="0.3">
      <c r="A898">
        <v>897</v>
      </c>
      <c r="B898" t="s">
        <v>26</v>
      </c>
      <c r="C898" t="s">
        <v>27</v>
      </c>
      <c r="D898" t="s">
        <v>28</v>
      </c>
      <c r="E898">
        <v>21</v>
      </c>
      <c r="F898" t="s">
        <v>44</v>
      </c>
      <c r="G898" t="s">
        <v>30</v>
      </c>
      <c r="H898">
        <v>2606</v>
      </c>
      <c r="I898" t="s">
        <v>45</v>
      </c>
      <c r="J898" t="s">
        <v>46</v>
      </c>
      <c r="K898" t="s">
        <v>76</v>
      </c>
      <c r="L898" t="s">
        <v>77</v>
      </c>
      <c r="M898">
        <v>4</v>
      </c>
      <c r="N898" t="s">
        <v>49</v>
      </c>
      <c r="O898" t="s">
        <v>50</v>
      </c>
      <c r="P898" t="s">
        <v>36</v>
      </c>
      <c r="Q898">
        <v>4</v>
      </c>
      <c r="R898" t="s">
        <v>60</v>
      </c>
      <c r="S898">
        <v>28</v>
      </c>
      <c r="T898" t="s">
        <v>98</v>
      </c>
      <c r="U898" t="s">
        <v>36</v>
      </c>
      <c r="V898" t="s">
        <v>69</v>
      </c>
      <c r="W898">
        <v>1</v>
      </c>
      <c r="X898" t="s">
        <v>70</v>
      </c>
      <c r="Y898">
        <v>1</v>
      </c>
      <c r="Z898" t="s">
        <v>40</v>
      </c>
      <c r="AA898" t="s">
        <v>40</v>
      </c>
      <c r="AB898">
        <v>1</v>
      </c>
    </row>
    <row r="899" spans="1:28" x14ac:dyDescent="0.3">
      <c r="A899">
        <v>898</v>
      </c>
      <c r="B899" t="s">
        <v>26</v>
      </c>
      <c r="C899" t="s">
        <v>52</v>
      </c>
      <c r="D899" t="s">
        <v>53</v>
      </c>
      <c r="E899">
        <v>12</v>
      </c>
      <c r="F899" t="s">
        <v>29</v>
      </c>
      <c r="G899" t="s">
        <v>58</v>
      </c>
      <c r="H899">
        <v>1592</v>
      </c>
      <c r="I899" t="s">
        <v>71</v>
      </c>
      <c r="J899" t="s">
        <v>72</v>
      </c>
      <c r="K899" t="s">
        <v>55</v>
      </c>
      <c r="L899" t="s">
        <v>56</v>
      </c>
      <c r="M899">
        <v>3</v>
      </c>
      <c r="N899" t="s">
        <v>49</v>
      </c>
      <c r="O899" t="s">
        <v>50</v>
      </c>
      <c r="P899" t="s">
        <v>36</v>
      </c>
      <c r="Q899">
        <v>2</v>
      </c>
      <c r="R899" t="s">
        <v>60</v>
      </c>
      <c r="S899">
        <v>35</v>
      </c>
      <c r="T899" t="s">
        <v>98</v>
      </c>
      <c r="U899" t="s">
        <v>36</v>
      </c>
      <c r="V899" t="s">
        <v>38</v>
      </c>
      <c r="W899">
        <v>1</v>
      </c>
      <c r="X899" t="s">
        <v>39</v>
      </c>
      <c r="Y899">
        <v>1</v>
      </c>
      <c r="Z899" t="s">
        <v>51</v>
      </c>
      <c r="AA899" t="s">
        <v>51</v>
      </c>
      <c r="AB899">
        <v>1</v>
      </c>
    </row>
    <row r="900" spans="1:28" x14ac:dyDescent="0.3">
      <c r="A900">
        <v>899</v>
      </c>
      <c r="B900" t="s">
        <v>26</v>
      </c>
      <c r="C900" t="s">
        <v>52</v>
      </c>
      <c r="D900" t="s">
        <v>53</v>
      </c>
      <c r="E900">
        <v>15</v>
      </c>
      <c r="F900" t="s">
        <v>44</v>
      </c>
      <c r="G900" t="s">
        <v>58</v>
      </c>
      <c r="H900">
        <v>2186</v>
      </c>
      <c r="I900" t="s">
        <v>31</v>
      </c>
      <c r="J900" t="s">
        <v>31</v>
      </c>
      <c r="K900" t="s">
        <v>55</v>
      </c>
      <c r="L900" t="s">
        <v>56</v>
      </c>
      <c r="M900">
        <v>1</v>
      </c>
      <c r="N900" t="s">
        <v>49</v>
      </c>
      <c r="O900" t="s">
        <v>50</v>
      </c>
      <c r="P900" t="s">
        <v>36</v>
      </c>
      <c r="Q900">
        <v>4</v>
      </c>
      <c r="R900" t="s">
        <v>37</v>
      </c>
      <c r="S900">
        <v>33</v>
      </c>
      <c r="T900" t="s">
        <v>98</v>
      </c>
      <c r="U900" t="s">
        <v>82</v>
      </c>
      <c r="V900" t="s">
        <v>69</v>
      </c>
      <c r="W900">
        <v>1</v>
      </c>
      <c r="X900" t="s">
        <v>57</v>
      </c>
      <c r="Y900">
        <v>1</v>
      </c>
      <c r="Z900" t="s">
        <v>51</v>
      </c>
      <c r="AA900" t="s">
        <v>40</v>
      </c>
      <c r="AB900">
        <v>1</v>
      </c>
    </row>
    <row r="901" spans="1:28" x14ac:dyDescent="0.3">
      <c r="A901">
        <v>900</v>
      </c>
      <c r="B901" t="s">
        <v>41</v>
      </c>
      <c r="C901" t="s">
        <v>27</v>
      </c>
      <c r="D901" t="s">
        <v>28</v>
      </c>
      <c r="E901">
        <v>18</v>
      </c>
      <c r="F901" t="s">
        <v>44</v>
      </c>
      <c r="G901" t="s">
        <v>58</v>
      </c>
      <c r="H901">
        <v>4153</v>
      </c>
      <c r="I901" t="s">
        <v>45</v>
      </c>
      <c r="J901" t="s">
        <v>46</v>
      </c>
      <c r="K901" t="s">
        <v>47</v>
      </c>
      <c r="L901" t="s">
        <v>48</v>
      </c>
      <c r="M901">
        <v>2</v>
      </c>
      <c r="N901" t="s">
        <v>34</v>
      </c>
      <c r="O901" t="s">
        <v>35</v>
      </c>
      <c r="P901" t="s">
        <v>87</v>
      </c>
      <c r="Q901">
        <v>3</v>
      </c>
      <c r="R901" t="s">
        <v>68</v>
      </c>
      <c r="S901">
        <v>42</v>
      </c>
      <c r="T901" t="s">
        <v>97</v>
      </c>
      <c r="U901" t="s">
        <v>36</v>
      </c>
      <c r="V901" t="s">
        <v>38</v>
      </c>
      <c r="W901">
        <v>1</v>
      </c>
      <c r="X901" t="s">
        <v>39</v>
      </c>
      <c r="Y901">
        <v>1</v>
      </c>
      <c r="Z901" t="s">
        <v>51</v>
      </c>
      <c r="AA901" t="s">
        <v>40</v>
      </c>
      <c r="AB901">
        <v>2</v>
      </c>
    </row>
    <row r="902" spans="1:28" x14ac:dyDescent="0.3">
      <c r="A902">
        <v>901</v>
      </c>
      <c r="B902" t="s">
        <v>41</v>
      </c>
      <c r="C902" t="s">
        <v>27</v>
      </c>
      <c r="D902" t="s">
        <v>28</v>
      </c>
      <c r="E902">
        <v>16</v>
      </c>
      <c r="F902" t="s">
        <v>29</v>
      </c>
      <c r="G902" t="s">
        <v>63</v>
      </c>
      <c r="H902">
        <v>2625</v>
      </c>
      <c r="I902" t="s">
        <v>45</v>
      </c>
      <c r="J902" t="s">
        <v>46</v>
      </c>
      <c r="K902" t="s">
        <v>32</v>
      </c>
      <c r="L902" t="s">
        <v>33</v>
      </c>
      <c r="M902">
        <v>2</v>
      </c>
      <c r="N902" t="s">
        <v>34</v>
      </c>
      <c r="O902" t="s">
        <v>35</v>
      </c>
      <c r="P902" t="s">
        <v>59</v>
      </c>
      <c r="Q902">
        <v>4</v>
      </c>
      <c r="R902" t="s">
        <v>60</v>
      </c>
      <c r="S902">
        <v>43</v>
      </c>
      <c r="T902" t="s">
        <v>97</v>
      </c>
      <c r="U902" t="s">
        <v>82</v>
      </c>
      <c r="V902" t="s">
        <v>69</v>
      </c>
      <c r="W902">
        <v>1</v>
      </c>
      <c r="X902" t="s">
        <v>39</v>
      </c>
      <c r="Y902">
        <v>1</v>
      </c>
      <c r="Z902" t="s">
        <v>40</v>
      </c>
      <c r="AA902" t="s">
        <v>40</v>
      </c>
      <c r="AB902">
        <v>2</v>
      </c>
    </row>
    <row r="903" spans="1:28" x14ac:dyDescent="0.3">
      <c r="A903">
        <v>902</v>
      </c>
      <c r="B903" t="s">
        <v>26</v>
      </c>
      <c r="C903" t="s">
        <v>52</v>
      </c>
      <c r="D903" t="s">
        <v>53</v>
      </c>
      <c r="E903">
        <v>20</v>
      </c>
      <c r="F903" t="s">
        <v>29</v>
      </c>
      <c r="G903" t="s">
        <v>63</v>
      </c>
      <c r="H903">
        <v>3485</v>
      </c>
      <c r="I903" t="s">
        <v>31</v>
      </c>
      <c r="J903" t="s">
        <v>31</v>
      </c>
      <c r="K903" t="s">
        <v>76</v>
      </c>
      <c r="L903" t="s">
        <v>77</v>
      </c>
      <c r="M903">
        <v>2</v>
      </c>
      <c r="N903" t="s">
        <v>34</v>
      </c>
      <c r="O903" t="s">
        <v>73</v>
      </c>
      <c r="P903" t="s">
        <v>36</v>
      </c>
      <c r="Q903">
        <v>4</v>
      </c>
      <c r="R903" t="s">
        <v>37</v>
      </c>
      <c r="S903">
        <v>44</v>
      </c>
      <c r="T903" t="s">
        <v>97</v>
      </c>
      <c r="U903" t="s">
        <v>36</v>
      </c>
      <c r="V903" t="s">
        <v>38</v>
      </c>
      <c r="W903">
        <v>2</v>
      </c>
      <c r="X903" t="s">
        <v>39</v>
      </c>
      <c r="Y903">
        <v>1</v>
      </c>
      <c r="Z903" t="s">
        <v>40</v>
      </c>
      <c r="AA903" t="s">
        <v>40</v>
      </c>
      <c r="AB903">
        <v>1</v>
      </c>
    </row>
    <row r="904" spans="1:28" x14ac:dyDescent="0.3">
      <c r="A904">
        <v>903</v>
      </c>
      <c r="B904" t="s">
        <v>26</v>
      </c>
      <c r="C904" t="s">
        <v>52</v>
      </c>
      <c r="D904" t="s">
        <v>53</v>
      </c>
      <c r="E904">
        <v>36</v>
      </c>
      <c r="F904" t="s">
        <v>29</v>
      </c>
      <c r="G904" t="s">
        <v>67</v>
      </c>
      <c r="H904">
        <v>10477</v>
      </c>
      <c r="I904" t="s">
        <v>31</v>
      </c>
      <c r="J904" t="s">
        <v>31</v>
      </c>
      <c r="K904" t="s">
        <v>32</v>
      </c>
      <c r="L904" t="s">
        <v>33</v>
      </c>
      <c r="M904">
        <v>2</v>
      </c>
      <c r="N904" t="s">
        <v>34</v>
      </c>
      <c r="O904" t="s">
        <v>35</v>
      </c>
      <c r="P904" t="s">
        <v>36</v>
      </c>
      <c r="Q904">
        <v>4</v>
      </c>
      <c r="R904" t="s">
        <v>64</v>
      </c>
      <c r="S904">
        <v>42</v>
      </c>
      <c r="T904" t="s">
        <v>97</v>
      </c>
      <c r="U904" t="s">
        <v>36</v>
      </c>
      <c r="V904" t="s">
        <v>61</v>
      </c>
      <c r="W904">
        <v>2</v>
      </c>
      <c r="X904" t="s">
        <v>39</v>
      </c>
      <c r="Y904">
        <v>1</v>
      </c>
      <c r="Z904" t="s">
        <v>51</v>
      </c>
      <c r="AA904" t="s">
        <v>40</v>
      </c>
      <c r="AB904">
        <v>1</v>
      </c>
    </row>
    <row r="905" spans="1:28" x14ac:dyDescent="0.3">
      <c r="A905">
        <v>904</v>
      </c>
      <c r="B905" t="s">
        <v>26</v>
      </c>
      <c r="C905" t="s">
        <v>52</v>
      </c>
      <c r="D905" t="s">
        <v>53</v>
      </c>
      <c r="E905">
        <v>15</v>
      </c>
      <c r="F905" t="s">
        <v>44</v>
      </c>
      <c r="G905" t="s">
        <v>30</v>
      </c>
      <c r="H905">
        <v>1386</v>
      </c>
      <c r="I905" t="s">
        <v>31</v>
      </c>
      <c r="J905" t="s">
        <v>31</v>
      </c>
      <c r="K905" t="s">
        <v>47</v>
      </c>
      <c r="L905" t="s">
        <v>48</v>
      </c>
      <c r="M905">
        <v>4</v>
      </c>
      <c r="N905" t="s">
        <v>34</v>
      </c>
      <c r="O905" t="s">
        <v>75</v>
      </c>
      <c r="P905" t="s">
        <v>36</v>
      </c>
      <c r="Q905">
        <v>2</v>
      </c>
      <c r="R905" t="s">
        <v>37</v>
      </c>
      <c r="S905">
        <v>40</v>
      </c>
      <c r="T905" t="s">
        <v>97</v>
      </c>
      <c r="U905" t="s">
        <v>36</v>
      </c>
      <c r="V905" t="s">
        <v>69</v>
      </c>
      <c r="W905">
        <v>1</v>
      </c>
      <c r="X905" t="s">
        <v>39</v>
      </c>
      <c r="Y905">
        <v>1</v>
      </c>
      <c r="Z905" t="s">
        <v>40</v>
      </c>
      <c r="AA905" t="s">
        <v>40</v>
      </c>
      <c r="AB905">
        <v>1</v>
      </c>
    </row>
    <row r="906" spans="1:28" x14ac:dyDescent="0.3">
      <c r="A906">
        <v>905</v>
      </c>
      <c r="B906" t="s">
        <v>26</v>
      </c>
      <c r="C906" t="s">
        <v>52</v>
      </c>
      <c r="D906" t="s">
        <v>53</v>
      </c>
      <c r="E906">
        <v>24</v>
      </c>
      <c r="F906" t="s">
        <v>44</v>
      </c>
      <c r="G906" t="s">
        <v>30</v>
      </c>
      <c r="H906">
        <v>1278</v>
      </c>
      <c r="I906" t="s">
        <v>45</v>
      </c>
      <c r="J906" t="s">
        <v>46</v>
      </c>
      <c r="K906" t="s">
        <v>32</v>
      </c>
      <c r="L906" t="s">
        <v>33</v>
      </c>
      <c r="M906">
        <v>4</v>
      </c>
      <c r="N906" t="s">
        <v>34</v>
      </c>
      <c r="O906" t="s">
        <v>35</v>
      </c>
      <c r="P906" t="s">
        <v>36</v>
      </c>
      <c r="Q906">
        <v>1</v>
      </c>
      <c r="R906" t="s">
        <v>37</v>
      </c>
      <c r="S906">
        <v>36</v>
      </c>
      <c r="T906" t="s">
        <v>98</v>
      </c>
      <c r="U906" t="s">
        <v>36</v>
      </c>
      <c r="V906" t="s">
        <v>38</v>
      </c>
      <c r="W906">
        <v>1</v>
      </c>
      <c r="X906" t="s">
        <v>70</v>
      </c>
      <c r="Y906">
        <v>1</v>
      </c>
      <c r="Z906" t="s">
        <v>40</v>
      </c>
      <c r="AA906" t="s">
        <v>40</v>
      </c>
      <c r="AB906">
        <v>1</v>
      </c>
    </row>
    <row r="907" spans="1:28" x14ac:dyDescent="0.3">
      <c r="A907">
        <v>906</v>
      </c>
      <c r="B907" t="s">
        <v>26</v>
      </c>
      <c r="C907" t="s">
        <v>27</v>
      </c>
      <c r="D907" t="s">
        <v>28</v>
      </c>
      <c r="E907">
        <v>12</v>
      </c>
      <c r="F907" t="s">
        <v>44</v>
      </c>
      <c r="G907" t="s">
        <v>30</v>
      </c>
      <c r="H907">
        <v>1107</v>
      </c>
      <c r="I907" t="s">
        <v>45</v>
      </c>
      <c r="J907" t="s">
        <v>46</v>
      </c>
      <c r="K907" t="s">
        <v>47</v>
      </c>
      <c r="L907" t="s">
        <v>48</v>
      </c>
      <c r="M907">
        <v>2</v>
      </c>
      <c r="N907" t="s">
        <v>34</v>
      </c>
      <c r="O907" t="s">
        <v>35</v>
      </c>
      <c r="P907" t="s">
        <v>36</v>
      </c>
      <c r="Q907">
        <v>2</v>
      </c>
      <c r="R907" t="s">
        <v>37</v>
      </c>
      <c r="S907">
        <v>20</v>
      </c>
      <c r="T907" t="s">
        <v>96</v>
      </c>
      <c r="U907" t="s">
        <v>36</v>
      </c>
      <c r="V907" t="s">
        <v>69</v>
      </c>
      <c r="W907">
        <v>1</v>
      </c>
      <c r="X907" t="s">
        <v>70</v>
      </c>
      <c r="Y907">
        <v>2</v>
      </c>
      <c r="Z907" t="s">
        <v>40</v>
      </c>
      <c r="AA907" t="s">
        <v>40</v>
      </c>
      <c r="AB907">
        <v>1</v>
      </c>
    </row>
    <row r="908" spans="1:28" x14ac:dyDescent="0.3">
      <c r="A908">
        <v>907</v>
      </c>
      <c r="B908" t="s">
        <v>26</v>
      </c>
      <c r="C908" t="s">
        <v>27</v>
      </c>
      <c r="D908" t="s">
        <v>28</v>
      </c>
      <c r="E908">
        <v>21</v>
      </c>
      <c r="F908" t="s">
        <v>44</v>
      </c>
      <c r="G908" t="s">
        <v>63</v>
      </c>
      <c r="H908">
        <v>3763</v>
      </c>
      <c r="I908" t="s">
        <v>31</v>
      </c>
      <c r="J908" t="s">
        <v>31</v>
      </c>
      <c r="K908" t="s">
        <v>55</v>
      </c>
      <c r="L908" t="s">
        <v>56</v>
      </c>
      <c r="M908">
        <v>2</v>
      </c>
      <c r="N908" t="s">
        <v>34</v>
      </c>
      <c r="O908" t="s">
        <v>35</v>
      </c>
      <c r="P908" t="s">
        <v>87</v>
      </c>
      <c r="Q908">
        <v>2</v>
      </c>
      <c r="R908" t="s">
        <v>37</v>
      </c>
      <c r="S908">
        <v>24</v>
      </c>
      <c r="T908" t="s">
        <v>96</v>
      </c>
      <c r="U908" t="s">
        <v>36</v>
      </c>
      <c r="V908" t="s">
        <v>38</v>
      </c>
      <c r="W908">
        <v>1</v>
      </c>
      <c r="X908" t="s">
        <v>57</v>
      </c>
      <c r="Y908">
        <v>1</v>
      </c>
      <c r="Z908" t="s">
        <v>51</v>
      </c>
      <c r="AA908" t="s">
        <v>51</v>
      </c>
      <c r="AB908">
        <v>1</v>
      </c>
    </row>
    <row r="909" spans="1:28" x14ac:dyDescent="0.3">
      <c r="A909">
        <v>908</v>
      </c>
      <c r="B909" t="s">
        <v>26</v>
      </c>
      <c r="C909" t="s">
        <v>42</v>
      </c>
      <c r="D909" t="s">
        <v>43</v>
      </c>
      <c r="E909">
        <v>36</v>
      </c>
      <c r="F909" t="s">
        <v>44</v>
      </c>
      <c r="G909" t="s">
        <v>54</v>
      </c>
      <c r="H909">
        <v>3711</v>
      </c>
      <c r="I909" t="s">
        <v>31</v>
      </c>
      <c r="J909" t="s">
        <v>31</v>
      </c>
      <c r="K909" t="s">
        <v>47</v>
      </c>
      <c r="L909" t="s">
        <v>48</v>
      </c>
      <c r="M909">
        <v>2</v>
      </c>
      <c r="N909" t="s">
        <v>34</v>
      </c>
      <c r="O909" t="s">
        <v>75</v>
      </c>
      <c r="P909" t="s">
        <v>36</v>
      </c>
      <c r="Q909">
        <v>2</v>
      </c>
      <c r="R909" t="s">
        <v>68</v>
      </c>
      <c r="S909">
        <v>27</v>
      </c>
      <c r="T909" t="s">
        <v>98</v>
      </c>
      <c r="U909" t="s">
        <v>36</v>
      </c>
      <c r="V909" t="s">
        <v>38</v>
      </c>
      <c r="W909">
        <v>1</v>
      </c>
      <c r="X909" t="s">
        <v>39</v>
      </c>
      <c r="Y909">
        <v>1</v>
      </c>
      <c r="Z909" t="s">
        <v>51</v>
      </c>
      <c r="AA909" t="s">
        <v>40</v>
      </c>
      <c r="AB909">
        <v>1</v>
      </c>
    </row>
    <row r="910" spans="1:28" x14ac:dyDescent="0.3">
      <c r="A910">
        <v>909</v>
      </c>
      <c r="B910" t="s">
        <v>26</v>
      </c>
      <c r="C910" t="s">
        <v>52</v>
      </c>
      <c r="D910" t="s">
        <v>53</v>
      </c>
      <c r="E910">
        <v>15</v>
      </c>
      <c r="F910" t="s">
        <v>62</v>
      </c>
      <c r="G910" t="s">
        <v>67</v>
      </c>
      <c r="H910">
        <v>3594</v>
      </c>
      <c r="I910" t="s">
        <v>45</v>
      </c>
      <c r="J910" t="s">
        <v>46</v>
      </c>
      <c r="K910" t="s">
        <v>76</v>
      </c>
      <c r="L910" t="s">
        <v>77</v>
      </c>
      <c r="M910">
        <v>1</v>
      </c>
      <c r="N910" t="s">
        <v>49</v>
      </c>
      <c r="O910" t="s">
        <v>50</v>
      </c>
      <c r="P910" t="s">
        <v>36</v>
      </c>
      <c r="Q910">
        <v>2</v>
      </c>
      <c r="R910" t="s">
        <v>60</v>
      </c>
      <c r="S910">
        <v>46</v>
      </c>
      <c r="T910" t="s">
        <v>97</v>
      </c>
      <c r="U910" t="s">
        <v>36</v>
      </c>
      <c r="V910" t="s">
        <v>38</v>
      </c>
      <c r="W910">
        <v>2</v>
      </c>
      <c r="X910" t="s">
        <v>57</v>
      </c>
      <c r="Y910">
        <v>1</v>
      </c>
      <c r="Z910" t="s">
        <v>51</v>
      </c>
      <c r="AA910" t="s">
        <v>40</v>
      </c>
      <c r="AB910">
        <v>1</v>
      </c>
    </row>
    <row r="911" spans="1:28" x14ac:dyDescent="0.3">
      <c r="A911">
        <v>910</v>
      </c>
      <c r="B911" t="s">
        <v>26</v>
      </c>
      <c r="C911" t="s">
        <v>42</v>
      </c>
      <c r="D911" t="s">
        <v>43</v>
      </c>
      <c r="E911">
        <v>9</v>
      </c>
      <c r="F911" t="s">
        <v>44</v>
      </c>
      <c r="G911" t="s">
        <v>63</v>
      </c>
      <c r="H911">
        <v>3195</v>
      </c>
      <c r="I911" t="s">
        <v>31</v>
      </c>
      <c r="J911" t="s">
        <v>31</v>
      </c>
      <c r="K911" t="s">
        <v>47</v>
      </c>
      <c r="L911" t="s">
        <v>48</v>
      </c>
      <c r="M911">
        <v>1</v>
      </c>
      <c r="N911" t="s">
        <v>49</v>
      </c>
      <c r="O911" t="s">
        <v>50</v>
      </c>
      <c r="P911" t="s">
        <v>36</v>
      </c>
      <c r="Q911">
        <v>2</v>
      </c>
      <c r="R911" t="s">
        <v>37</v>
      </c>
      <c r="S911">
        <v>33</v>
      </c>
      <c r="T911" t="s">
        <v>98</v>
      </c>
      <c r="U911" t="s">
        <v>36</v>
      </c>
      <c r="V911" t="s">
        <v>38</v>
      </c>
      <c r="W911">
        <v>1</v>
      </c>
      <c r="X911" t="s">
        <v>57</v>
      </c>
      <c r="Y911">
        <v>1</v>
      </c>
      <c r="Z911" t="s">
        <v>51</v>
      </c>
      <c r="AA911" t="s">
        <v>40</v>
      </c>
      <c r="AB911">
        <v>1</v>
      </c>
    </row>
    <row r="912" spans="1:28" x14ac:dyDescent="0.3">
      <c r="A912">
        <v>911</v>
      </c>
      <c r="B912" t="s">
        <v>26</v>
      </c>
      <c r="C912" t="s">
        <v>52</v>
      </c>
      <c r="D912" t="s">
        <v>53</v>
      </c>
      <c r="E912">
        <v>36</v>
      </c>
      <c r="F912" t="s">
        <v>62</v>
      </c>
      <c r="G912" t="s">
        <v>30</v>
      </c>
      <c r="H912">
        <v>4454</v>
      </c>
      <c r="I912" t="s">
        <v>45</v>
      </c>
      <c r="J912" t="s">
        <v>46</v>
      </c>
      <c r="K912" t="s">
        <v>47</v>
      </c>
      <c r="L912" t="s">
        <v>48</v>
      </c>
      <c r="M912">
        <v>4</v>
      </c>
      <c r="N912" t="s">
        <v>49</v>
      </c>
      <c r="O912" t="s">
        <v>50</v>
      </c>
      <c r="P912" t="s">
        <v>36</v>
      </c>
      <c r="Q912">
        <v>4</v>
      </c>
      <c r="R912" t="s">
        <v>37</v>
      </c>
      <c r="S912">
        <v>34</v>
      </c>
      <c r="T912" t="s">
        <v>98</v>
      </c>
      <c r="U912" t="s">
        <v>36</v>
      </c>
      <c r="V912" t="s">
        <v>38</v>
      </c>
      <c r="W912">
        <v>2</v>
      </c>
      <c r="X912" t="s">
        <v>39</v>
      </c>
      <c r="Y912">
        <v>1</v>
      </c>
      <c r="Z912" t="s">
        <v>51</v>
      </c>
      <c r="AA912" t="s">
        <v>40</v>
      </c>
      <c r="AB912">
        <v>1</v>
      </c>
    </row>
    <row r="913" spans="1:28" x14ac:dyDescent="0.3">
      <c r="A913">
        <v>912</v>
      </c>
      <c r="B913" t="s">
        <v>41</v>
      </c>
      <c r="C913" t="s">
        <v>42</v>
      </c>
      <c r="D913" t="s">
        <v>43</v>
      </c>
      <c r="E913">
        <v>24</v>
      </c>
      <c r="F913" t="s">
        <v>29</v>
      </c>
      <c r="G913" t="s">
        <v>58</v>
      </c>
      <c r="H913">
        <v>4736</v>
      </c>
      <c r="I913" t="s">
        <v>45</v>
      </c>
      <c r="J913" t="s">
        <v>46</v>
      </c>
      <c r="K913" t="s">
        <v>76</v>
      </c>
      <c r="L913" t="s">
        <v>77</v>
      </c>
      <c r="M913">
        <v>2</v>
      </c>
      <c r="N913" t="s">
        <v>49</v>
      </c>
      <c r="O913" t="s">
        <v>50</v>
      </c>
      <c r="P913" t="s">
        <v>36</v>
      </c>
      <c r="Q913">
        <v>4</v>
      </c>
      <c r="R913" t="s">
        <v>68</v>
      </c>
      <c r="S913">
        <v>25</v>
      </c>
      <c r="T913" t="s">
        <v>98</v>
      </c>
      <c r="U913" t="s">
        <v>82</v>
      </c>
      <c r="V913" t="s">
        <v>38</v>
      </c>
      <c r="W913">
        <v>1</v>
      </c>
      <c r="X913" t="s">
        <v>57</v>
      </c>
      <c r="Y913">
        <v>1</v>
      </c>
      <c r="Z913" t="s">
        <v>51</v>
      </c>
      <c r="AA913" t="s">
        <v>40</v>
      </c>
      <c r="AB913">
        <v>2</v>
      </c>
    </row>
    <row r="914" spans="1:28" x14ac:dyDescent="0.3">
      <c r="A914">
        <v>913</v>
      </c>
      <c r="B914" t="s">
        <v>26</v>
      </c>
      <c r="C914" t="s">
        <v>42</v>
      </c>
      <c r="D914" t="s">
        <v>43</v>
      </c>
      <c r="E914">
        <v>30</v>
      </c>
      <c r="F914" t="s">
        <v>44</v>
      </c>
      <c r="G914" t="s">
        <v>30</v>
      </c>
      <c r="H914">
        <v>2991</v>
      </c>
      <c r="I914" t="s">
        <v>31</v>
      </c>
      <c r="J914" t="s">
        <v>31</v>
      </c>
      <c r="K914" t="s">
        <v>32</v>
      </c>
      <c r="L914" t="s">
        <v>33</v>
      </c>
      <c r="M914">
        <v>2</v>
      </c>
      <c r="N914" t="s">
        <v>49</v>
      </c>
      <c r="O914" t="s">
        <v>50</v>
      </c>
      <c r="P914" t="s">
        <v>36</v>
      </c>
      <c r="Q914">
        <v>4</v>
      </c>
      <c r="R914" t="s">
        <v>68</v>
      </c>
      <c r="S914">
        <v>25</v>
      </c>
      <c r="T914" t="s">
        <v>98</v>
      </c>
      <c r="U914" t="s">
        <v>36</v>
      </c>
      <c r="V914" t="s">
        <v>38</v>
      </c>
      <c r="W914">
        <v>1</v>
      </c>
      <c r="X914" t="s">
        <v>39</v>
      </c>
      <c r="Y914">
        <v>1</v>
      </c>
      <c r="Z914" t="s">
        <v>51</v>
      </c>
      <c r="AA914" t="s">
        <v>40</v>
      </c>
      <c r="AB914">
        <v>1</v>
      </c>
    </row>
    <row r="915" spans="1:28" x14ac:dyDescent="0.3">
      <c r="A915">
        <v>914</v>
      </c>
      <c r="B915" t="s">
        <v>26</v>
      </c>
      <c r="C915" t="s">
        <v>52</v>
      </c>
      <c r="D915" t="s">
        <v>53</v>
      </c>
      <c r="E915">
        <v>11</v>
      </c>
      <c r="F915" t="s">
        <v>44</v>
      </c>
      <c r="G915" t="s">
        <v>78</v>
      </c>
      <c r="H915">
        <v>2142</v>
      </c>
      <c r="I915" t="s">
        <v>71</v>
      </c>
      <c r="J915" t="s">
        <v>72</v>
      </c>
      <c r="K915" t="s">
        <v>32</v>
      </c>
      <c r="L915" t="s">
        <v>33</v>
      </c>
      <c r="M915">
        <v>1</v>
      </c>
      <c r="N915" t="s">
        <v>34</v>
      </c>
      <c r="O915" t="s">
        <v>73</v>
      </c>
      <c r="P915" t="s">
        <v>36</v>
      </c>
      <c r="Q915">
        <v>2</v>
      </c>
      <c r="R915" t="s">
        <v>37</v>
      </c>
      <c r="S915">
        <v>28</v>
      </c>
      <c r="T915" t="s">
        <v>98</v>
      </c>
      <c r="U915" t="s">
        <v>36</v>
      </c>
      <c r="V915" t="s">
        <v>38</v>
      </c>
      <c r="W915">
        <v>1</v>
      </c>
      <c r="X915" t="s">
        <v>39</v>
      </c>
      <c r="Y915">
        <v>1</v>
      </c>
      <c r="Z915" t="s">
        <v>40</v>
      </c>
      <c r="AA915" t="s">
        <v>40</v>
      </c>
      <c r="AB915">
        <v>1</v>
      </c>
    </row>
    <row r="916" spans="1:28" x14ac:dyDescent="0.3">
      <c r="A916">
        <v>915</v>
      </c>
      <c r="B916" t="s">
        <v>41</v>
      </c>
      <c r="C916" t="s">
        <v>27</v>
      </c>
      <c r="D916" t="s">
        <v>28</v>
      </c>
      <c r="E916">
        <v>24</v>
      </c>
      <c r="F916" t="s">
        <v>85</v>
      </c>
      <c r="G916" t="s">
        <v>78</v>
      </c>
      <c r="H916">
        <v>3161</v>
      </c>
      <c r="I916" t="s">
        <v>45</v>
      </c>
      <c r="J916" t="s">
        <v>46</v>
      </c>
      <c r="K916" t="s">
        <v>47</v>
      </c>
      <c r="L916" t="s">
        <v>48</v>
      </c>
      <c r="M916">
        <v>4</v>
      </c>
      <c r="N916" t="s">
        <v>34</v>
      </c>
      <c r="O916" t="s">
        <v>35</v>
      </c>
      <c r="P916" t="s">
        <v>36</v>
      </c>
      <c r="Q916">
        <v>2</v>
      </c>
      <c r="R916" t="s">
        <v>60</v>
      </c>
      <c r="S916">
        <v>31</v>
      </c>
      <c r="T916" t="s">
        <v>98</v>
      </c>
      <c r="U916" t="s">
        <v>36</v>
      </c>
      <c r="V916" t="s">
        <v>69</v>
      </c>
      <c r="W916">
        <v>1</v>
      </c>
      <c r="X916" t="s">
        <v>39</v>
      </c>
      <c r="Y916">
        <v>1</v>
      </c>
      <c r="Z916" t="s">
        <v>40</v>
      </c>
      <c r="AA916" t="s">
        <v>40</v>
      </c>
      <c r="AB916">
        <v>2</v>
      </c>
    </row>
    <row r="917" spans="1:28" x14ac:dyDescent="0.3">
      <c r="A917">
        <v>916</v>
      </c>
      <c r="B917" t="s">
        <v>41</v>
      </c>
      <c r="C917" t="s">
        <v>42</v>
      </c>
      <c r="D917" t="s">
        <v>43</v>
      </c>
      <c r="E917">
        <v>48</v>
      </c>
      <c r="F917" t="s">
        <v>81</v>
      </c>
      <c r="G917" t="s">
        <v>91</v>
      </c>
      <c r="H917">
        <v>18424</v>
      </c>
      <c r="I917" t="s">
        <v>45</v>
      </c>
      <c r="J917" t="s">
        <v>46</v>
      </c>
      <c r="K917" t="s">
        <v>47</v>
      </c>
      <c r="L917" t="s">
        <v>48</v>
      </c>
      <c r="M917">
        <v>1</v>
      </c>
      <c r="N917" t="s">
        <v>49</v>
      </c>
      <c r="O917" t="s">
        <v>50</v>
      </c>
      <c r="P917" t="s">
        <v>36</v>
      </c>
      <c r="Q917">
        <v>2</v>
      </c>
      <c r="R917" t="s">
        <v>60</v>
      </c>
      <c r="S917">
        <v>32</v>
      </c>
      <c r="T917" t="s">
        <v>98</v>
      </c>
      <c r="U917" t="s">
        <v>82</v>
      </c>
      <c r="V917" t="s">
        <v>38</v>
      </c>
      <c r="W917">
        <v>1</v>
      </c>
      <c r="X917" t="s">
        <v>70</v>
      </c>
      <c r="Y917">
        <v>1</v>
      </c>
      <c r="Z917" t="s">
        <v>40</v>
      </c>
      <c r="AA917" t="s">
        <v>51</v>
      </c>
      <c r="AB917">
        <v>2</v>
      </c>
    </row>
    <row r="918" spans="1:28" x14ac:dyDescent="0.3">
      <c r="A918">
        <v>917</v>
      </c>
      <c r="B918" t="s">
        <v>26</v>
      </c>
      <c r="C918" t="s">
        <v>52</v>
      </c>
      <c r="D918" t="s">
        <v>53</v>
      </c>
      <c r="E918">
        <v>10</v>
      </c>
      <c r="F918" t="s">
        <v>44</v>
      </c>
      <c r="G918" t="s">
        <v>67</v>
      </c>
      <c r="H918">
        <v>2848</v>
      </c>
      <c r="I918" t="s">
        <v>79</v>
      </c>
      <c r="J918" t="s">
        <v>80</v>
      </c>
      <c r="K918" t="s">
        <v>47</v>
      </c>
      <c r="L918" t="s">
        <v>48</v>
      </c>
      <c r="M918">
        <v>1</v>
      </c>
      <c r="N918" t="s">
        <v>34</v>
      </c>
      <c r="O918" t="s">
        <v>35</v>
      </c>
      <c r="P918" t="s">
        <v>87</v>
      </c>
      <c r="Q918">
        <v>2</v>
      </c>
      <c r="R918" t="s">
        <v>37</v>
      </c>
      <c r="S918">
        <v>32</v>
      </c>
      <c r="T918" t="s">
        <v>98</v>
      </c>
      <c r="U918" t="s">
        <v>36</v>
      </c>
      <c r="V918" t="s">
        <v>38</v>
      </c>
      <c r="W918">
        <v>1</v>
      </c>
      <c r="X918" t="s">
        <v>39</v>
      </c>
      <c r="Y918">
        <v>2</v>
      </c>
      <c r="Z918" t="s">
        <v>51</v>
      </c>
      <c r="AA918" t="s">
        <v>40</v>
      </c>
      <c r="AB918">
        <v>1</v>
      </c>
    </row>
    <row r="919" spans="1:28" x14ac:dyDescent="0.3">
      <c r="A919">
        <v>918</v>
      </c>
      <c r="B919" t="s">
        <v>41</v>
      </c>
      <c r="C919" t="s">
        <v>27</v>
      </c>
      <c r="D919" t="s">
        <v>28</v>
      </c>
      <c r="E919">
        <v>6</v>
      </c>
      <c r="F919" t="s">
        <v>44</v>
      </c>
      <c r="G919" t="s">
        <v>63</v>
      </c>
      <c r="H919">
        <v>14896</v>
      </c>
      <c r="I919" t="s">
        <v>45</v>
      </c>
      <c r="J919" t="s">
        <v>46</v>
      </c>
      <c r="K919" t="s">
        <v>32</v>
      </c>
      <c r="L919" t="s">
        <v>33</v>
      </c>
      <c r="M919">
        <v>1</v>
      </c>
      <c r="N919" t="s">
        <v>34</v>
      </c>
      <c r="O919" t="s">
        <v>35</v>
      </c>
      <c r="P919" t="s">
        <v>36</v>
      </c>
      <c r="Q919">
        <v>4</v>
      </c>
      <c r="R919" t="s">
        <v>64</v>
      </c>
      <c r="S919">
        <v>68</v>
      </c>
      <c r="T919" t="s">
        <v>95</v>
      </c>
      <c r="U919" t="s">
        <v>82</v>
      </c>
      <c r="V919" t="s">
        <v>38</v>
      </c>
      <c r="W919">
        <v>1</v>
      </c>
      <c r="X919" t="s">
        <v>70</v>
      </c>
      <c r="Y919">
        <v>1</v>
      </c>
      <c r="Z919" t="s">
        <v>40</v>
      </c>
      <c r="AA919" t="s">
        <v>40</v>
      </c>
      <c r="AB919">
        <v>2</v>
      </c>
    </row>
    <row r="920" spans="1:28" x14ac:dyDescent="0.3">
      <c r="A920">
        <v>919</v>
      </c>
      <c r="B920" t="s">
        <v>41</v>
      </c>
      <c r="C920" t="s">
        <v>27</v>
      </c>
      <c r="D920" t="s">
        <v>28</v>
      </c>
      <c r="E920">
        <v>24</v>
      </c>
      <c r="F920" t="s">
        <v>44</v>
      </c>
      <c r="G920" t="s">
        <v>58</v>
      </c>
      <c r="H920">
        <v>2359</v>
      </c>
      <c r="I920" t="s">
        <v>79</v>
      </c>
      <c r="J920" t="s">
        <v>80</v>
      </c>
      <c r="K920" t="s">
        <v>74</v>
      </c>
      <c r="L920" t="s">
        <v>74</v>
      </c>
      <c r="M920">
        <v>1</v>
      </c>
      <c r="N920" t="s">
        <v>34</v>
      </c>
      <c r="O920" t="s">
        <v>73</v>
      </c>
      <c r="P920" t="s">
        <v>36</v>
      </c>
      <c r="Q920">
        <v>1</v>
      </c>
      <c r="R920" t="s">
        <v>60</v>
      </c>
      <c r="S920">
        <v>33</v>
      </c>
      <c r="T920" t="s">
        <v>98</v>
      </c>
      <c r="U920" t="s">
        <v>36</v>
      </c>
      <c r="V920" t="s">
        <v>38</v>
      </c>
      <c r="W920">
        <v>1</v>
      </c>
      <c r="X920" t="s">
        <v>39</v>
      </c>
      <c r="Y920">
        <v>1</v>
      </c>
      <c r="Z920" t="s">
        <v>51</v>
      </c>
      <c r="AA920" t="s">
        <v>40</v>
      </c>
      <c r="AB920">
        <v>2</v>
      </c>
    </row>
    <row r="921" spans="1:28" x14ac:dyDescent="0.3">
      <c r="A921">
        <v>920</v>
      </c>
      <c r="B921" t="s">
        <v>41</v>
      </c>
      <c r="C921" t="s">
        <v>27</v>
      </c>
      <c r="D921" t="s">
        <v>28</v>
      </c>
      <c r="E921">
        <v>24</v>
      </c>
      <c r="F921" t="s">
        <v>44</v>
      </c>
      <c r="G921" t="s">
        <v>58</v>
      </c>
      <c r="H921">
        <v>3345</v>
      </c>
      <c r="I921" t="s">
        <v>45</v>
      </c>
      <c r="J921" t="s">
        <v>46</v>
      </c>
      <c r="K921" t="s">
        <v>32</v>
      </c>
      <c r="L921" t="s">
        <v>33</v>
      </c>
      <c r="M921">
        <v>4</v>
      </c>
      <c r="N921" t="s">
        <v>34</v>
      </c>
      <c r="O921" t="s">
        <v>35</v>
      </c>
      <c r="P921" t="s">
        <v>36</v>
      </c>
      <c r="Q921">
        <v>2</v>
      </c>
      <c r="R921" t="s">
        <v>60</v>
      </c>
      <c r="S921">
        <v>39</v>
      </c>
      <c r="T921" t="s">
        <v>98</v>
      </c>
      <c r="U921" t="s">
        <v>36</v>
      </c>
      <c r="V921" t="s">
        <v>69</v>
      </c>
      <c r="W921">
        <v>1</v>
      </c>
      <c r="X921" t="s">
        <v>70</v>
      </c>
      <c r="Y921">
        <v>1</v>
      </c>
      <c r="Z921" t="s">
        <v>40</v>
      </c>
      <c r="AA921" t="s">
        <v>40</v>
      </c>
      <c r="AB921">
        <v>2</v>
      </c>
    </row>
    <row r="922" spans="1:28" x14ac:dyDescent="0.3">
      <c r="A922">
        <v>921</v>
      </c>
      <c r="B922" t="s">
        <v>26</v>
      </c>
      <c r="C922" t="s">
        <v>52</v>
      </c>
      <c r="D922" t="s">
        <v>53</v>
      </c>
      <c r="E922">
        <v>18</v>
      </c>
      <c r="F922" t="s">
        <v>29</v>
      </c>
      <c r="G922" t="s">
        <v>58</v>
      </c>
      <c r="H922">
        <v>1817</v>
      </c>
      <c r="I922" t="s">
        <v>45</v>
      </c>
      <c r="J922" t="s">
        <v>46</v>
      </c>
      <c r="K922" t="s">
        <v>47</v>
      </c>
      <c r="L922" t="s">
        <v>48</v>
      </c>
      <c r="M922">
        <v>4</v>
      </c>
      <c r="N922" t="s">
        <v>49</v>
      </c>
      <c r="O922" t="s">
        <v>50</v>
      </c>
      <c r="P922" t="s">
        <v>36</v>
      </c>
      <c r="Q922">
        <v>2</v>
      </c>
      <c r="R922" t="s">
        <v>64</v>
      </c>
      <c r="S922">
        <v>28</v>
      </c>
      <c r="T922" t="s">
        <v>98</v>
      </c>
      <c r="U922" t="s">
        <v>36</v>
      </c>
      <c r="V922" t="s">
        <v>38</v>
      </c>
      <c r="W922">
        <v>2</v>
      </c>
      <c r="X922" t="s">
        <v>39</v>
      </c>
      <c r="Y922">
        <v>1</v>
      </c>
      <c r="Z922" t="s">
        <v>51</v>
      </c>
      <c r="AA922" t="s">
        <v>40</v>
      </c>
      <c r="AB922">
        <v>1</v>
      </c>
    </row>
    <row r="923" spans="1:28" x14ac:dyDescent="0.3">
      <c r="A923">
        <v>922</v>
      </c>
      <c r="B923" t="s">
        <v>26</v>
      </c>
      <c r="C923" t="s">
        <v>52</v>
      </c>
      <c r="D923" t="s">
        <v>53</v>
      </c>
      <c r="E923">
        <v>48</v>
      </c>
      <c r="F923" t="s">
        <v>62</v>
      </c>
      <c r="G923" t="s">
        <v>30</v>
      </c>
      <c r="H923">
        <v>12749</v>
      </c>
      <c r="I923" t="s">
        <v>65</v>
      </c>
      <c r="J923" t="s">
        <v>66</v>
      </c>
      <c r="K923" t="s">
        <v>55</v>
      </c>
      <c r="L923" t="s">
        <v>56</v>
      </c>
      <c r="M923">
        <v>4</v>
      </c>
      <c r="N923" t="s">
        <v>34</v>
      </c>
      <c r="O923" t="s">
        <v>35</v>
      </c>
      <c r="P923" t="s">
        <v>36</v>
      </c>
      <c r="Q923">
        <v>1</v>
      </c>
      <c r="R923" t="s">
        <v>68</v>
      </c>
      <c r="S923">
        <v>37</v>
      </c>
      <c r="T923" t="s">
        <v>98</v>
      </c>
      <c r="U923" t="s">
        <v>36</v>
      </c>
      <c r="V923" t="s">
        <v>38</v>
      </c>
      <c r="W923">
        <v>1</v>
      </c>
      <c r="X923" t="s">
        <v>70</v>
      </c>
      <c r="Y923">
        <v>1</v>
      </c>
      <c r="Z923" t="s">
        <v>40</v>
      </c>
      <c r="AA923" t="s">
        <v>40</v>
      </c>
      <c r="AB923">
        <v>1</v>
      </c>
    </row>
    <row r="924" spans="1:28" x14ac:dyDescent="0.3">
      <c r="A924">
        <v>923</v>
      </c>
      <c r="B924" t="s">
        <v>41</v>
      </c>
      <c r="C924" t="s">
        <v>27</v>
      </c>
      <c r="D924" t="s">
        <v>28</v>
      </c>
      <c r="E924">
        <v>9</v>
      </c>
      <c r="F924" t="s">
        <v>44</v>
      </c>
      <c r="G924" t="s">
        <v>30</v>
      </c>
      <c r="H924">
        <v>1366</v>
      </c>
      <c r="I924" t="s">
        <v>45</v>
      </c>
      <c r="J924" t="s">
        <v>46</v>
      </c>
      <c r="K924" t="s">
        <v>76</v>
      </c>
      <c r="L924" t="s">
        <v>77</v>
      </c>
      <c r="M924">
        <v>3</v>
      </c>
      <c r="N924" t="s">
        <v>49</v>
      </c>
      <c r="O924" t="s">
        <v>50</v>
      </c>
      <c r="P924" t="s">
        <v>36</v>
      </c>
      <c r="Q924">
        <v>4</v>
      </c>
      <c r="R924" t="s">
        <v>60</v>
      </c>
      <c r="S924">
        <v>22</v>
      </c>
      <c r="T924" t="s">
        <v>96</v>
      </c>
      <c r="U924" t="s">
        <v>36</v>
      </c>
      <c r="V924" t="s">
        <v>69</v>
      </c>
      <c r="W924">
        <v>1</v>
      </c>
      <c r="X924" t="s">
        <v>39</v>
      </c>
      <c r="Y924">
        <v>1</v>
      </c>
      <c r="Z924" t="s">
        <v>51</v>
      </c>
      <c r="AA924" t="s">
        <v>40</v>
      </c>
      <c r="AB924">
        <v>2</v>
      </c>
    </row>
    <row r="925" spans="1:28" x14ac:dyDescent="0.3">
      <c r="A925">
        <v>924</v>
      </c>
      <c r="B925" t="s">
        <v>26</v>
      </c>
      <c r="C925" t="s">
        <v>42</v>
      </c>
      <c r="D925" t="s">
        <v>43</v>
      </c>
      <c r="E925">
        <v>12</v>
      </c>
      <c r="F925" t="s">
        <v>44</v>
      </c>
      <c r="G925" t="s">
        <v>63</v>
      </c>
      <c r="H925">
        <v>2002</v>
      </c>
      <c r="I925" t="s">
        <v>45</v>
      </c>
      <c r="J925" t="s">
        <v>46</v>
      </c>
      <c r="K925" t="s">
        <v>55</v>
      </c>
      <c r="L925" t="s">
        <v>56</v>
      </c>
      <c r="M925">
        <v>3</v>
      </c>
      <c r="N925" t="s">
        <v>34</v>
      </c>
      <c r="O925" t="s">
        <v>35</v>
      </c>
      <c r="P925" t="s">
        <v>36</v>
      </c>
      <c r="Q925">
        <v>4</v>
      </c>
      <c r="R925" t="s">
        <v>60</v>
      </c>
      <c r="S925">
        <v>30</v>
      </c>
      <c r="T925" t="s">
        <v>98</v>
      </c>
      <c r="U925" t="s">
        <v>36</v>
      </c>
      <c r="V925" t="s">
        <v>69</v>
      </c>
      <c r="W925">
        <v>1</v>
      </c>
      <c r="X925" t="s">
        <v>39</v>
      </c>
      <c r="Y925">
        <v>2</v>
      </c>
      <c r="Z925" t="s">
        <v>40</v>
      </c>
      <c r="AA925" t="s">
        <v>40</v>
      </c>
      <c r="AB925">
        <v>1</v>
      </c>
    </row>
    <row r="926" spans="1:28" x14ac:dyDescent="0.3">
      <c r="A926">
        <v>925</v>
      </c>
      <c r="B926" t="s">
        <v>41</v>
      </c>
      <c r="C926" t="s">
        <v>27</v>
      </c>
      <c r="D926" t="s">
        <v>28</v>
      </c>
      <c r="E926">
        <v>24</v>
      </c>
      <c r="F926" t="s">
        <v>85</v>
      </c>
      <c r="G926" t="s">
        <v>58</v>
      </c>
      <c r="H926">
        <v>6872</v>
      </c>
      <c r="I926" t="s">
        <v>45</v>
      </c>
      <c r="J926" t="s">
        <v>46</v>
      </c>
      <c r="K926" t="s">
        <v>76</v>
      </c>
      <c r="L926" t="s">
        <v>77</v>
      </c>
      <c r="M926">
        <v>2</v>
      </c>
      <c r="N926" t="s">
        <v>34</v>
      </c>
      <c r="O926" t="s">
        <v>73</v>
      </c>
      <c r="P926" t="s">
        <v>36</v>
      </c>
      <c r="Q926">
        <v>1</v>
      </c>
      <c r="R926" t="s">
        <v>60</v>
      </c>
      <c r="S926">
        <v>55</v>
      </c>
      <c r="T926" t="s">
        <v>97</v>
      </c>
      <c r="U926" t="s">
        <v>82</v>
      </c>
      <c r="V926" t="s">
        <v>38</v>
      </c>
      <c r="W926">
        <v>1</v>
      </c>
      <c r="X926" t="s">
        <v>39</v>
      </c>
      <c r="Y926">
        <v>1</v>
      </c>
      <c r="Z926" t="s">
        <v>40</v>
      </c>
      <c r="AA926" t="s">
        <v>40</v>
      </c>
      <c r="AB926">
        <v>2</v>
      </c>
    </row>
    <row r="927" spans="1:28" x14ac:dyDescent="0.3">
      <c r="A927">
        <v>926</v>
      </c>
      <c r="B927" t="s">
        <v>41</v>
      </c>
      <c r="C927" t="s">
        <v>27</v>
      </c>
      <c r="D927" t="s">
        <v>28</v>
      </c>
      <c r="E927">
        <v>12</v>
      </c>
      <c r="F927" t="s">
        <v>85</v>
      </c>
      <c r="G927" t="s">
        <v>63</v>
      </c>
      <c r="H927">
        <v>697</v>
      </c>
      <c r="I927" t="s">
        <v>45</v>
      </c>
      <c r="J927" t="s">
        <v>46</v>
      </c>
      <c r="K927" t="s">
        <v>76</v>
      </c>
      <c r="L927" t="s">
        <v>77</v>
      </c>
      <c r="M927">
        <v>4</v>
      </c>
      <c r="N927" t="s">
        <v>34</v>
      </c>
      <c r="O927" t="s">
        <v>35</v>
      </c>
      <c r="P927" t="s">
        <v>36</v>
      </c>
      <c r="Q927">
        <v>2</v>
      </c>
      <c r="R927" t="s">
        <v>68</v>
      </c>
      <c r="S927">
        <v>46</v>
      </c>
      <c r="T927" t="s">
        <v>97</v>
      </c>
      <c r="U927" t="s">
        <v>82</v>
      </c>
      <c r="V927" t="s">
        <v>38</v>
      </c>
      <c r="W927">
        <v>2</v>
      </c>
      <c r="X927" t="s">
        <v>39</v>
      </c>
      <c r="Y927">
        <v>1</v>
      </c>
      <c r="Z927" t="s">
        <v>40</v>
      </c>
      <c r="AA927" t="s">
        <v>40</v>
      </c>
      <c r="AB927">
        <v>2</v>
      </c>
    </row>
    <row r="928" spans="1:28" x14ac:dyDescent="0.3">
      <c r="A928">
        <v>927</v>
      </c>
      <c r="B928" t="s">
        <v>26</v>
      </c>
      <c r="C928" t="s">
        <v>27</v>
      </c>
      <c r="D928" t="s">
        <v>28</v>
      </c>
      <c r="E928">
        <v>18</v>
      </c>
      <c r="F928" t="s">
        <v>29</v>
      </c>
      <c r="G928" t="s">
        <v>58</v>
      </c>
      <c r="H928">
        <v>1049</v>
      </c>
      <c r="I928" t="s">
        <v>45</v>
      </c>
      <c r="J928" t="s">
        <v>46</v>
      </c>
      <c r="K928" t="s">
        <v>76</v>
      </c>
      <c r="L928" t="s">
        <v>77</v>
      </c>
      <c r="M928">
        <v>4</v>
      </c>
      <c r="N928" t="s">
        <v>49</v>
      </c>
      <c r="O928" t="s">
        <v>50</v>
      </c>
      <c r="P928" t="s">
        <v>36</v>
      </c>
      <c r="Q928">
        <v>4</v>
      </c>
      <c r="R928" t="s">
        <v>60</v>
      </c>
      <c r="S928">
        <v>21</v>
      </c>
      <c r="T928" t="s">
        <v>96</v>
      </c>
      <c r="U928" t="s">
        <v>36</v>
      </c>
      <c r="V928" t="s">
        <v>69</v>
      </c>
      <c r="W928">
        <v>1</v>
      </c>
      <c r="X928" t="s">
        <v>39</v>
      </c>
      <c r="Y928">
        <v>1</v>
      </c>
      <c r="Z928" t="s">
        <v>51</v>
      </c>
      <c r="AA928" t="s">
        <v>40</v>
      </c>
      <c r="AB928">
        <v>1</v>
      </c>
    </row>
    <row r="929" spans="1:28" x14ac:dyDescent="0.3">
      <c r="A929">
        <v>928</v>
      </c>
      <c r="B929" t="s">
        <v>41</v>
      </c>
      <c r="C929" t="s">
        <v>27</v>
      </c>
      <c r="D929" t="s">
        <v>28</v>
      </c>
      <c r="E929">
        <v>48</v>
      </c>
      <c r="F929" t="s">
        <v>44</v>
      </c>
      <c r="G929" t="s">
        <v>67</v>
      </c>
      <c r="H929">
        <v>10297</v>
      </c>
      <c r="I929" t="s">
        <v>45</v>
      </c>
      <c r="J929" t="s">
        <v>46</v>
      </c>
      <c r="K929" t="s">
        <v>55</v>
      </c>
      <c r="L929" t="s">
        <v>56</v>
      </c>
      <c r="M929">
        <v>4</v>
      </c>
      <c r="N929" t="s">
        <v>34</v>
      </c>
      <c r="O929" t="s">
        <v>35</v>
      </c>
      <c r="P929" t="s">
        <v>36</v>
      </c>
      <c r="Q929">
        <v>4</v>
      </c>
      <c r="R929" t="s">
        <v>64</v>
      </c>
      <c r="S929">
        <v>39</v>
      </c>
      <c r="T929" t="s">
        <v>98</v>
      </c>
      <c r="U929" t="s">
        <v>86</v>
      </c>
      <c r="V929" t="s">
        <v>61</v>
      </c>
      <c r="W929">
        <v>3</v>
      </c>
      <c r="X929" t="s">
        <v>39</v>
      </c>
      <c r="Y929">
        <v>2</v>
      </c>
      <c r="Z929" t="s">
        <v>40</v>
      </c>
      <c r="AA929" t="s">
        <v>40</v>
      </c>
      <c r="AB929">
        <v>2</v>
      </c>
    </row>
    <row r="930" spans="1:28" x14ac:dyDescent="0.3">
      <c r="A930">
        <v>929</v>
      </c>
      <c r="B930" t="s">
        <v>26</v>
      </c>
      <c r="C930" t="s">
        <v>52</v>
      </c>
      <c r="D930" t="s">
        <v>53</v>
      </c>
      <c r="E930">
        <v>30</v>
      </c>
      <c r="F930" t="s">
        <v>44</v>
      </c>
      <c r="G930" t="s">
        <v>30</v>
      </c>
      <c r="H930">
        <v>1867</v>
      </c>
      <c r="I930" t="s">
        <v>31</v>
      </c>
      <c r="J930" t="s">
        <v>31</v>
      </c>
      <c r="K930" t="s">
        <v>32</v>
      </c>
      <c r="L930" t="s">
        <v>33</v>
      </c>
      <c r="M930">
        <v>4</v>
      </c>
      <c r="N930" t="s">
        <v>34</v>
      </c>
      <c r="O930" t="s">
        <v>35</v>
      </c>
      <c r="P930" t="s">
        <v>36</v>
      </c>
      <c r="Q930">
        <v>4</v>
      </c>
      <c r="R930" t="s">
        <v>68</v>
      </c>
      <c r="S930">
        <v>58</v>
      </c>
      <c r="T930" t="s">
        <v>97</v>
      </c>
      <c r="U930" t="s">
        <v>36</v>
      </c>
      <c r="V930" t="s">
        <v>38</v>
      </c>
      <c r="W930">
        <v>1</v>
      </c>
      <c r="X930" t="s">
        <v>39</v>
      </c>
      <c r="Y930">
        <v>1</v>
      </c>
      <c r="Z930" t="s">
        <v>40</v>
      </c>
      <c r="AA930" t="s">
        <v>40</v>
      </c>
      <c r="AB930">
        <v>1</v>
      </c>
    </row>
    <row r="931" spans="1:28" x14ac:dyDescent="0.3">
      <c r="A931">
        <v>930</v>
      </c>
      <c r="B931" t="s">
        <v>26</v>
      </c>
      <c r="C931" t="s">
        <v>27</v>
      </c>
      <c r="D931" t="s">
        <v>28</v>
      </c>
      <c r="E931">
        <v>12</v>
      </c>
      <c r="F931" t="s">
        <v>62</v>
      </c>
      <c r="G931" t="s">
        <v>63</v>
      </c>
      <c r="H931">
        <v>1344</v>
      </c>
      <c r="I931" t="s">
        <v>45</v>
      </c>
      <c r="J931" t="s">
        <v>46</v>
      </c>
      <c r="K931" t="s">
        <v>47</v>
      </c>
      <c r="L931" t="s">
        <v>48</v>
      </c>
      <c r="M931">
        <v>4</v>
      </c>
      <c r="N931" t="s">
        <v>34</v>
      </c>
      <c r="O931" t="s">
        <v>35</v>
      </c>
      <c r="P931" t="s">
        <v>36</v>
      </c>
      <c r="Q931">
        <v>2</v>
      </c>
      <c r="R931" t="s">
        <v>37</v>
      </c>
      <c r="S931">
        <v>43</v>
      </c>
      <c r="T931" t="s">
        <v>97</v>
      </c>
      <c r="U931" t="s">
        <v>36</v>
      </c>
      <c r="V931" t="s">
        <v>38</v>
      </c>
      <c r="W931">
        <v>2</v>
      </c>
      <c r="X931" t="s">
        <v>57</v>
      </c>
      <c r="Y931">
        <v>2</v>
      </c>
      <c r="Z931" t="s">
        <v>51</v>
      </c>
      <c r="AA931" t="s">
        <v>40</v>
      </c>
      <c r="AB931">
        <v>1</v>
      </c>
    </row>
    <row r="932" spans="1:28" x14ac:dyDescent="0.3">
      <c r="A932">
        <v>931</v>
      </c>
      <c r="B932" t="s">
        <v>26</v>
      </c>
      <c r="C932" t="s">
        <v>27</v>
      </c>
      <c r="D932" t="s">
        <v>28</v>
      </c>
      <c r="E932">
        <v>24</v>
      </c>
      <c r="F932" t="s">
        <v>44</v>
      </c>
      <c r="G932" t="s">
        <v>58</v>
      </c>
      <c r="H932">
        <v>1747</v>
      </c>
      <c r="I932" t="s">
        <v>45</v>
      </c>
      <c r="J932" t="s">
        <v>46</v>
      </c>
      <c r="K932" t="s">
        <v>76</v>
      </c>
      <c r="L932" t="s">
        <v>77</v>
      </c>
      <c r="M932">
        <v>4</v>
      </c>
      <c r="N932" t="s">
        <v>34</v>
      </c>
      <c r="O932" t="s">
        <v>35</v>
      </c>
      <c r="P932" t="s">
        <v>87</v>
      </c>
      <c r="Q932">
        <v>1</v>
      </c>
      <c r="R932" t="s">
        <v>60</v>
      </c>
      <c r="S932">
        <v>24</v>
      </c>
      <c r="T932" t="s">
        <v>96</v>
      </c>
      <c r="U932" t="s">
        <v>36</v>
      </c>
      <c r="V932" t="s">
        <v>38</v>
      </c>
      <c r="W932">
        <v>1</v>
      </c>
      <c r="X932" t="s">
        <v>57</v>
      </c>
      <c r="Y932">
        <v>1</v>
      </c>
      <c r="Z932" t="s">
        <v>51</v>
      </c>
      <c r="AA932" t="s">
        <v>51</v>
      </c>
      <c r="AB932">
        <v>1</v>
      </c>
    </row>
    <row r="933" spans="1:28" x14ac:dyDescent="0.3">
      <c r="A933">
        <v>932</v>
      </c>
      <c r="B933" t="s">
        <v>41</v>
      </c>
      <c r="C933" t="s">
        <v>42</v>
      </c>
      <c r="D933" t="s">
        <v>43</v>
      </c>
      <c r="E933">
        <v>9</v>
      </c>
      <c r="F933" t="s">
        <v>44</v>
      </c>
      <c r="G933" t="s">
        <v>30</v>
      </c>
      <c r="H933">
        <v>1670</v>
      </c>
      <c r="I933" t="s">
        <v>45</v>
      </c>
      <c r="J933" t="s">
        <v>46</v>
      </c>
      <c r="K933" t="s">
        <v>76</v>
      </c>
      <c r="L933" t="s">
        <v>77</v>
      </c>
      <c r="M933">
        <v>4</v>
      </c>
      <c r="N933" t="s">
        <v>49</v>
      </c>
      <c r="O933" t="s">
        <v>50</v>
      </c>
      <c r="P933" t="s">
        <v>36</v>
      </c>
      <c r="Q933">
        <v>2</v>
      </c>
      <c r="R933" t="s">
        <v>68</v>
      </c>
      <c r="S933">
        <v>22</v>
      </c>
      <c r="T933" t="s">
        <v>96</v>
      </c>
      <c r="U933" t="s">
        <v>36</v>
      </c>
      <c r="V933" t="s">
        <v>38</v>
      </c>
      <c r="W933">
        <v>1</v>
      </c>
      <c r="X933" t="s">
        <v>39</v>
      </c>
      <c r="Y933">
        <v>1</v>
      </c>
      <c r="Z933" t="s">
        <v>40</v>
      </c>
      <c r="AA933" t="s">
        <v>40</v>
      </c>
      <c r="AB933">
        <v>2</v>
      </c>
    </row>
    <row r="934" spans="1:28" x14ac:dyDescent="0.3">
      <c r="A934">
        <v>933</v>
      </c>
      <c r="B934" t="s">
        <v>26</v>
      </c>
      <c r="C934" t="s">
        <v>52</v>
      </c>
      <c r="D934" t="s">
        <v>53</v>
      </c>
      <c r="E934">
        <v>9</v>
      </c>
      <c r="F934" t="s">
        <v>29</v>
      </c>
      <c r="G934" t="s">
        <v>63</v>
      </c>
      <c r="H934">
        <v>1224</v>
      </c>
      <c r="I934" t="s">
        <v>45</v>
      </c>
      <c r="J934" t="s">
        <v>46</v>
      </c>
      <c r="K934" t="s">
        <v>47</v>
      </c>
      <c r="L934" t="s">
        <v>48</v>
      </c>
      <c r="M934">
        <v>3</v>
      </c>
      <c r="N934" t="s">
        <v>34</v>
      </c>
      <c r="O934" t="s">
        <v>35</v>
      </c>
      <c r="P934" t="s">
        <v>36</v>
      </c>
      <c r="Q934">
        <v>1</v>
      </c>
      <c r="R934" t="s">
        <v>37</v>
      </c>
      <c r="S934">
        <v>30</v>
      </c>
      <c r="T934" t="s">
        <v>98</v>
      </c>
      <c r="U934" t="s">
        <v>36</v>
      </c>
      <c r="V934" t="s">
        <v>38</v>
      </c>
      <c r="W934">
        <v>2</v>
      </c>
      <c r="X934" t="s">
        <v>39</v>
      </c>
      <c r="Y934">
        <v>1</v>
      </c>
      <c r="Z934" t="s">
        <v>51</v>
      </c>
      <c r="AA934" t="s">
        <v>40</v>
      </c>
      <c r="AB934">
        <v>1</v>
      </c>
    </row>
    <row r="935" spans="1:28" x14ac:dyDescent="0.3">
      <c r="A935">
        <v>934</v>
      </c>
      <c r="B935" t="s">
        <v>26</v>
      </c>
      <c r="C935" t="s">
        <v>52</v>
      </c>
      <c r="D935" t="s">
        <v>53</v>
      </c>
      <c r="E935">
        <v>12</v>
      </c>
      <c r="F935" t="s">
        <v>29</v>
      </c>
      <c r="G935" t="s">
        <v>30</v>
      </c>
      <c r="H935">
        <v>522</v>
      </c>
      <c r="I935" t="s">
        <v>65</v>
      </c>
      <c r="J935" t="s">
        <v>66</v>
      </c>
      <c r="K935" t="s">
        <v>32</v>
      </c>
      <c r="L935" t="s">
        <v>33</v>
      </c>
      <c r="M935">
        <v>4</v>
      </c>
      <c r="N935" t="s">
        <v>34</v>
      </c>
      <c r="O935" t="s">
        <v>35</v>
      </c>
      <c r="P935" t="s">
        <v>36</v>
      </c>
      <c r="Q935">
        <v>4</v>
      </c>
      <c r="R935" t="s">
        <v>60</v>
      </c>
      <c r="S935">
        <v>42</v>
      </c>
      <c r="T935" t="s">
        <v>97</v>
      </c>
      <c r="U935" t="s">
        <v>36</v>
      </c>
      <c r="V935" t="s">
        <v>38</v>
      </c>
      <c r="W935">
        <v>2</v>
      </c>
      <c r="X935" t="s">
        <v>39</v>
      </c>
      <c r="Y935">
        <v>2</v>
      </c>
      <c r="Z935" t="s">
        <v>40</v>
      </c>
      <c r="AA935" t="s">
        <v>40</v>
      </c>
      <c r="AB935">
        <v>1</v>
      </c>
    </row>
    <row r="936" spans="1:28" x14ac:dyDescent="0.3">
      <c r="A936">
        <v>935</v>
      </c>
      <c r="B936" t="s">
        <v>26</v>
      </c>
      <c r="C936" t="s">
        <v>27</v>
      </c>
      <c r="D936" t="s">
        <v>28</v>
      </c>
      <c r="E936">
        <v>12</v>
      </c>
      <c r="F936" t="s">
        <v>44</v>
      </c>
      <c r="G936" t="s">
        <v>30</v>
      </c>
      <c r="H936">
        <v>1498</v>
      </c>
      <c r="I936" t="s">
        <v>45</v>
      </c>
      <c r="J936" t="s">
        <v>46</v>
      </c>
      <c r="K936" t="s">
        <v>47</v>
      </c>
      <c r="L936" t="s">
        <v>48</v>
      </c>
      <c r="M936">
        <v>4</v>
      </c>
      <c r="N936" t="s">
        <v>49</v>
      </c>
      <c r="O936" t="s">
        <v>50</v>
      </c>
      <c r="P936" t="s">
        <v>36</v>
      </c>
      <c r="Q936">
        <v>1</v>
      </c>
      <c r="R936" t="s">
        <v>68</v>
      </c>
      <c r="S936">
        <v>23</v>
      </c>
      <c r="T936" t="s">
        <v>96</v>
      </c>
      <c r="U936" t="s">
        <v>82</v>
      </c>
      <c r="V936" t="s">
        <v>38</v>
      </c>
      <c r="W936">
        <v>1</v>
      </c>
      <c r="X936" t="s">
        <v>39</v>
      </c>
      <c r="Y936">
        <v>1</v>
      </c>
      <c r="Z936" t="s">
        <v>51</v>
      </c>
      <c r="AA936" t="s">
        <v>40</v>
      </c>
      <c r="AB936">
        <v>1</v>
      </c>
    </row>
    <row r="937" spans="1:28" x14ac:dyDescent="0.3">
      <c r="A937">
        <v>936</v>
      </c>
      <c r="B937" t="s">
        <v>41</v>
      </c>
      <c r="C937" t="s">
        <v>42</v>
      </c>
      <c r="D937" t="s">
        <v>43</v>
      </c>
      <c r="E937">
        <v>30</v>
      </c>
      <c r="F937" t="s">
        <v>62</v>
      </c>
      <c r="G937" t="s">
        <v>30</v>
      </c>
      <c r="H937">
        <v>1919</v>
      </c>
      <c r="I937" t="s">
        <v>79</v>
      </c>
      <c r="J937" t="s">
        <v>80</v>
      </c>
      <c r="K937" t="s">
        <v>76</v>
      </c>
      <c r="L937" t="s">
        <v>77</v>
      </c>
      <c r="M937">
        <v>4</v>
      </c>
      <c r="N937" t="s">
        <v>34</v>
      </c>
      <c r="O937" t="s">
        <v>35</v>
      </c>
      <c r="P937" t="s">
        <v>36</v>
      </c>
      <c r="Q937">
        <v>3</v>
      </c>
      <c r="R937" t="s">
        <v>64</v>
      </c>
      <c r="S937">
        <v>30</v>
      </c>
      <c r="T937" t="s">
        <v>98</v>
      </c>
      <c r="U937" t="s">
        <v>86</v>
      </c>
      <c r="V937" t="s">
        <v>38</v>
      </c>
      <c r="W937">
        <v>2</v>
      </c>
      <c r="X937" t="s">
        <v>70</v>
      </c>
      <c r="Y937">
        <v>1</v>
      </c>
      <c r="Z937" t="s">
        <v>51</v>
      </c>
      <c r="AA937" t="s">
        <v>40</v>
      </c>
      <c r="AB937">
        <v>2</v>
      </c>
    </row>
    <row r="938" spans="1:28" x14ac:dyDescent="0.3">
      <c r="A938">
        <v>937</v>
      </c>
      <c r="B938" t="s">
        <v>41</v>
      </c>
      <c r="C938" t="s">
        <v>83</v>
      </c>
      <c r="D938" t="s">
        <v>84</v>
      </c>
      <c r="E938">
        <v>9</v>
      </c>
      <c r="F938" t="s">
        <v>44</v>
      </c>
      <c r="G938" t="s">
        <v>30</v>
      </c>
      <c r="H938">
        <v>745</v>
      </c>
      <c r="I938" t="s">
        <v>45</v>
      </c>
      <c r="J938" t="s">
        <v>46</v>
      </c>
      <c r="K938" t="s">
        <v>47</v>
      </c>
      <c r="L938" t="s">
        <v>48</v>
      </c>
      <c r="M938">
        <v>3</v>
      </c>
      <c r="N938" t="s">
        <v>49</v>
      </c>
      <c r="O938" t="s">
        <v>50</v>
      </c>
      <c r="P938" t="s">
        <v>36</v>
      </c>
      <c r="Q938">
        <v>2</v>
      </c>
      <c r="R938" t="s">
        <v>37</v>
      </c>
      <c r="S938">
        <v>28</v>
      </c>
      <c r="T938" t="s">
        <v>98</v>
      </c>
      <c r="U938" t="s">
        <v>36</v>
      </c>
      <c r="V938" t="s">
        <v>38</v>
      </c>
      <c r="W938">
        <v>1</v>
      </c>
      <c r="X938" t="s">
        <v>57</v>
      </c>
      <c r="Y938">
        <v>1</v>
      </c>
      <c r="Z938" t="s">
        <v>51</v>
      </c>
      <c r="AA938" t="s">
        <v>40</v>
      </c>
      <c r="AB938">
        <v>2</v>
      </c>
    </row>
    <row r="939" spans="1:28" x14ac:dyDescent="0.3">
      <c r="A939">
        <v>938</v>
      </c>
      <c r="B939" t="s">
        <v>26</v>
      </c>
      <c r="C939" t="s">
        <v>42</v>
      </c>
      <c r="D939" t="s">
        <v>43</v>
      </c>
      <c r="E939">
        <v>6</v>
      </c>
      <c r="F939" t="s">
        <v>44</v>
      </c>
      <c r="G939" t="s">
        <v>30</v>
      </c>
      <c r="H939">
        <v>2063</v>
      </c>
      <c r="I939" t="s">
        <v>45</v>
      </c>
      <c r="J939" t="s">
        <v>46</v>
      </c>
      <c r="K939" t="s">
        <v>76</v>
      </c>
      <c r="L939" t="s">
        <v>77</v>
      </c>
      <c r="M939">
        <v>4</v>
      </c>
      <c r="N939" t="s">
        <v>34</v>
      </c>
      <c r="O939" t="s">
        <v>75</v>
      </c>
      <c r="P939" t="s">
        <v>36</v>
      </c>
      <c r="Q939">
        <v>3</v>
      </c>
      <c r="R939" t="s">
        <v>68</v>
      </c>
      <c r="S939">
        <v>30</v>
      </c>
      <c r="T939" t="s">
        <v>98</v>
      </c>
      <c r="U939" t="s">
        <v>36</v>
      </c>
      <c r="V939" t="s">
        <v>69</v>
      </c>
      <c r="W939">
        <v>1</v>
      </c>
      <c r="X939" t="s">
        <v>70</v>
      </c>
      <c r="Y939">
        <v>1</v>
      </c>
      <c r="Z939" t="s">
        <v>40</v>
      </c>
      <c r="AA939" t="s">
        <v>40</v>
      </c>
      <c r="AB939">
        <v>1</v>
      </c>
    </row>
    <row r="940" spans="1:28" x14ac:dyDescent="0.3">
      <c r="A940">
        <v>939</v>
      </c>
      <c r="B940" t="s">
        <v>41</v>
      </c>
      <c r="C940" t="s">
        <v>42</v>
      </c>
      <c r="D940" t="s">
        <v>43</v>
      </c>
      <c r="E940">
        <v>60</v>
      </c>
      <c r="F940" t="s">
        <v>44</v>
      </c>
      <c r="G940" t="s">
        <v>54</v>
      </c>
      <c r="H940">
        <v>6288</v>
      </c>
      <c r="I940" t="s">
        <v>45</v>
      </c>
      <c r="J940" t="s">
        <v>46</v>
      </c>
      <c r="K940" t="s">
        <v>47</v>
      </c>
      <c r="L940" t="s">
        <v>48</v>
      </c>
      <c r="M940">
        <v>4</v>
      </c>
      <c r="N940" t="s">
        <v>34</v>
      </c>
      <c r="O940" t="s">
        <v>35</v>
      </c>
      <c r="P940" t="s">
        <v>36</v>
      </c>
      <c r="Q940">
        <v>4</v>
      </c>
      <c r="R940" t="s">
        <v>64</v>
      </c>
      <c r="S940">
        <v>42</v>
      </c>
      <c r="T940" t="s">
        <v>97</v>
      </c>
      <c r="U940" t="s">
        <v>36</v>
      </c>
      <c r="V940" t="s">
        <v>61</v>
      </c>
      <c r="W940">
        <v>1</v>
      </c>
      <c r="X940" t="s">
        <v>39</v>
      </c>
      <c r="Y940">
        <v>1</v>
      </c>
      <c r="Z940" t="s">
        <v>51</v>
      </c>
      <c r="AA940" t="s">
        <v>40</v>
      </c>
      <c r="AB940">
        <v>2</v>
      </c>
    </row>
    <row r="941" spans="1:28" x14ac:dyDescent="0.3">
      <c r="A941">
        <v>940</v>
      </c>
      <c r="B941" t="s">
        <v>26</v>
      </c>
      <c r="C941" t="s">
        <v>52</v>
      </c>
      <c r="D941" t="s">
        <v>53</v>
      </c>
      <c r="E941">
        <v>24</v>
      </c>
      <c r="F941" t="s">
        <v>29</v>
      </c>
      <c r="G941" t="s">
        <v>67</v>
      </c>
      <c r="H941">
        <v>6842</v>
      </c>
      <c r="I941" t="s">
        <v>31</v>
      </c>
      <c r="J941" t="s">
        <v>31</v>
      </c>
      <c r="K941" t="s">
        <v>47</v>
      </c>
      <c r="L941" t="s">
        <v>48</v>
      </c>
      <c r="M941">
        <v>2</v>
      </c>
      <c r="N941" t="s">
        <v>34</v>
      </c>
      <c r="O941" t="s">
        <v>35</v>
      </c>
      <c r="P941" t="s">
        <v>36</v>
      </c>
      <c r="Q941">
        <v>4</v>
      </c>
      <c r="R941" t="s">
        <v>60</v>
      </c>
      <c r="S941">
        <v>46</v>
      </c>
      <c r="T941" t="s">
        <v>97</v>
      </c>
      <c r="U941" t="s">
        <v>36</v>
      </c>
      <c r="V941" t="s">
        <v>38</v>
      </c>
      <c r="W941">
        <v>2</v>
      </c>
      <c r="X941" t="s">
        <v>70</v>
      </c>
      <c r="Y941">
        <v>2</v>
      </c>
      <c r="Z941" t="s">
        <v>40</v>
      </c>
      <c r="AA941" t="s">
        <v>40</v>
      </c>
      <c r="AB941">
        <v>1</v>
      </c>
    </row>
    <row r="942" spans="1:28" x14ac:dyDescent="0.3">
      <c r="A942">
        <v>941</v>
      </c>
      <c r="B942" t="s">
        <v>26</v>
      </c>
      <c r="C942" t="s">
        <v>52</v>
      </c>
      <c r="D942" t="s">
        <v>53</v>
      </c>
      <c r="E942">
        <v>12</v>
      </c>
      <c r="F942" t="s">
        <v>44</v>
      </c>
      <c r="G942" t="s">
        <v>63</v>
      </c>
      <c r="H942">
        <v>3527</v>
      </c>
      <c r="I942" t="s">
        <v>31</v>
      </c>
      <c r="J942" t="s">
        <v>31</v>
      </c>
      <c r="K942" t="s">
        <v>76</v>
      </c>
      <c r="L942" t="s">
        <v>77</v>
      </c>
      <c r="M942">
        <v>2</v>
      </c>
      <c r="N942" t="s">
        <v>34</v>
      </c>
      <c r="O942" t="s">
        <v>35</v>
      </c>
      <c r="P942" t="s">
        <v>36</v>
      </c>
      <c r="Q942">
        <v>3</v>
      </c>
      <c r="R942" t="s">
        <v>60</v>
      </c>
      <c r="S942">
        <v>45</v>
      </c>
      <c r="T942" t="s">
        <v>97</v>
      </c>
      <c r="U942" t="s">
        <v>36</v>
      </c>
      <c r="V942" t="s">
        <v>38</v>
      </c>
      <c r="W942">
        <v>1</v>
      </c>
      <c r="X942" t="s">
        <v>70</v>
      </c>
      <c r="Y942">
        <v>2</v>
      </c>
      <c r="Z942" t="s">
        <v>40</v>
      </c>
      <c r="AA942" t="s">
        <v>40</v>
      </c>
      <c r="AB942">
        <v>1</v>
      </c>
    </row>
    <row r="943" spans="1:28" x14ac:dyDescent="0.3">
      <c r="A943">
        <v>942</v>
      </c>
      <c r="B943" t="s">
        <v>26</v>
      </c>
      <c r="C943" t="s">
        <v>52</v>
      </c>
      <c r="D943" t="s">
        <v>53</v>
      </c>
      <c r="E943">
        <v>10</v>
      </c>
      <c r="F943" t="s">
        <v>44</v>
      </c>
      <c r="G943" t="s">
        <v>63</v>
      </c>
      <c r="H943">
        <v>1546</v>
      </c>
      <c r="I943" t="s">
        <v>45</v>
      </c>
      <c r="J943" t="s">
        <v>46</v>
      </c>
      <c r="K943" t="s">
        <v>47</v>
      </c>
      <c r="L943" t="s">
        <v>48</v>
      </c>
      <c r="M943">
        <v>3</v>
      </c>
      <c r="N943" t="s">
        <v>34</v>
      </c>
      <c r="O943" t="s">
        <v>35</v>
      </c>
      <c r="P943" t="s">
        <v>36</v>
      </c>
      <c r="Q943">
        <v>2</v>
      </c>
      <c r="R943" t="s">
        <v>37</v>
      </c>
      <c r="S943">
        <v>31</v>
      </c>
      <c r="T943" t="s">
        <v>98</v>
      </c>
      <c r="U943" t="s">
        <v>36</v>
      </c>
      <c r="V943" t="s">
        <v>38</v>
      </c>
      <c r="W943">
        <v>1</v>
      </c>
      <c r="X943" t="s">
        <v>57</v>
      </c>
      <c r="Y943">
        <v>2</v>
      </c>
      <c r="Z943" t="s">
        <v>51</v>
      </c>
      <c r="AA943" t="s">
        <v>51</v>
      </c>
      <c r="AB943">
        <v>1</v>
      </c>
    </row>
    <row r="944" spans="1:28" x14ac:dyDescent="0.3">
      <c r="A944">
        <v>943</v>
      </c>
      <c r="B944" t="s">
        <v>26</v>
      </c>
      <c r="C944" t="s">
        <v>52</v>
      </c>
      <c r="D944" t="s">
        <v>53</v>
      </c>
      <c r="E944">
        <v>24</v>
      </c>
      <c r="F944" t="s">
        <v>44</v>
      </c>
      <c r="G944" t="s">
        <v>58</v>
      </c>
      <c r="H944">
        <v>929</v>
      </c>
      <c r="I944" t="s">
        <v>31</v>
      </c>
      <c r="J944" t="s">
        <v>31</v>
      </c>
      <c r="K944" t="s">
        <v>55</v>
      </c>
      <c r="L944" t="s">
        <v>56</v>
      </c>
      <c r="M944">
        <v>4</v>
      </c>
      <c r="N944" t="s">
        <v>34</v>
      </c>
      <c r="O944" t="s">
        <v>35</v>
      </c>
      <c r="P944" t="s">
        <v>36</v>
      </c>
      <c r="Q944">
        <v>2</v>
      </c>
      <c r="R944" t="s">
        <v>68</v>
      </c>
      <c r="S944">
        <v>31</v>
      </c>
      <c r="T944" t="s">
        <v>98</v>
      </c>
      <c r="U944" t="s">
        <v>86</v>
      </c>
      <c r="V944" t="s">
        <v>38</v>
      </c>
      <c r="W944">
        <v>1</v>
      </c>
      <c r="X944" t="s">
        <v>39</v>
      </c>
      <c r="Y944">
        <v>1</v>
      </c>
      <c r="Z944" t="s">
        <v>40</v>
      </c>
      <c r="AA944" t="s">
        <v>40</v>
      </c>
      <c r="AB944">
        <v>1</v>
      </c>
    </row>
    <row r="945" spans="1:28" x14ac:dyDescent="0.3">
      <c r="A945">
        <v>944</v>
      </c>
      <c r="B945" t="s">
        <v>26</v>
      </c>
      <c r="C945" t="s">
        <v>52</v>
      </c>
      <c r="D945" t="s">
        <v>53</v>
      </c>
      <c r="E945">
        <v>4</v>
      </c>
      <c r="F945" t="s">
        <v>29</v>
      </c>
      <c r="G945" t="s">
        <v>63</v>
      </c>
      <c r="H945">
        <v>1455</v>
      </c>
      <c r="I945" t="s">
        <v>45</v>
      </c>
      <c r="J945" t="s">
        <v>46</v>
      </c>
      <c r="K945" t="s">
        <v>55</v>
      </c>
      <c r="L945" t="s">
        <v>56</v>
      </c>
      <c r="M945">
        <v>2</v>
      </c>
      <c r="N945" t="s">
        <v>34</v>
      </c>
      <c r="O945" t="s">
        <v>35</v>
      </c>
      <c r="P945" t="s">
        <v>36</v>
      </c>
      <c r="Q945">
        <v>1</v>
      </c>
      <c r="R945" t="s">
        <v>37</v>
      </c>
      <c r="S945">
        <v>42</v>
      </c>
      <c r="T945" t="s">
        <v>97</v>
      </c>
      <c r="U945" t="s">
        <v>36</v>
      </c>
      <c r="V945" t="s">
        <v>38</v>
      </c>
      <c r="W945">
        <v>3</v>
      </c>
      <c r="X945" t="s">
        <v>57</v>
      </c>
      <c r="Y945">
        <v>2</v>
      </c>
      <c r="Z945" t="s">
        <v>51</v>
      </c>
      <c r="AA945" t="s">
        <v>40</v>
      </c>
      <c r="AB945">
        <v>1</v>
      </c>
    </row>
    <row r="946" spans="1:28" x14ac:dyDescent="0.3">
      <c r="A946">
        <v>945</v>
      </c>
      <c r="B946" t="s">
        <v>26</v>
      </c>
      <c r="C946" t="s">
        <v>27</v>
      </c>
      <c r="D946" t="s">
        <v>28</v>
      </c>
      <c r="E946">
        <v>15</v>
      </c>
      <c r="F946" t="s">
        <v>44</v>
      </c>
      <c r="G946" t="s">
        <v>58</v>
      </c>
      <c r="H946">
        <v>1845</v>
      </c>
      <c r="I946" t="s">
        <v>45</v>
      </c>
      <c r="J946" t="s">
        <v>46</v>
      </c>
      <c r="K946" t="s">
        <v>76</v>
      </c>
      <c r="L946" t="s">
        <v>77</v>
      </c>
      <c r="M946">
        <v>4</v>
      </c>
      <c r="N946" t="s">
        <v>49</v>
      </c>
      <c r="O946" t="s">
        <v>50</v>
      </c>
      <c r="P946" t="s">
        <v>59</v>
      </c>
      <c r="Q946">
        <v>1</v>
      </c>
      <c r="R946" t="s">
        <v>60</v>
      </c>
      <c r="S946">
        <v>46</v>
      </c>
      <c r="T946" t="s">
        <v>97</v>
      </c>
      <c r="U946" t="s">
        <v>36</v>
      </c>
      <c r="V946" t="s">
        <v>69</v>
      </c>
      <c r="W946">
        <v>1</v>
      </c>
      <c r="X946" t="s">
        <v>39</v>
      </c>
      <c r="Y946">
        <v>1</v>
      </c>
      <c r="Z946" t="s">
        <v>51</v>
      </c>
      <c r="AA946" t="s">
        <v>40</v>
      </c>
      <c r="AB946">
        <v>1</v>
      </c>
    </row>
    <row r="947" spans="1:28" x14ac:dyDescent="0.3">
      <c r="A947">
        <v>946</v>
      </c>
      <c r="B947" t="s">
        <v>26</v>
      </c>
      <c r="C947" t="s">
        <v>42</v>
      </c>
      <c r="D947" t="s">
        <v>43</v>
      </c>
      <c r="E947">
        <v>48</v>
      </c>
      <c r="F947" t="s">
        <v>81</v>
      </c>
      <c r="G947" t="s">
        <v>63</v>
      </c>
      <c r="H947">
        <v>8358</v>
      </c>
      <c r="I947" t="s">
        <v>65</v>
      </c>
      <c r="J947" t="s">
        <v>66</v>
      </c>
      <c r="K947" t="s">
        <v>76</v>
      </c>
      <c r="L947" t="s">
        <v>77</v>
      </c>
      <c r="M947">
        <v>1</v>
      </c>
      <c r="N947" t="s">
        <v>49</v>
      </c>
      <c r="O947" t="s">
        <v>50</v>
      </c>
      <c r="P947" t="s">
        <v>36</v>
      </c>
      <c r="Q947">
        <v>1</v>
      </c>
      <c r="R947" t="s">
        <v>68</v>
      </c>
      <c r="S947">
        <v>30</v>
      </c>
      <c r="T947" t="s">
        <v>98</v>
      </c>
      <c r="U947" t="s">
        <v>36</v>
      </c>
      <c r="V947" t="s">
        <v>38</v>
      </c>
      <c r="W947">
        <v>2</v>
      </c>
      <c r="X947" t="s">
        <v>39</v>
      </c>
      <c r="Y947">
        <v>1</v>
      </c>
      <c r="Z947" t="s">
        <v>51</v>
      </c>
      <c r="AA947" t="s">
        <v>40</v>
      </c>
      <c r="AB947">
        <v>1</v>
      </c>
    </row>
    <row r="948" spans="1:28" x14ac:dyDescent="0.3">
      <c r="A948">
        <v>947</v>
      </c>
      <c r="B948" t="s">
        <v>41</v>
      </c>
      <c r="C948" t="s">
        <v>27</v>
      </c>
      <c r="D948" t="s">
        <v>28</v>
      </c>
      <c r="E948">
        <v>24</v>
      </c>
      <c r="F948" t="s">
        <v>85</v>
      </c>
      <c r="G948" t="s">
        <v>58</v>
      </c>
      <c r="H948">
        <v>3349</v>
      </c>
      <c r="I948" t="s">
        <v>65</v>
      </c>
      <c r="J948" t="s">
        <v>66</v>
      </c>
      <c r="K948" t="s">
        <v>76</v>
      </c>
      <c r="L948" t="s">
        <v>77</v>
      </c>
      <c r="M948">
        <v>4</v>
      </c>
      <c r="N948" t="s">
        <v>34</v>
      </c>
      <c r="O948" t="s">
        <v>35</v>
      </c>
      <c r="P948" t="s">
        <v>36</v>
      </c>
      <c r="Q948">
        <v>4</v>
      </c>
      <c r="R948" t="s">
        <v>64</v>
      </c>
      <c r="S948">
        <v>30</v>
      </c>
      <c r="T948" t="s">
        <v>98</v>
      </c>
      <c r="U948" t="s">
        <v>36</v>
      </c>
      <c r="V948" t="s">
        <v>61</v>
      </c>
      <c r="W948">
        <v>1</v>
      </c>
      <c r="X948" t="s">
        <v>39</v>
      </c>
      <c r="Y948">
        <v>2</v>
      </c>
      <c r="Z948" t="s">
        <v>40</v>
      </c>
      <c r="AA948" t="s">
        <v>40</v>
      </c>
      <c r="AB948">
        <v>2</v>
      </c>
    </row>
    <row r="949" spans="1:28" x14ac:dyDescent="0.3">
      <c r="A949">
        <v>948</v>
      </c>
      <c r="B949" t="s">
        <v>26</v>
      </c>
      <c r="C949" t="s">
        <v>52</v>
      </c>
      <c r="D949" t="s">
        <v>53</v>
      </c>
      <c r="E949">
        <v>12</v>
      </c>
      <c r="F949" t="s">
        <v>44</v>
      </c>
      <c r="G949" t="s">
        <v>63</v>
      </c>
      <c r="H949">
        <v>2859</v>
      </c>
      <c r="I949" t="s">
        <v>31</v>
      </c>
      <c r="J949" t="s">
        <v>31</v>
      </c>
      <c r="K949" t="s">
        <v>74</v>
      </c>
      <c r="L949" t="s">
        <v>74</v>
      </c>
      <c r="M949">
        <v>4</v>
      </c>
      <c r="N949" t="s">
        <v>34</v>
      </c>
      <c r="O949" t="s">
        <v>35</v>
      </c>
      <c r="P949" t="s">
        <v>36</v>
      </c>
      <c r="Q949">
        <v>4</v>
      </c>
      <c r="R949" t="s">
        <v>64</v>
      </c>
      <c r="S949">
        <v>38</v>
      </c>
      <c r="T949" t="s">
        <v>98</v>
      </c>
      <c r="U949" t="s">
        <v>36</v>
      </c>
      <c r="V949" t="s">
        <v>38</v>
      </c>
      <c r="W949">
        <v>1</v>
      </c>
      <c r="X949" t="s">
        <v>70</v>
      </c>
      <c r="Y949">
        <v>1</v>
      </c>
      <c r="Z949" t="s">
        <v>40</v>
      </c>
      <c r="AA949" t="s">
        <v>40</v>
      </c>
      <c r="AB949">
        <v>1</v>
      </c>
    </row>
    <row r="950" spans="1:28" x14ac:dyDescent="0.3">
      <c r="A950">
        <v>949</v>
      </c>
      <c r="B950" t="s">
        <v>41</v>
      </c>
      <c r="C950" t="s">
        <v>52</v>
      </c>
      <c r="D950" t="s">
        <v>53</v>
      </c>
      <c r="E950">
        <v>18</v>
      </c>
      <c r="F950" t="s">
        <v>44</v>
      </c>
      <c r="G950" t="s">
        <v>58</v>
      </c>
      <c r="H950">
        <v>1533</v>
      </c>
      <c r="I950" t="s">
        <v>45</v>
      </c>
      <c r="J950" t="s">
        <v>46</v>
      </c>
      <c r="K950" t="s">
        <v>76</v>
      </c>
      <c r="L950" t="s">
        <v>77</v>
      </c>
      <c r="M950">
        <v>4</v>
      </c>
      <c r="N950" t="s">
        <v>34</v>
      </c>
      <c r="O950" t="s">
        <v>75</v>
      </c>
      <c r="P950" t="s">
        <v>87</v>
      </c>
      <c r="Q950">
        <v>1</v>
      </c>
      <c r="R950" t="s">
        <v>60</v>
      </c>
      <c r="S950">
        <v>43</v>
      </c>
      <c r="T950" t="s">
        <v>97</v>
      </c>
      <c r="U950" t="s">
        <v>36</v>
      </c>
      <c r="V950" t="s">
        <v>38</v>
      </c>
      <c r="W950">
        <v>1</v>
      </c>
      <c r="X950" t="s">
        <v>57</v>
      </c>
      <c r="Y950">
        <v>2</v>
      </c>
      <c r="Z950" t="s">
        <v>51</v>
      </c>
      <c r="AA950" t="s">
        <v>40</v>
      </c>
      <c r="AB950">
        <v>2</v>
      </c>
    </row>
    <row r="951" spans="1:28" x14ac:dyDescent="0.3">
      <c r="A951">
        <v>950</v>
      </c>
      <c r="B951" t="s">
        <v>41</v>
      </c>
      <c r="C951" t="s">
        <v>52</v>
      </c>
      <c r="D951" t="s">
        <v>53</v>
      </c>
      <c r="E951">
        <v>24</v>
      </c>
      <c r="F951" t="s">
        <v>44</v>
      </c>
      <c r="G951" t="s">
        <v>30</v>
      </c>
      <c r="H951">
        <v>3621</v>
      </c>
      <c r="I951" t="s">
        <v>79</v>
      </c>
      <c r="J951" t="s">
        <v>80</v>
      </c>
      <c r="K951" t="s">
        <v>32</v>
      </c>
      <c r="L951" t="s">
        <v>33</v>
      </c>
      <c r="M951">
        <v>2</v>
      </c>
      <c r="N951" t="s">
        <v>34</v>
      </c>
      <c r="O951" t="s">
        <v>35</v>
      </c>
      <c r="P951" t="s">
        <v>36</v>
      </c>
      <c r="Q951">
        <v>4</v>
      </c>
      <c r="R951" t="s">
        <v>68</v>
      </c>
      <c r="S951">
        <v>31</v>
      </c>
      <c r="T951" t="s">
        <v>98</v>
      </c>
      <c r="U951" t="s">
        <v>36</v>
      </c>
      <c r="V951" t="s">
        <v>38</v>
      </c>
      <c r="W951">
        <v>2</v>
      </c>
      <c r="X951" t="s">
        <v>39</v>
      </c>
      <c r="Y951">
        <v>1</v>
      </c>
      <c r="Z951" t="s">
        <v>51</v>
      </c>
      <c r="AA951" t="s">
        <v>40</v>
      </c>
      <c r="AB951">
        <v>2</v>
      </c>
    </row>
    <row r="952" spans="1:28" x14ac:dyDescent="0.3">
      <c r="A952">
        <v>951</v>
      </c>
      <c r="B952" t="s">
        <v>26</v>
      </c>
      <c r="C952" t="s">
        <v>42</v>
      </c>
      <c r="D952" t="s">
        <v>43</v>
      </c>
      <c r="E952">
        <v>18</v>
      </c>
      <c r="F952" t="s">
        <v>29</v>
      </c>
      <c r="G952" t="s">
        <v>78</v>
      </c>
      <c r="H952">
        <v>3590</v>
      </c>
      <c r="I952" t="s">
        <v>45</v>
      </c>
      <c r="J952" t="s">
        <v>46</v>
      </c>
      <c r="K952" t="s">
        <v>74</v>
      </c>
      <c r="L952" t="s">
        <v>74</v>
      </c>
      <c r="M952">
        <v>3</v>
      </c>
      <c r="N952" t="s">
        <v>34</v>
      </c>
      <c r="O952" t="s">
        <v>75</v>
      </c>
      <c r="P952" t="s">
        <v>36</v>
      </c>
      <c r="Q952">
        <v>3</v>
      </c>
      <c r="R952" t="s">
        <v>68</v>
      </c>
      <c r="S952">
        <v>40</v>
      </c>
      <c r="T952" t="s">
        <v>97</v>
      </c>
      <c r="U952" t="s">
        <v>36</v>
      </c>
      <c r="V952" t="s">
        <v>38</v>
      </c>
      <c r="W952">
        <v>3</v>
      </c>
      <c r="X952" t="s">
        <v>90</v>
      </c>
      <c r="Y952">
        <v>2</v>
      </c>
      <c r="Z952" t="s">
        <v>40</v>
      </c>
      <c r="AA952" t="s">
        <v>40</v>
      </c>
      <c r="AB952">
        <v>1</v>
      </c>
    </row>
    <row r="953" spans="1:28" x14ac:dyDescent="0.3">
      <c r="A953">
        <v>952</v>
      </c>
      <c r="B953" t="s">
        <v>41</v>
      </c>
      <c r="C953" t="s">
        <v>27</v>
      </c>
      <c r="D953" t="s">
        <v>28</v>
      </c>
      <c r="E953">
        <v>36</v>
      </c>
      <c r="F953" t="s">
        <v>62</v>
      </c>
      <c r="G953" t="s">
        <v>78</v>
      </c>
      <c r="H953">
        <v>2145</v>
      </c>
      <c r="I953" t="s">
        <v>45</v>
      </c>
      <c r="J953" t="s">
        <v>46</v>
      </c>
      <c r="K953" t="s">
        <v>55</v>
      </c>
      <c r="L953" t="s">
        <v>56</v>
      </c>
      <c r="M953">
        <v>2</v>
      </c>
      <c r="N953" t="s">
        <v>34</v>
      </c>
      <c r="O953" t="s">
        <v>35</v>
      </c>
      <c r="P953" t="s">
        <v>36</v>
      </c>
      <c r="Q953">
        <v>1</v>
      </c>
      <c r="R953" t="s">
        <v>68</v>
      </c>
      <c r="S953">
        <v>24</v>
      </c>
      <c r="T953" t="s">
        <v>96</v>
      </c>
      <c r="U953" t="s">
        <v>36</v>
      </c>
      <c r="V953" t="s">
        <v>38</v>
      </c>
      <c r="W953">
        <v>2</v>
      </c>
      <c r="X953" t="s">
        <v>39</v>
      </c>
      <c r="Y953">
        <v>1</v>
      </c>
      <c r="Z953" t="s">
        <v>40</v>
      </c>
      <c r="AA953" t="s">
        <v>40</v>
      </c>
      <c r="AB953">
        <v>2</v>
      </c>
    </row>
    <row r="954" spans="1:28" x14ac:dyDescent="0.3">
      <c r="A954">
        <v>953</v>
      </c>
      <c r="B954" t="s">
        <v>41</v>
      </c>
      <c r="C954" t="s">
        <v>42</v>
      </c>
      <c r="D954" t="s">
        <v>43</v>
      </c>
      <c r="E954">
        <v>24</v>
      </c>
      <c r="F954" t="s">
        <v>44</v>
      </c>
      <c r="G954" t="s">
        <v>67</v>
      </c>
      <c r="H954">
        <v>4113</v>
      </c>
      <c r="I954" t="s">
        <v>65</v>
      </c>
      <c r="J954" t="s">
        <v>66</v>
      </c>
      <c r="K954" t="s">
        <v>76</v>
      </c>
      <c r="L954" t="s">
        <v>77</v>
      </c>
      <c r="M954">
        <v>3</v>
      </c>
      <c r="N954" t="s">
        <v>49</v>
      </c>
      <c r="O954" t="s">
        <v>50</v>
      </c>
      <c r="P954" t="s">
        <v>36</v>
      </c>
      <c r="Q954">
        <v>4</v>
      </c>
      <c r="R954" t="s">
        <v>68</v>
      </c>
      <c r="S954">
        <v>28</v>
      </c>
      <c r="T954" t="s">
        <v>98</v>
      </c>
      <c r="U954" t="s">
        <v>36</v>
      </c>
      <c r="V954" t="s">
        <v>69</v>
      </c>
      <c r="W954">
        <v>1</v>
      </c>
      <c r="X954" t="s">
        <v>39</v>
      </c>
      <c r="Y954">
        <v>1</v>
      </c>
      <c r="Z954" t="s">
        <v>51</v>
      </c>
      <c r="AA954" t="s">
        <v>40</v>
      </c>
      <c r="AB954">
        <v>2</v>
      </c>
    </row>
    <row r="955" spans="1:28" x14ac:dyDescent="0.3">
      <c r="A955">
        <v>954</v>
      </c>
      <c r="B955" t="s">
        <v>41</v>
      </c>
      <c r="C955" t="s">
        <v>52</v>
      </c>
      <c r="D955" t="s">
        <v>53</v>
      </c>
      <c r="E955">
        <v>36</v>
      </c>
      <c r="F955" t="s">
        <v>44</v>
      </c>
      <c r="G955" t="s">
        <v>58</v>
      </c>
      <c r="H955">
        <v>10974</v>
      </c>
      <c r="I955" t="s">
        <v>45</v>
      </c>
      <c r="J955" t="s">
        <v>46</v>
      </c>
      <c r="K955" t="s">
        <v>74</v>
      </c>
      <c r="L955" t="s">
        <v>74</v>
      </c>
      <c r="M955">
        <v>4</v>
      </c>
      <c r="N955" t="s">
        <v>49</v>
      </c>
      <c r="O955" t="s">
        <v>50</v>
      </c>
      <c r="P955" t="s">
        <v>36</v>
      </c>
      <c r="Q955">
        <v>2</v>
      </c>
      <c r="R955" t="s">
        <v>68</v>
      </c>
      <c r="S955">
        <v>26</v>
      </c>
      <c r="T955" t="s">
        <v>98</v>
      </c>
      <c r="U955" t="s">
        <v>36</v>
      </c>
      <c r="V955" t="s">
        <v>38</v>
      </c>
      <c r="W955">
        <v>2</v>
      </c>
      <c r="X955" t="s">
        <v>70</v>
      </c>
      <c r="Y955">
        <v>1</v>
      </c>
      <c r="Z955" t="s">
        <v>40</v>
      </c>
      <c r="AA955" t="s">
        <v>40</v>
      </c>
      <c r="AB955">
        <v>2</v>
      </c>
    </row>
    <row r="956" spans="1:28" x14ac:dyDescent="0.3">
      <c r="A956">
        <v>955</v>
      </c>
      <c r="B956" t="s">
        <v>26</v>
      </c>
      <c r="C956" t="s">
        <v>27</v>
      </c>
      <c r="D956" t="s">
        <v>28</v>
      </c>
      <c r="E956">
        <v>12</v>
      </c>
      <c r="F956" t="s">
        <v>44</v>
      </c>
      <c r="G956" t="s">
        <v>63</v>
      </c>
      <c r="H956">
        <v>1893</v>
      </c>
      <c r="I956" t="s">
        <v>45</v>
      </c>
      <c r="J956" t="s">
        <v>46</v>
      </c>
      <c r="K956" t="s">
        <v>47</v>
      </c>
      <c r="L956" t="s">
        <v>48</v>
      </c>
      <c r="M956">
        <v>4</v>
      </c>
      <c r="N956" t="s">
        <v>49</v>
      </c>
      <c r="O956" t="s">
        <v>50</v>
      </c>
      <c r="P956" t="s">
        <v>59</v>
      </c>
      <c r="Q956">
        <v>4</v>
      </c>
      <c r="R956" t="s">
        <v>60</v>
      </c>
      <c r="S956">
        <v>29</v>
      </c>
      <c r="T956" t="s">
        <v>98</v>
      </c>
      <c r="U956" t="s">
        <v>36</v>
      </c>
      <c r="V956" t="s">
        <v>38</v>
      </c>
      <c r="W956">
        <v>1</v>
      </c>
      <c r="X956" t="s">
        <v>39</v>
      </c>
      <c r="Y956">
        <v>1</v>
      </c>
      <c r="Z956" t="s">
        <v>40</v>
      </c>
      <c r="AA956" t="s">
        <v>40</v>
      </c>
      <c r="AB956">
        <v>1</v>
      </c>
    </row>
    <row r="957" spans="1:28" x14ac:dyDescent="0.3">
      <c r="A957">
        <v>956</v>
      </c>
      <c r="B957" t="s">
        <v>26</v>
      </c>
      <c r="C957" t="s">
        <v>27</v>
      </c>
      <c r="D957" t="s">
        <v>28</v>
      </c>
      <c r="E957">
        <v>24</v>
      </c>
      <c r="F957" t="s">
        <v>29</v>
      </c>
      <c r="G957" t="s">
        <v>30</v>
      </c>
      <c r="H957">
        <v>1231</v>
      </c>
      <c r="I957" t="s">
        <v>71</v>
      </c>
      <c r="J957" t="s">
        <v>72</v>
      </c>
      <c r="K957" t="s">
        <v>32</v>
      </c>
      <c r="L957" t="s">
        <v>33</v>
      </c>
      <c r="M957">
        <v>4</v>
      </c>
      <c r="N957" t="s">
        <v>49</v>
      </c>
      <c r="O957" t="s">
        <v>50</v>
      </c>
      <c r="P957" t="s">
        <v>36</v>
      </c>
      <c r="Q957">
        <v>4</v>
      </c>
      <c r="R957" t="s">
        <v>60</v>
      </c>
      <c r="S957">
        <v>57</v>
      </c>
      <c r="T957" t="s">
        <v>97</v>
      </c>
      <c r="U957" t="s">
        <v>36</v>
      </c>
      <c r="V957" t="s">
        <v>69</v>
      </c>
      <c r="W957">
        <v>2</v>
      </c>
      <c r="X957" t="s">
        <v>70</v>
      </c>
      <c r="Y957">
        <v>1</v>
      </c>
      <c r="Z957" t="s">
        <v>40</v>
      </c>
      <c r="AA957" t="s">
        <v>40</v>
      </c>
      <c r="AB957">
        <v>1</v>
      </c>
    </row>
    <row r="958" spans="1:28" x14ac:dyDescent="0.3">
      <c r="A958">
        <v>957</v>
      </c>
      <c r="B958" t="s">
        <v>26</v>
      </c>
      <c r="C958" t="s">
        <v>83</v>
      </c>
      <c r="D958" t="s">
        <v>84</v>
      </c>
      <c r="E958">
        <v>30</v>
      </c>
      <c r="F958" t="s">
        <v>29</v>
      </c>
      <c r="G958" t="s">
        <v>30</v>
      </c>
      <c r="H958">
        <v>3656</v>
      </c>
      <c r="I958" t="s">
        <v>31</v>
      </c>
      <c r="J958" t="s">
        <v>31</v>
      </c>
      <c r="K958" t="s">
        <v>32</v>
      </c>
      <c r="L958" t="s">
        <v>33</v>
      </c>
      <c r="M958">
        <v>4</v>
      </c>
      <c r="N958" t="s">
        <v>34</v>
      </c>
      <c r="O958" t="s">
        <v>35</v>
      </c>
      <c r="P958" t="s">
        <v>36</v>
      </c>
      <c r="Q958">
        <v>4</v>
      </c>
      <c r="R958" t="s">
        <v>60</v>
      </c>
      <c r="S958">
        <v>49</v>
      </c>
      <c r="T958" t="s">
        <v>97</v>
      </c>
      <c r="U958" t="s">
        <v>86</v>
      </c>
      <c r="V958" t="s">
        <v>38</v>
      </c>
      <c r="W958">
        <v>2</v>
      </c>
      <c r="X958" t="s">
        <v>57</v>
      </c>
      <c r="Y958">
        <v>1</v>
      </c>
      <c r="Z958" t="s">
        <v>51</v>
      </c>
      <c r="AA958" t="s">
        <v>40</v>
      </c>
      <c r="AB958">
        <v>1</v>
      </c>
    </row>
    <row r="959" spans="1:28" x14ac:dyDescent="0.3">
      <c r="A959">
        <v>958</v>
      </c>
      <c r="B959" t="s">
        <v>26</v>
      </c>
      <c r="C959" t="s">
        <v>42</v>
      </c>
      <c r="D959" t="s">
        <v>43</v>
      </c>
      <c r="E959">
        <v>9</v>
      </c>
      <c r="F959" t="s">
        <v>29</v>
      </c>
      <c r="G959" t="s">
        <v>30</v>
      </c>
      <c r="H959">
        <v>1154</v>
      </c>
      <c r="I959" t="s">
        <v>45</v>
      </c>
      <c r="J959" t="s">
        <v>46</v>
      </c>
      <c r="K959" t="s">
        <v>32</v>
      </c>
      <c r="L959" t="s">
        <v>33</v>
      </c>
      <c r="M959">
        <v>2</v>
      </c>
      <c r="N959" t="s">
        <v>34</v>
      </c>
      <c r="O959" t="s">
        <v>35</v>
      </c>
      <c r="P959" t="s">
        <v>36</v>
      </c>
      <c r="Q959">
        <v>4</v>
      </c>
      <c r="R959" t="s">
        <v>37</v>
      </c>
      <c r="S959">
        <v>37</v>
      </c>
      <c r="T959" t="s">
        <v>98</v>
      </c>
      <c r="U959" t="s">
        <v>36</v>
      </c>
      <c r="V959" t="s">
        <v>38</v>
      </c>
      <c r="W959">
        <v>3</v>
      </c>
      <c r="X959" t="s">
        <v>57</v>
      </c>
      <c r="Y959">
        <v>1</v>
      </c>
      <c r="Z959" t="s">
        <v>51</v>
      </c>
      <c r="AA959" t="s">
        <v>40</v>
      </c>
      <c r="AB959">
        <v>1</v>
      </c>
    </row>
    <row r="960" spans="1:28" x14ac:dyDescent="0.3">
      <c r="A960">
        <v>959</v>
      </c>
      <c r="B960" t="s">
        <v>41</v>
      </c>
      <c r="C960" t="s">
        <v>27</v>
      </c>
      <c r="D960" t="s">
        <v>28</v>
      </c>
      <c r="E960">
        <v>28</v>
      </c>
      <c r="F960" t="s">
        <v>44</v>
      </c>
      <c r="G960" t="s">
        <v>63</v>
      </c>
      <c r="H960">
        <v>4006</v>
      </c>
      <c r="I960" t="s">
        <v>45</v>
      </c>
      <c r="J960" t="s">
        <v>46</v>
      </c>
      <c r="K960" t="s">
        <v>47</v>
      </c>
      <c r="L960" t="s">
        <v>48</v>
      </c>
      <c r="M960">
        <v>3</v>
      </c>
      <c r="N960" t="s">
        <v>34</v>
      </c>
      <c r="O960" t="s">
        <v>35</v>
      </c>
      <c r="P960" t="s">
        <v>36</v>
      </c>
      <c r="Q960">
        <v>2</v>
      </c>
      <c r="R960" t="s">
        <v>68</v>
      </c>
      <c r="S960">
        <v>45</v>
      </c>
      <c r="T960" t="s">
        <v>97</v>
      </c>
      <c r="U960" t="s">
        <v>36</v>
      </c>
      <c r="V960" t="s">
        <v>38</v>
      </c>
      <c r="W960">
        <v>1</v>
      </c>
      <c r="X960" t="s">
        <v>57</v>
      </c>
      <c r="Y960">
        <v>1</v>
      </c>
      <c r="Z960" t="s">
        <v>51</v>
      </c>
      <c r="AA960" t="s">
        <v>40</v>
      </c>
      <c r="AB960">
        <v>2</v>
      </c>
    </row>
    <row r="961" spans="1:28" x14ac:dyDescent="0.3">
      <c r="A961">
        <v>960</v>
      </c>
      <c r="B961" t="s">
        <v>26</v>
      </c>
      <c r="C961" t="s">
        <v>42</v>
      </c>
      <c r="D961" t="s">
        <v>43</v>
      </c>
      <c r="E961">
        <v>24</v>
      </c>
      <c r="F961" t="s">
        <v>44</v>
      </c>
      <c r="G961" t="s">
        <v>58</v>
      </c>
      <c r="H961">
        <v>3069</v>
      </c>
      <c r="I961" t="s">
        <v>79</v>
      </c>
      <c r="J961" t="s">
        <v>80</v>
      </c>
      <c r="K961" t="s">
        <v>32</v>
      </c>
      <c r="L961" t="s">
        <v>33</v>
      </c>
      <c r="M961">
        <v>4</v>
      </c>
      <c r="N961" t="s">
        <v>34</v>
      </c>
      <c r="O961" t="s">
        <v>35</v>
      </c>
      <c r="P961" t="s">
        <v>36</v>
      </c>
      <c r="Q961">
        <v>4</v>
      </c>
      <c r="R961" t="s">
        <v>64</v>
      </c>
      <c r="S961">
        <v>30</v>
      </c>
      <c r="T961" t="s">
        <v>98</v>
      </c>
      <c r="U961" t="s">
        <v>36</v>
      </c>
      <c r="V961" t="s">
        <v>61</v>
      </c>
      <c r="W961">
        <v>1</v>
      </c>
      <c r="X961" t="s">
        <v>39</v>
      </c>
      <c r="Y961">
        <v>1</v>
      </c>
      <c r="Z961" t="s">
        <v>51</v>
      </c>
      <c r="AA961" t="s">
        <v>40</v>
      </c>
      <c r="AB961">
        <v>1</v>
      </c>
    </row>
    <row r="962" spans="1:28" x14ac:dyDescent="0.3">
      <c r="A962">
        <v>961</v>
      </c>
      <c r="B962" t="s">
        <v>26</v>
      </c>
      <c r="C962" t="s">
        <v>52</v>
      </c>
      <c r="D962" t="s">
        <v>53</v>
      </c>
      <c r="E962">
        <v>6</v>
      </c>
      <c r="F962" t="s">
        <v>29</v>
      </c>
      <c r="G962" t="s">
        <v>30</v>
      </c>
      <c r="H962">
        <v>1740</v>
      </c>
      <c r="I962" t="s">
        <v>45</v>
      </c>
      <c r="J962" t="s">
        <v>46</v>
      </c>
      <c r="K962" t="s">
        <v>32</v>
      </c>
      <c r="L962" t="s">
        <v>33</v>
      </c>
      <c r="M962">
        <v>2</v>
      </c>
      <c r="N962" t="s">
        <v>34</v>
      </c>
      <c r="O962" t="s">
        <v>75</v>
      </c>
      <c r="P962" t="s">
        <v>36</v>
      </c>
      <c r="Q962">
        <v>2</v>
      </c>
      <c r="R962" t="s">
        <v>37</v>
      </c>
      <c r="S962">
        <v>30</v>
      </c>
      <c r="T962" t="s">
        <v>98</v>
      </c>
      <c r="U962" t="s">
        <v>36</v>
      </c>
      <c r="V962" t="s">
        <v>69</v>
      </c>
      <c r="W962">
        <v>2</v>
      </c>
      <c r="X962" t="s">
        <v>39</v>
      </c>
      <c r="Y962">
        <v>1</v>
      </c>
      <c r="Z962" t="s">
        <v>51</v>
      </c>
      <c r="AA962" t="s">
        <v>40</v>
      </c>
      <c r="AB962">
        <v>1</v>
      </c>
    </row>
    <row r="963" spans="1:28" x14ac:dyDescent="0.3">
      <c r="A963">
        <v>962</v>
      </c>
      <c r="B963" t="s">
        <v>26</v>
      </c>
      <c r="C963" t="s">
        <v>42</v>
      </c>
      <c r="D963" t="s">
        <v>43</v>
      </c>
      <c r="E963">
        <v>21</v>
      </c>
      <c r="F963" t="s">
        <v>62</v>
      </c>
      <c r="G963" t="s">
        <v>63</v>
      </c>
      <c r="H963">
        <v>2353</v>
      </c>
      <c r="I963" t="s">
        <v>45</v>
      </c>
      <c r="J963" t="s">
        <v>46</v>
      </c>
      <c r="K963" t="s">
        <v>47</v>
      </c>
      <c r="L963" t="s">
        <v>48</v>
      </c>
      <c r="M963">
        <v>1</v>
      </c>
      <c r="N963" t="s">
        <v>34</v>
      </c>
      <c r="O963" t="s">
        <v>73</v>
      </c>
      <c r="P963" t="s">
        <v>36</v>
      </c>
      <c r="Q963">
        <v>4</v>
      </c>
      <c r="R963" t="s">
        <v>60</v>
      </c>
      <c r="S963">
        <v>47</v>
      </c>
      <c r="T963" t="s">
        <v>97</v>
      </c>
      <c r="U963" t="s">
        <v>36</v>
      </c>
      <c r="V963" t="s">
        <v>38</v>
      </c>
      <c r="W963">
        <v>2</v>
      </c>
      <c r="X963" t="s">
        <v>39</v>
      </c>
      <c r="Y963">
        <v>1</v>
      </c>
      <c r="Z963" t="s">
        <v>51</v>
      </c>
      <c r="AA963" t="s">
        <v>40</v>
      </c>
      <c r="AB963">
        <v>1</v>
      </c>
    </row>
    <row r="964" spans="1:28" x14ac:dyDescent="0.3">
      <c r="A964">
        <v>963</v>
      </c>
      <c r="B964" t="s">
        <v>26</v>
      </c>
      <c r="C964" t="s">
        <v>52</v>
      </c>
      <c r="D964" t="s">
        <v>53</v>
      </c>
      <c r="E964">
        <v>15</v>
      </c>
      <c r="F964" t="s">
        <v>44</v>
      </c>
      <c r="G964" t="s">
        <v>63</v>
      </c>
      <c r="H964">
        <v>3556</v>
      </c>
      <c r="I964" t="s">
        <v>31</v>
      </c>
      <c r="J964" t="s">
        <v>31</v>
      </c>
      <c r="K964" t="s">
        <v>47</v>
      </c>
      <c r="L964" t="s">
        <v>48</v>
      </c>
      <c r="M964">
        <v>3</v>
      </c>
      <c r="N964" t="s">
        <v>34</v>
      </c>
      <c r="O964" t="s">
        <v>35</v>
      </c>
      <c r="P964" t="s">
        <v>36</v>
      </c>
      <c r="Q964">
        <v>2</v>
      </c>
      <c r="R964" t="s">
        <v>64</v>
      </c>
      <c r="S964">
        <v>29</v>
      </c>
      <c r="T964" t="s">
        <v>98</v>
      </c>
      <c r="U964" t="s">
        <v>36</v>
      </c>
      <c r="V964" t="s">
        <v>38</v>
      </c>
      <c r="W964">
        <v>1</v>
      </c>
      <c r="X964" t="s">
        <v>39</v>
      </c>
      <c r="Y964">
        <v>1</v>
      </c>
      <c r="Z964" t="s">
        <v>51</v>
      </c>
      <c r="AA964" t="s">
        <v>40</v>
      </c>
      <c r="AB964">
        <v>1</v>
      </c>
    </row>
    <row r="965" spans="1:28" x14ac:dyDescent="0.3">
      <c r="A965">
        <v>964</v>
      </c>
      <c r="B965" t="s">
        <v>41</v>
      </c>
      <c r="C965" t="s">
        <v>52</v>
      </c>
      <c r="D965" t="s">
        <v>53</v>
      </c>
      <c r="E965">
        <v>24</v>
      </c>
      <c r="F965" t="s">
        <v>44</v>
      </c>
      <c r="G965" t="s">
        <v>30</v>
      </c>
      <c r="H965">
        <v>2397</v>
      </c>
      <c r="I965" t="s">
        <v>65</v>
      </c>
      <c r="J965" t="s">
        <v>66</v>
      </c>
      <c r="K965" t="s">
        <v>32</v>
      </c>
      <c r="L965" t="s">
        <v>33</v>
      </c>
      <c r="M965">
        <v>3</v>
      </c>
      <c r="N965" t="s">
        <v>34</v>
      </c>
      <c r="O965" t="s">
        <v>35</v>
      </c>
      <c r="P965" t="s">
        <v>36</v>
      </c>
      <c r="Q965">
        <v>2</v>
      </c>
      <c r="R965" t="s">
        <v>68</v>
      </c>
      <c r="S965">
        <v>35</v>
      </c>
      <c r="T965" t="s">
        <v>98</v>
      </c>
      <c r="U965" t="s">
        <v>82</v>
      </c>
      <c r="V965" t="s">
        <v>38</v>
      </c>
      <c r="W965">
        <v>2</v>
      </c>
      <c r="X965" t="s">
        <v>39</v>
      </c>
      <c r="Y965">
        <v>1</v>
      </c>
      <c r="Z965" t="s">
        <v>40</v>
      </c>
      <c r="AA965" t="s">
        <v>40</v>
      </c>
      <c r="AB965">
        <v>2</v>
      </c>
    </row>
    <row r="966" spans="1:28" x14ac:dyDescent="0.3">
      <c r="A966">
        <v>965</v>
      </c>
      <c r="B966" t="s">
        <v>26</v>
      </c>
      <c r="C966" t="s">
        <v>42</v>
      </c>
      <c r="D966" t="s">
        <v>43</v>
      </c>
      <c r="E966">
        <v>6</v>
      </c>
      <c r="F966" t="s">
        <v>44</v>
      </c>
      <c r="G966" t="s">
        <v>89</v>
      </c>
      <c r="H966">
        <v>454</v>
      </c>
      <c r="I966" t="s">
        <v>45</v>
      </c>
      <c r="J966" t="s">
        <v>46</v>
      </c>
      <c r="K966" t="s">
        <v>76</v>
      </c>
      <c r="L966" t="s">
        <v>77</v>
      </c>
      <c r="M966">
        <v>3</v>
      </c>
      <c r="N966" t="s">
        <v>34</v>
      </c>
      <c r="O966" t="s">
        <v>75</v>
      </c>
      <c r="P966" t="s">
        <v>36</v>
      </c>
      <c r="Q966">
        <v>1</v>
      </c>
      <c r="R966" t="s">
        <v>60</v>
      </c>
      <c r="S966">
        <v>22</v>
      </c>
      <c r="T966" t="s">
        <v>96</v>
      </c>
      <c r="U966" t="s">
        <v>36</v>
      </c>
      <c r="V966" t="s">
        <v>38</v>
      </c>
      <c r="W966">
        <v>1</v>
      </c>
      <c r="X966" t="s">
        <v>57</v>
      </c>
      <c r="Y966">
        <v>1</v>
      </c>
      <c r="Z966" t="s">
        <v>51</v>
      </c>
      <c r="AA966" t="s">
        <v>40</v>
      </c>
      <c r="AB966">
        <v>1</v>
      </c>
    </row>
    <row r="967" spans="1:28" x14ac:dyDescent="0.3">
      <c r="A967">
        <v>966</v>
      </c>
      <c r="B967" t="s">
        <v>26</v>
      </c>
      <c r="C967" t="s">
        <v>42</v>
      </c>
      <c r="D967" t="s">
        <v>43</v>
      </c>
      <c r="E967">
        <v>30</v>
      </c>
      <c r="F967" t="s">
        <v>44</v>
      </c>
      <c r="G967" t="s">
        <v>30</v>
      </c>
      <c r="H967">
        <v>1715</v>
      </c>
      <c r="I967" t="s">
        <v>31</v>
      </c>
      <c r="J967" t="s">
        <v>31</v>
      </c>
      <c r="K967" t="s">
        <v>47</v>
      </c>
      <c r="L967" t="s">
        <v>48</v>
      </c>
      <c r="M967">
        <v>4</v>
      </c>
      <c r="N967" t="s">
        <v>49</v>
      </c>
      <c r="O967" t="s">
        <v>50</v>
      </c>
      <c r="P967" t="s">
        <v>36</v>
      </c>
      <c r="Q967">
        <v>1</v>
      </c>
      <c r="R967" t="s">
        <v>68</v>
      </c>
      <c r="S967">
        <v>26</v>
      </c>
      <c r="T967" t="s">
        <v>98</v>
      </c>
      <c r="U967" t="s">
        <v>36</v>
      </c>
      <c r="V967" t="s">
        <v>38</v>
      </c>
      <c r="W967">
        <v>1</v>
      </c>
      <c r="X967" t="s">
        <v>39</v>
      </c>
      <c r="Y967">
        <v>1</v>
      </c>
      <c r="Z967" t="s">
        <v>51</v>
      </c>
      <c r="AA967" t="s">
        <v>40</v>
      </c>
      <c r="AB967">
        <v>1</v>
      </c>
    </row>
    <row r="968" spans="1:28" x14ac:dyDescent="0.3">
      <c r="A968">
        <v>967</v>
      </c>
      <c r="B968" t="s">
        <v>41</v>
      </c>
      <c r="C968" t="s">
        <v>42</v>
      </c>
      <c r="D968" t="s">
        <v>43</v>
      </c>
      <c r="E968">
        <v>27</v>
      </c>
      <c r="F968" t="s">
        <v>29</v>
      </c>
      <c r="G968" t="s">
        <v>30</v>
      </c>
      <c r="H968">
        <v>2520</v>
      </c>
      <c r="I968" t="s">
        <v>65</v>
      </c>
      <c r="J968" t="s">
        <v>66</v>
      </c>
      <c r="K968" t="s">
        <v>47</v>
      </c>
      <c r="L968" t="s">
        <v>48</v>
      </c>
      <c r="M968">
        <v>4</v>
      </c>
      <c r="N968" t="s">
        <v>34</v>
      </c>
      <c r="O968" t="s">
        <v>35</v>
      </c>
      <c r="P968" t="s">
        <v>36</v>
      </c>
      <c r="Q968">
        <v>2</v>
      </c>
      <c r="R968" t="s">
        <v>60</v>
      </c>
      <c r="S968">
        <v>23</v>
      </c>
      <c r="T968" t="s">
        <v>96</v>
      </c>
      <c r="U968" t="s">
        <v>36</v>
      </c>
      <c r="V968" t="s">
        <v>38</v>
      </c>
      <c r="W968">
        <v>2</v>
      </c>
      <c r="X968" t="s">
        <v>57</v>
      </c>
      <c r="Y968">
        <v>1</v>
      </c>
      <c r="Z968" t="s">
        <v>51</v>
      </c>
      <c r="AA968" t="s">
        <v>40</v>
      </c>
      <c r="AB968">
        <v>2</v>
      </c>
    </row>
    <row r="969" spans="1:28" x14ac:dyDescent="0.3">
      <c r="A969">
        <v>968</v>
      </c>
      <c r="B969" t="s">
        <v>26</v>
      </c>
      <c r="C969" t="s">
        <v>52</v>
      </c>
      <c r="D969" t="s">
        <v>53</v>
      </c>
      <c r="E969">
        <v>15</v>
      </c>
      <c r="F969" t="s">
        <v>44</v>
      </c>
      <c r="G969" t="s">
        <v>30</v>
      </c>
      <c r="H969">
        <v>3568</v>
      </c>
      <c r="I969" t="s">
        <v>45</v>
      </c>
      <c r="J969" t="s">
        <v>46</v>
      </c>
      <c r="K969" t="s">
        <v>32</v>
      </c>
      <c r="L969" t="s">
        <v>33</v>
      </c>
      <c r="M969">
        <v>4</v>
      </c>
      <c r="N969" t="s">
        <v>49</v>
      </c>
      <c r="O969" t="s">
        <v>50</v>
      </c>
      <c r="P969" t="s">
        <v>36</v>
      </c>
      <c r="Q969">
        <v>2</v>
      </c>
      <c r="R969" t="s">
        <v>68</v>
      </c>
      <c r="S969">
        <v>54</v>
      </c>
      <c r="T969" t="s">
        <v>97</v>
      </c>
      <c r="U969" t="s">
        <v>82</v>
      </c>
      <c r="V969" t="s">
        <v>69</v>
      </c>
      <c r="W969">
        <v>1</v>
      </c>
      <c r="X969" t="s">
        <v>70</v>
      </c>
      <c r="Y969">
        <v>1</v>
      </c>
      <c r="Z969" t="s">
        <v>40</v>
      </c>
      <c r="AA969" t="s">
        <v>40</v>
      </c>
      <c r="AB969">
        <v>1</v>
      </c>
    </row>
    <row r="970" spans="1:28" x14ac:dyDescent="0.3">
      <c r="A970">
        <v>969</v>
      </c>
      <c r="B970" t="s">
        <v>26</v>
      </c>
      <c r="C970" t="s">
        <v>52</v>
      </c>
      <c r="D970" t="s">
        <v>53</v>
      </c>
      <c r="E970">
        <v>42</v>
      </c>
      <c r="F970" t="s">
        <v>44</v>
      </c>
      <c r="G970" t="s">
        <v>30</v>
      </c>
      <c r="H970">
        <v>7166</v>
      </c>
      <c r="I970" t="s">
        <v>31</v>
      </c>
      <c r="J970" t="s">
        <v>31</v>
      </c>
      <c r="K970" t="s">
        <v>55</v>
      </c>
      <c r="L970" t="s">
        <v>56</v>
      </c>
      <c r="M970">
        <v>2</v>
      </c>
      <c r="N970" t="s">
        <v>34</v>
      </c>
      <c r="O970" t="s">
        <v>75</v>
      </c>
      <c r="P970" t="s">
        <v>36</v>
      </c>
      <c r="Q970">
        <v>4</v>
      </c>
      <c r="R970" t="s">
        <v>60</v>
      </c>
      <c r="S970">
        <v>29</v>
      </c>
      <c r="T970" t="s">
        <v>98</v>
      </c>
      <c r="U970" t="s">
        <v>36</v>
      </c>
      <c r="V970" t="s">
        <v>69</v>
      </c>
      <c r="W970">
        <v>1</v>
      </c>
      <c r="X970" t="s">
        <v>39</v>
      </c>
      <c r="Y970">
        <v>1</v>
      </c>
      <c r="Z970" t="s">
        <v>40</v>
      </c>
      <c r="AA970" t="s">
        <v>40</v>
      </c>
      <c r="AB970">
        <v>1</v>
      </c>
    </row>
    <row r="971" spans="1:28" x14ac:dyDescent="0.3">
      <c r="A971">
        <v>970</v>
      </c>
      <c r="B971" t="s">
        <v>26</v>
      </c>
      <c r="C971" t="s">
        <v>27</v>
      </c>
      <c r="D971" t="s">
        <v>28</v>
      </c>
      <c r="E971">
        <v>11</v>
      </c>
      <c r="F971" t="s">
        <v>29</v>
      </c>
      <c r="G971" t="s">
        <v>63</v>
      </c>
      <c r="H971">
        <v>3939</v>
      </c>
      <c r="I971" t="s">
        <v>45</v>
      </c>
      <c r="J971" t="s">
        <v>46</v>
      </c>
      <c r="K971" t="s">
        <v>47</v>
      </c>
      <c r="L971" t="s">
        <v>48</v>
      </c>
      <c r="M971">
        <v>1</v>
      </c>
      <c r="N971" t="s">
        <v>34</v>
      </c>
      <c r="O971" t="s">
        <v>35</v>
      </c>
      <c r="P971" t="s">
        <v>36</v>
      </c>
      <c r="Q971">
        <v>2</v>
      </c>
      <c r="R971" t="s">
        <v>37</v>
      </c>
      <c r="S971">
        <v>40</v>
      </c>
      <c r="T971" t="s">
        <v>97</v>
      </c>
      <c r="U971" t="s">
        <v>36</v>
      </c>
      <c r="V971" t="s">
        <v>38</v>
      </c>
      <c r="W971">
        <v>2</v>
      </c>
      <c r="X971" t="s">
        <v>57</v>
      </c>
      <c r="Y971">
        <v>2</v>
      </c>
      <c r="Z971" t="s">
        <v>51</v>
      </c>
      <c r="AA971" t="s">
        <v>40</v>
      </c>
      <c r="AB971">
        <v>1</v>
      </c>
    </row>
    <row r="972" spans="1:28" x14ac:dyDescent="0.3">
      <c r="A972">
        <v>971</v>
      </c>
      <c r="B972" t="s">
        <v>26</v>
      </c>
      <c r="C972" t="s">
        <v>42</v>
      </c>
      <c r="D972" t="s">
        <v>43</v>
      </c>
      <c r="E972">
        <v>15</v>
      </c>
      <c r="F972" t="s">
        <v>44</v>
      </c>
      <c r="G972" t="s">
        <v>89</v>
      </c>
      <c r="H972">
        <v>1514</v>
      </c>
      <c r="I972" t="s">
        <v>79</v>
      </c>
      <c r="J972" t="s">
        <v>80</v>
      </c>
      <c r="K972" t="s">
        <v>47</v>
      </c>
      <c r="L972" t="s">
        <v>48</v>
      </c>
      <c r="M972">
        <v>4</v>
      </c>
      <c r="N972" t="s">
        <v>34</v>
      </c>
      <c r="O972" t="s">
        <v>35</v>
      </c>
      <c r="P972" t="s">
        <v>59</v>
      </c>
      <c r="Q972">
        <v>2</v>
      </c>
      <c r="R972" t="s">
        <v>37</v>
      </c>
      <c r="S972">
        <v>22</v>
      </c>
      <c r="T972" t="s">
        <v>96</v>
      </c>
      <c r="U972" t="s">
        <v>36</v>
      </c>
      <c r="V972" t="s">
        <v>38</v>
      </c>
      <c r="W972">
        <v>1</v>
      </c>
      <c r="X972" t="s">
        <v>39</v>
      </c>
      <c r="Y972">
        <v>1</v>
      </c>
      <c r="Z972" t="s">
        <v>51</v>
      </c>
      <c r="AA972" t="s">
        <v>40</v>
      </c>
      <c r="AB972">
        <v>1</v>
      </c>
    </row>
    <row r="973" spans="1:28" x14ac:dyDescent="0.3">
      <c r="A973">
        <v>972</v>
      </c>
      <c r="B973" t="s">
        <v>26</v>
      </c>
      <c r="C973" t="s">
        <v>52</v>
      </c>
      <c r="D973" t="s">
        <v>53</v>
      </c>
      <c r="E973">
        <v>24</v>
      </c>
      <c r="F973" t="s">
        <v>44</v>
      </c>
      <c r="G973" t="s">
        <v>63</v>
      </c>
      <c r="H973">
        <v>7393</v>
      </c>
      <c r="I973" t="s">
        <v>45</v>
      </c>
      <c r="J973" t="s">
        <v>46</v>
      </c>
      <c r="K973" t="s">
        <v>47</v>
      </c>
      <c r="L973" t="s">
        <v>48</v>
      </c>
      <c r="M973">
        <v>1</v>
      </c>
      <c r="N973" t="s">
        <v>34</v>
      </c>
      <c r="O973" t="s">
        <v>35</v>
      </c>
      <c r="P973" t="s">
        <v>36</v>
      </c>
      <c r="Q973">
        <v>4</v>
      </c>
      <c r="R973" t="s">
        <v>60</v>
      </c>
      <c r="S973">
        <v>43</v>
      </c>
      <c r="T973" t="s">
        <v>97</v>
      </c>
      <c r="U973" t="s">
        <v>36</v>
      </c>
      <c r="V973" t="s">
        <v>38</v>
      </c>
      <c r="W973">
        <v>1</v>
      </c>
      <c r="X973" t="s">
        <v>57</v>
      </c>
      <c r="Y973">
        <v>2</v>
      </c>
      <c r="Z973" t="s">
        <v>51</v>
      </c>
      <c r="AA973" t="s">
        <v>40</v>
      </c>
      <c r="AB973">
        <v>1</v>
      </c>
    </row>
    <row r="974" spans="1:28" x14ac:dyDescent="0.3">
      <c r="A974">
        <v>973</v>
      </c>
      <c r="B974" t="s">
        <v>41</v>
      </c>
      <c r="C974" t="s">
        <v>27</v>
      </c>
      <c r="D974" t="s">
        <v>28</v>
      </c>
      <c r="E974">
        <v>24</v>
      </c>
      <c r="F974" t="s">
        <v>85</v>
      </c>
      <c r="G974" t="s">
        <v>63</v>
      </c>
      <c r="H974">
        <v>1193</v>
      </c>
      <c r="I974" t="s">
        <v>45</v>
      </c>
      <c r="J974" t="s">
        <v>46</v>
      </c>
      <c r="K974" t="s">
        <v>74</v>
      </c>
      <c r="L974" t="s">
        <v>74</v>
      </c>
      <c r="M974">
        <v>1</v>
      </c>
      <c r="N974" t="s">
        <v>49</v>
      </c>
      <c r="O974" t="s">
        <v>50</v>
      </c>
      <c r="P974" t="s">
        <v>87</v>
      </c>
      <c r="Q974">
        <v>4</v>
      </c>
      <c r="R974" t="s">
        <v>64</v>
      </c>
      <c r="S974">
        <v>29</v>
      </c>
      <c r="T974" t="s">
        <v>98</v>
      </c>
      <c r="U974" t="s">
        <v>36</v>
      </c>
      <c r="V974" t="s">
        <v>69</v>
      </c>
      <c r="W974">
        <v>2</v>
      </c>
      <c r="X974" t="s">
        <v>90</v>
      </c>
      <c r="Y974">
        <v>1</v>
      </c>
      <c r="Z974" t="s">
        <v>51</v>
      </c>
      <c r="AA974" t="s">
        <v>40</v>
      </c>
      <c r="AB974">
        <v>2</v>
      </c>
    </row>
    <row r="975" spans="1:28" x14ac:dyDescent="0.3">
      <c r="A975">
        <v>974</v>
      </c>
      <c r="B975" t="s">
        <v>41</v>
      </c>
      <c r="C975" t="s">
        <v>27</v>
      </c>
      <c r="D975" t="s">
        <v>28</v>
      </c>
      <c r="E975">
        <v>60</v>
      </c>
      <c r="F975" t="s">
        <v>44</v>
      </c>
      <c r="G975" t="s">
        <v>78</v>
      </c>
      <c r="H975">
        <v>7297</v>
      </c>
      <c r="I975" t="s">
        <v>45</v>
      </c>
      <c r="J975" t="s">
        <v>46</v>
      </c>
      <c r="K975" t="s">
        <v>32</v>
      </c>
      <c r="L975" t="s">
        <v>33</v>
      </c>
      <c r="M975">
        <v>4</v>
      </c>
      <c r="N975" t="s">
        <v>34</v>
      </c>
      <c r="O975" t="s">
        <v>35</v>
      </c>
      <c r="P975" t="s">
        <v>87</v>
      </c>
      <c r="Q975">
        <v>4</v>
      </c>
      <c r="R975" t="s">
        <v>64</v>
      </c>
      <c r="S975">
        <v>36</v>
      </c>
      <c r="T975" t="s">
        <v>98</v>
      </c>
      <c r="U975" t="s">
        <v>36</v>
      </c>
      <c r="V975" t="s">
        <v>69</v>
      </c>
      <c r="W975">
        <v>1</v>
      </c>
      <c r="X975" t="s">
        <v>39</v>
      </c>
      <c r="Y975">
        <v>1</v>
      </c>
      <c r="Z975" t="s">
        <v>51</v>
      </c>
      <c r="AA975" t="s">
        <v>40</v>
      </c>
      <c r="AB975">
        <v>2</v>
      </c>
    </row>
    <row r="976" spans="1:28" x14ac:dyDescent="0.3">
      <c r="A976">
        <v>975</v>
      </c>
      <c r="B976" t="s">
        <v>26</v>
      </c>
      <c r="C976" t="s">
        <v>52</v>
      </c>
      <c r="D976" t="s">
        <v>53</v>
      </c>
      <c r="E976">
        <v>30</v>
      </c>
      <c r="F976" t="s">
        <v>29</v>
      </c>
      <c r="G976" t="s">
        <v>30</v>
      </c>
      <c r="H976">
        <v>2831</v>
      </c>
      <c r="I976" t="s">
        <v>45</v>
      </c>
      <c r="J976" t="s">
        <v>46</v>
      </c>
      <c r="K976" t="s">
        <v>47</v>
      </c>
      <c r="L976" t="s">
        <v>48</v>
      </c>
      <c r="M976">
        <v>4</v>
      </c>
      <c r="N976" t="s">
        <v>49</v>
      </c>
      <c r="O976" t="s">
        <v>50</v>
      </c>
      <c r="P976" t="s">
        <v>36</v>
      </c>
      <c r="Q976">
        <v>2</v>
      </c>
      <c r="R976" t="s">
        <v>68</v>
      </c>
      <c r="S976">
        <v>33</v>
      </c>
      <c r="T976" t="s">
        <v>98</v>
      </c>
      <c r="U976" t="s">
        <v>36</v>
      </c>
      <c r="V976" t="s">
        <v>38</v>
      </c>
      <c r="W976">
        <v>1</v>
      </c>
      <c r="X976" t="s">
        <v>39</v>
      </c>
      <c r="Y976">
        <v>1</v>
      </c>
      <c r="Z976" t="s">
        <v>40</v>
      </c>
      <c r="AA976" t="s">
        <v>40</v>
      </c>
      <c r="AB976">
        <v>1</v>
      </c>
    </row>
    <row r="977" spans="1:28" x14ac:dyDescent="0.3">
      <c r="A977">
        <v>976</v>
      </c>
      <c r="B977" t="s">
        <v>26</v>
      </c>
      <c r="C977" t="s">
        <v>83</v>
      </c>
      <c r="D977" t="s">
        <v>84</v>
      </c>
      <c r="E977">
        <v>24</v>
      </c>
      <c r="F977" t="s">
        <v>44</v>
      </c>
      <c r="G977" t="s">
        <v>30</v>
      </c>
      <c r="H977">
        <v>1258</v>
      </c>
      <c r="I977" t="s">
        <v>65</v>
      </c>
      <c r="J977" t="s">
        <v>66</v>
      </c>
      <c r="K977" t="s">
        <v>47</v>
      </c>
      <c r="L977" t="s">
        <v>48</v>
      </c>
      <c r="M977">
        <v>3</v>
      </c>
      <c r="N977" t="s">
        <v>49</v>
      </c>
      <c r="O977" t="s">
        <v>50</v>
      </c>
      <c r="P977" t="s">
        <v>36</v>
      </c>
      <c r="Q977">
        <v>3</v>
      </c>
      <c r="R977" t="s">
        <v>68</v>
      </c>
      <c r="S977">
        <v>57</v>
      </c>
      <c r="T977" t="s">
        <v>97</v>
      </c>
      <c r="U977" t="s">
        <v>36</v>
      </c>
      <c r="V977" t="s">
        <v>38</v>
      </c>
      <c r="W977">
        <v>1</v>
      </c>
      <c r="X977" t="s">
        <v>57</v>
      </c>
      <c r="Y977">
        <v>1</v>
      </c>
      <c r="Z977" t="s">
        <v>51</v>
      </c>
      <c r="AA977" t="s">
        <v>40</v>
      </c>
      <c r="AB977">
        <v>1</v>
      </c>
    </row>
    <row r="978" spans="1:28" x14ac:dyDescent="0.3">
      <c r="A978">
        <v>977</v>
      </c>
      <c r="B978" t="s">
        <v>26</v>
      </c>
      <c r="C978" t="s">
        <v>42</v>
      </c>
      <c r="D978" t="s">
        <v>43</v>
      </c>
      <c r="E978">
        <v>6</v>
      </c>
      <c r="F978" t="s">
        <v>44</v>
      </c>
      <c r="G978" t="s">
        <v>30</v>
      </c>
      <c r="H978">
        <v>753</v>
      </c>
      <c r="I978" t="s">
        <v>45</v>
      </c>
      <c r="J978" t="s">
        <v>46</v>
      </c>
      <c r="K978" t="s">
        <v>47</v>
      </c>
      <c r="L978" t="s">
        <v>48</v>
      </c>
      <c r="M978">
        <v>2</v>
      </c>
      <c r="N978" t="s">
        <v>49</v>
      </c>
      <c r="O978" t="s">
        <v>50</v>
      </c>
      <c r="P978" t="s">
        <v>59</v>
      </c>
      <c r="Q978">
        <v>3</v>
      </c>
      <c r="R978" t="s">
        <v>37</v>
      </c>
      <c r="S978">
        <v>64</v>
      </c>
      <c r="T978" t="s">
        <v>95</v>
      </c>
      <c r="U978" t="s">
        <v>36</v>
      </c>
      <c r="V978" t="s">
        <v>38</v>
      </c>
      <c r="W978">
        <v>1</v>
      </c>
      <c r="X978" t="s">
        <v>39</v>
      </c>
      <c r="Y978">
        <v>1</v>
      </c>
      <c r="Z978" t="s">
        <v>51</v>
      </c>
      <c r="AA978" t="s">
        <v>40</v>
      </c>
      <c r="AB978">
        <v>1</v>
      </c>
    </row>
    <row r="979" spans="1:28" x14ac:dyDescent="0.3">
      <c r="A979">
        <v>978</v>
      </c>
      <c r="B979" t="s">
        <v>26</v>
      </c>
      <c r="C979" t="s">
        <v>42</v>
      </c>
      <c r="D979" t="s">
        <v>43</v>
      </c>
      <c r="E979">
        <v>18</v>
      </c>
      <c r="F979" t="s">
        <v>62</v>
      </c>
      <c r="G979" t="s">
        <v>78</v>
      </c>
      <c r="H979">
        <v>2427</v>
      </c>
      <c r="I979" t="s">
        <v>31</v>
      </c>
      <c r="J979" t="s">
        <v>31</v>
      </c>
      <c r="K979" t="s">
        <v>32</v>
      </c>
      <c r="L979" t="s">
        <v>33</v>
      </c>
      <c r="M979">
        <v>4</v>
      </c>
      <c r="N979" t="s">
        <v>34</v>
      </c>
      <c r="O979" t="s">
        <v>35</v>
      </c>
      <c r="P979" t="s">
        <v>36</v>
      </c>
      <c r="Q979">
        <v>2</v>
      </c>
      <c r="R979" t="s">
        <v>60</v>
      </c>
      <c r="S979">
        <v>42</v>
      </c>
      <c r="T979" t="s">
        <v>97</v>
      </c>
      <c r="U979" t="s">
        <v>36</v>
      </c>
      <c r="V979" t="s">
        <v>38</v>
      </c>
      <c r="W979">
        <v>2</v>
      </c>
      <c r="X979" t="s">
        <v>39</v>
      </c>
      <c r="Y979">
        <v>1</v>
      </c>
      <c r="Z979" t="s">
        <v>51</v>
      </c>
      <c r="AA979" t="s">
        <v>40</v>
      </c>
      <c r="AB979">
        <v>1</v>
      </c>
    </row>
    <row r="980" spans="1:28" x14ac:dyDescent="0.3">
      <c r="A980">
        <v>979</v>
      </c>
      <c r="B980" t="s">
        <v>41</v>
      </c>
      <c r="C980" t="s">
        <v>52</v>
      </c>
      <c r="D980" t="s">
        <v>53</v>
      </c>
      <c r="E980">
        <v>24</v>
      </c>
      <c r="F980" t="s">
        <v>62</v>
      </c>
      <c r="G980" t="s">
        <v>63</v>
      </c>
      <c r="H980">
        <v>2538</v>
      </c>
      <c r="I980" t="s">
        <v>45</v>
      </c>
      <c r="J980" t="s">
        <v>46</v>
      </c>
      <c r="K980" t="s">
        <v>32</v>
      </c>
      <c r="L980" t="s">
        <v>33</v>
      </c>
      <c r="M980">
        <v>4</v>
      </c>
      <c r="N980" t="s">
        <v>34</v>
      </c>
      <c r="O980" t="s">
        <v>35</v>
      </c>
      <c r="P980" t="s">
        <v>36</v>
      </c>
      <c r="Q980">
        <v>4</v>
      </c>
      <c r="R980" t="s">
        <v>68</v>
      </c>
      <c r="S980">
        <v>47</v>
      </c>
      <c r="T980" t="s">
        <v>97</v>
      </c>
      <c r="U980" t="s">
        <v>36</v>
      </c>
      <c r="V980" t="s">
        <v>38</v>
      </c>
      <c r="W980">
        <v>2</v>
      </c>
      <c r="X980" t="s">
        <v>57</v>
      </c>
      <c r="Y980">
        <v>2</v>
      </c>
      <c r="Z980" t="s">
        <v>51</v>
      </c>
      <c r="AA980" t="s">
        <v>40</v>
      </c>
      <c r="AB980">
        <v>2</v>
      </c>
    </row>
    <row r="981" spans="1:28" x14ac:dyDescent="0.3">
      <c r="A981">
        <v>980</v>
      </c>
      <c r="B981" t="s">
        <v>41</v>
      </c>
      <c r="C981" t="s">
        <v>42</v>
      </c>
      <c r="D981" t="s">
        <v>43</v>
      </c>
      <c r="E981">
        <v>15</v>
      </c>
      <c r="F981" t="s">
        <v>85</v>
      </c>
      <c r="G981" t="s">
        <v>63</v>
      </c>
      <c r="H981">
        <v>1264</v>
      </c>
      <c r="I981" t="s">
        <v>79</v>
      </c>
      <c r="J981" t="s">
        <v>80</v>
      </c>
      <c r="K981" t="s">
        <v>47</v>
      </c>
      <c r="L981" t="s">
        <v>48</v>
      </c>
      <c r="M981">
        <v>2</v>
      </c>
      <c r="N981" t="s">
        <v>34</v>
      </c>
      <c r="O981" t="s">
        <v>75</v>
      </c>
      <c r="P981" t="s">
        <v>36</v>
      </c>
      <c r="Q981">
        <v>2</v>
      </c>
      <c r="R981" t="s">
        <v>60</v>
      </c>
      <c r="S981">
        <v>25</v>
      </c>
      <c r="T981" t="s">
        <v>98</v>
      </c>
      <c r="U981" t="s">
        <v>36</v>
      </c>
      <c r="V981" t="s">
        <v>69</v>
      </c>
      <c r="W981">
        <v>1</v>
      </c>
      <c r="X981" t="s">
        <v>39</v>
      </c>
      <c r="Y981">
        <v>1</v>
      </c>
      <c r="Z981" t="s">
        <v>51</v>
      </c>
      <c r="AA981" t="s">
        <v>40</v>
      </c>
      <c r="AB981">
        <v>2</v>
      </c>
    </row>
    <row r="982" spans="1:28" x14ac:dyDescent="0.3">
      <c r="A982">
        <v>981</v>
      </c>
      <c r="B982" t="s">
        <v>41</v>
      </c>
      <c r="C982" t="s">
        <v>42</v>
      </c>
      <c r="D982" t="s">
        <v>43</v>
      </c>
      <c r="E982">
        <v>30</v>
      </c>
      <c r="F982" t="s">
        <v>29</v>
      </c>
      <c r="G982" t="s">
        <v>58</v>
      </c>
      <c r="H982">
        <v>8386</v>
      </c>
      <c r="I982" t="s">
        <v>45</v>
      </c>
      <c r="J982" t="s">
        <v>46</v>
      </c>
      <c r="K982" t="s">
        <v>55</v>
      </c>
      <c r="L982" t="s">
        <v>56</v>
      </c>
      <c r="M982">
        <v>2</v>
      </c>
      <c r="N982" t="s">
        <v>34</v>
      </c>
      <c r="O982" t="s">
        <v>35</v>
      </c>
      <c r="P982" t="s">
        <v>36</v>
      </c>
      <c r="Q982">
        <v>2</v>
      </c>
      <c r="R982" t="s">
        <v>60</v>
      </c>
      <c r="S982">
        <v>49</v>
      </c>
      <c r="T982" t="s">
        <v>97</v>
      </c>
      <c r="U982" t="s">
        <v>36</v>
      </c>
      <c r="V982" t="s">
        <v>38</v>
      </c>
      <c r="W982">
        <v>1</v>
      </c>
      <c r="X982" t="s">
        <v>39</v>
      </c>
      <c r="Y982">
        <v>1</v>
      </c>
      <c r="Z982" t="s">
        <v>51</v>
      </c>
      <c r="AA982" t="s">
        <v>40</v>
      </c>
      <c r="AB982">
        <v>2</v>
      </c>
    </row>
    <row r="983" spans="1:28" x14ac:dyDescent="0.3">
      <c r="A983">
        <v>982</v>
      </c>
      <c r="B983" t="s">
        <v>41</v>
      </c>
      <c r="C983" t="s">
        <v>52</v>
      </c>
      <c r="D983" t="s">
        <v>53</v>
      </c>
      <c r="E983">
        <v>48</v>
      </c>
      <c r="F983" t="s">
        <v>44</v>
      </c>
      <c r="G983" t="s">
        <v>78</v>
      </c>
      <c r="H983">
        <v>4844</v>
      </c>
      <c r="I983" t="s">
        <v>45</v>
      </c>
      <c r="J983" t="s">
        <v>46</v>
      </c>
      <c r="K983" t="s">
        <v>74</v>
      </c>
      <c r="L983" t="s">
        <v>74</v>
      </c>
      <c r="M983">
        <v>3</v>
      </c>
      <c r="N983" t="s">
        <v>34</v>
      </c>
      <c r="O983" t="s">
        <v>35</v>
      </c>
      <c r="P983" t="s">
        <v>36</v>
      </c>
      <c r="Q983">
        <v>2</v>
      </c>
      <c r="R983" t="s">
        <v>68</v>
      </c>
      <c r="S983">
        <v>33</v>
      </c>
      <c r="T983" t="s">
        <v>98</v>
      </c>
      <c r="U983" t="s">
        <v>82</v>
      </c>
      <c r="V983" t="s">
        <v>69</v>
      </c>
      <c r="W983">
        <v>1</v>
      </c>
      <c r="X983" t="s">
        <v>70</v>
      </c>
      <c r="Y983">
        <v>1</v>
      </c>
      <c r="Z983" t="s">
        <v>40</v>
      </c>
      <c r="AA983" t="s">
        <v>40</v>
      </c>
      <c r="AB983">
        <v>2</v>
      </c>
    </row>
    <row r="984" spans="1:28" x14ac:dyDescent="0.3">
      <c r="A984">
        <v>983</v>
      </c>
      <c r="B984" t="s">
        <v>26</v>
      </c>
      <c r="C984" t="s">
        <v>83</v>
      </c>
      <c r="D984" t="s">
        <v>84</v>
      </c>
      <c r="E984">
        <v>21</v>
      </c>
      <c r="F984" t="s">
        <v>44</v>
      </c>
      <c r="G984" t="s">
        <v>63</v>
      </c>
      <c r="H984">
        <v>2923</v>
      </c>
      <c r="I984" t="s">
        <v>79</v>
      </c>
      <c r="J984" t="s">
        <v>80</v>
      </c>
      <c r="K984" t="s">
        <v>47</v>
      </c>
      <c r="L984" t="s">
        <v>48</v>
      </c>
      <c r="M984">
        <v>1</v>
      </c>
      <c r="N984" t="s">
        <v>49</v>
      </c>
      <c r="O984" t="s">
        <v>50</v>
      </c>
      <c r="P984" t="s">
        <v>36</v>
      </c>
      <c r="Q984">
        <v>1</v>
      </c>
      <c r="R984" t="s">
        <v>68</v>
      </c>
      <c r="S984">
        <v>28</v>
      </c>
      <c r="T984" t="s">
        <v>98</v>
      </c>
      <c r="U984" t="s">
        <v>82</v>
      </c>
      <c r="V984" t="s">
        <v>38</v>
      </c>
      <c r="W984">
        <v>1</v>
      </c>
      <c r="X984" t="s">
        <v>70</v>
      </c>
      <c r="Y984">
        <v>1</v>
      </c>
      <c r="Z984" t="s">
        <v>40</v>
      </c>
      <c r="AA984" t="s">
        <v>40</v>
      </c>
      <c r="AB984">
        <v>1</v>
      </c>
    </row>
    <row r="985" spans="1:28" x14ac:dyDescent="0.3">
      <c r="A985">
        <v>984</v>
      </c>
      <c r="B985" t="s">
        <v>41</v>
      </c>
      <c r="C985" t="s">
        <v>27</v>
      </c>
      <c r="D985" t="s">
        <v>28</v>
      </c>
      <c r="E985">
        <v>36</v>
      </c>
      <c r="F985" t="s">
        <v>44</v>
      </c>
      <c r="G985" t="s">
        <v>67</v>
      </c>
      <c r="H985">
        <v>8229</v>
      </c>
      <c r="I985" t="s">
        <v>45</v>
      </c>
      <c r="J985" t="s">
        <v>46</v>
      </c>
      <c r="K985" t="s">
        <v>47</v>
      </c>
      <c r="L985" t="s">
        <v>48</v>
      </c>
      <c r="M985">
        <v>2</v>
      </c>
      <c r="N985" t="s">
        <v>34</v>
      </c>
      <c r="O985" t="s">
        <v>35</v>
      </c>
      <c r="P985" t="s">
        <v>36</v>
      </c>
      <c r="Q985">
        <v>2</v>
      </c>
      <c r="R985" t="s">
        <v>60</v>
      </c>
      <c r="S985">
        <v>26</v>
      </c>
      <c r="T985" t="s">
        <v>98</v>
      </c>
      <c r="U985" t="s">
        <v>36</v>
      </c>
      <c r="V985" t="s">
        <v>38</v>
      </c>
      <c r="W985">
        <v>1</v>
      </c>
      <c r="X985" t="s">
        <v>39</v>
      </c>
      <c r="Y985">
        <v>2</v>
      </c>
      <c r="Z985" t="s">
        <v>51</v>
      </c>
      <c r="AA985" t="s">
        <v>40</v>
      </c>
      <c r="AB985">
        <v>2</v>
      </c>
    </row>
    <row r="986" spans="1:28" x14ac:dyDescent="0.3">
      <c r="A986">
        <v>985</v>
      </c>
      <c r="B986" t="s">
        <v>26</v>
      </c>
      <c r="C986" t="s">
        <v>52</v>
      </c>
      <c r="D986" t="s">
        <v>53</v>
      </c>
      <c r="E986">
        <v>24</v>
      </c>
      <c r="F986" t="s">
        <v>29</v>
      </c>
      <c r="G986" t="s">
        <v>58</v>
      </c>
      <c r="H986">
        <v>2028</v>
      </c>
      <c r="I986" t="s">
        <v>45</v>
      </c>
      <c r="J986" t="s">
        <v>46</v>
      </c>
      <c r="K986" t="s">
        <v>55</v>
      </c>
      <c r="L986" t="s">
        <v>56</v>
      </c>
      <c r="M986">
        <v>2</v>
      </c>
      <c r="N986" t="s">
        <v>34</v>
      </c>
      <c r="O986" t="s">
        <v>35</v>
      </c>
      <c r="P986" t="s">
        <v>36</v>
      </c>
      <c r="Q986">
        <v>2</v>
      </c>
      <c r="R986" t="s">
        <v>60</v>
      </c>
      <c r="S986">
        <v>30</v>
      </c>
      <c r="T986" t="s">
        <v>98</v>
      </c>
      <c r="U986" t="s">
        <v>36</v>
      </c>
      <c r="V986" t="s">
        <v>38</v>
      </c>
      <c r="W986">
        <v>2</v>
      </c>
      <c r="X986" t="s">
        <v>57</v>
      </c>
      <c r="Y986">
        <v>1</v>
      </c>
      <c r="Z986" t="s">
        <v>51</v>
      </c>
      <c r="AA986" t="s">
        <v>40</v>
      </c>
      <c r="AB986">
        <v>1</v>
      </c>
    </row>
    <row r="987" spans="1:28" x14ac:dyDescent="0.3">
      <c r="A987">
        <v>986</v>
      </c>
      <c r="B987" t="s">
        <v>26</v>
      </c>
      <c r="C987" t="s">
        <v>27</v>
      </c>
      <c r="D987" t="s">
        <v>28</v>
      </c>
      <c r="E987">
        <v>15</v>
      </c>
      <c r="F987" t="s">
        <v>29</v>
      </c>
      <c r="G987" t="s">
        <v>58</v>
      </c>
      <c r="H987">
        <v>1433</v>
      </c>
      <c r="I987" t="s">
        <v>45</v>
      </c>
      <c r="J987" t="s">
        <v>46</v>
      </c>
      <c r="K987" t="s">
        <v>47</v>
      </c>
      <c r="L987" t="s">
        <v>48</v>
      </c>
      <c r="M987">
        <v>4</v>
      </c>
      <c r="N987" t="s">
        <v>49</v>
      </c>
      <c r="O987" t="s">
        <v>50</v>
      </c>
      <c r="P987" t="s">
        <v>36</v>
      </c>
      <c r="Q987">
        <v>3</v>
      </c>
      <c r="R987" t="s">
        <v>60</v>
      </c>
      <c r="S987">
        <v>25</v>
      </c>
      <c r="T987" t="s">
        <v>98</v>
      </c>
      <c r="U987" t="s">
        <v>36</v>
      </c>
      <c r="V987" t="s">
        <v>69</v>
      </c>
      <c r="W987">
        <v>2</v>
      </c>
      <c r="X987" t="s">
        <v>39</v>
      </c>
      <c r="Y987">
        <v>1</v>
      </c>
      <c r="Z987" t="s">
        <v>51</v>
      </c>
      <c r="AA987" t="s">
        <v>40</v>
      </c>
      <c r="AB987">
        <v>1</v>
      </c>
    </row>
    <row r="988" spans="1:28" x14ac:dyDescent="0.3">
      <c r="A988">
        <v>987</v>
      </c>
      <c r="B988" t="s">
        <v>26</v>
      </c>
      <c r="C988" t="s">
        <v>83</v>
      </c>
      <c r="D988" t="s">
        <v>84</v>
      </c>
      <c r="E988">
        <v>42</v>
      </c>
      <c r="F988" t="s">
        <v>81</v>
      </c>
      <c r="G988" t="s">
        <v>78</v>
      </c>
      <c r="H988">
        <v>6289</v>
      </c>
      <c r="I988" t="s">
        <v>45</v>
      </c>
      <c r="J988" t="s">
        <v>46</v>
      </c>
      <c r="K988" t="s">
        <v>76</v>
      </c>
      <c r="L988" t="s">
        <v>77</v>
      </c>
      <c r="M988">
        <v>2</v>
      </c>
      <c r="N988" t="s">
        <v>34</v>
      </c>
      <c r="O988" t="s">
        <v>73</v>
      </c>
      <c r="P988" t="s">
        <v>36</v>
      </c>
      <c r="Q988">
        <v>1</v>
      </c>
      <c r="R988" t="s">
        <v>60</v>
      </c>
      <c r="S988">
        <v>33</v>
      </c>
      <c r="T988" t="s">
        <v>98</v>
      </c>
      <c r="U988" t="s">
        <v>36</v>
      </c>
      <c r="V988" t="s">
        <v>38</v>
      </c>
      <c r="W988">
        <v>2</v>
      </c>
      <c r="X988" t="s">
        <v>39</v>
      </c>
      <c r="Y988">
        <v>1</v>
      </c>
      <c r="Z988" t="s">
        <v>51</v>
      </c>
      <c r="AA988" t="s">
        <v>40</v>
      </c>
      <c r="AB988">
        <v>1</v>
      </c>
    </row>
    <row r="989" spans="1:28" x14ac:dyDescent="0.3">
      <c r="A989">
        <v>988</v>
      </c>
      <c r="B989" t="s">
        <v>26</v>
      </c>
      <c r="C989" t="s">
        <v>52</v>
      </c>
      <c r="D989" t="s">
        <v>53</v>
      </c>
      <c r="E989">
        <v>13</v>
      </c>
      <c r="F989" t="s">
        <v>44</v>
      </c>
      <c r="G989" t="s">
        <v>30</v>
      </c>
      <c r="H989">
        <v>1409</v>
      </c>
      <c r="I989" t="s">
        <v>79</v>
      </c>
      <c r="J989" t="s">
        <v>80</v>
      </c>
      <c r="K989" t="s">
        <v>74</v>
      </c>
      <c r="L989" t="s">
        <v>74</v>
      </c>
      <c r="M989">
        <v>2</v>
      </c>
      <c r="N989" t="s">
        <v>49</v>
      </c>
      <c r="O989" t="s">
        <v>50</v>
      </c>
      <c r="P989" t="s">
        <v>36</v>
      </c>
      <c r="Q989">
        <v>4</v>
      </c>
      <c r="R989" t="s">
        <v>37</v>
      </c>
      <c r="S989">
        <v>64</v>
      </c>
      <c r="T989" t="s">
        <v>95</v>
      </c>
      <c r="U989" t="s">
        <v>36</v>
      </c>
      <c r="V989" t="s">
        <v>38</v>
      </c>
      <c r="W989">
        <v>1</v>
      </c>
      <c r="X989" t="s">
        <v>39</v>
      </c>
      <c r="Y989">
        <v>1</v>
      </c>
      <c r="Z989" t="s">
        <v>51</v>
      </c>
      <c r="AA989" t="s">
        <v>40</v>
      </c>
      <c r="AB989">
        <v>1</v>
      </c>
    </row>
    <row r="990" spans="1:28" x14ac:dyDescent="0.3">
      <c r="A990">
        <v>989</v>
      </c>
      <c r="B990" t="s">
        <v>26</v>
      </c>
      <c r="C990" t="s">
        <v>27</v>
      </c>
      <c r="D990" t="s">
        <v>28</v>
      </c>
      <c r="E990">
        <v>24</v>
      </c>
      <c r="F990" t="s">
        <v>44</v>
      </c>
      <c r="G990" t="s">
        <v>67</v>
      </c>
      <c r="H990">
        <v>6579</v>
      </c>
      <c r="I990" t="s">
        <v>45</v>
      </c>
      <c r="J990" t="s">
        <v>46</v>
      </c>
      <c r="K990" t="s">
        <v>74</v>
      </c>
      <c r="L990" t="s">
        <v>74</v>
      </c>
      <c r="M990">
        <v>4</v>
      </c>
      <c r="N990" t="s">
        <v>34</v>
      </c>
      <c r="O990" t="s">
        <v>35</v>
      </c>
      <c r="P990" t="s">
        <v>36</v>
      </c>
      <c r="Q990">
        <v>2</v>
      </c>
      <c r="R990" t="s">
        <v>64</v>
      </c>
      <c r="S990">
        <v>29</v>
      </c>
      <c r="T990" t="s">
        <v>98</v>
      </c>
      <c r="U990" t="s">
        <v>36</v>
      </c>
      <c r="V990" t="s">
        <v>61</v>
      </c>
      <c r="W990">
        <v>1</v>
      </c>
      <c r="X990" t="s">
        <v>70</v>
      </c>
      <c r="Y990">
        <v>1</v>
      </c>
      <c r="Z990" t="s">
        <v>40</v>
      </c>
      <c r="AA990" t="s">
        <v>40</v>
      </c>
      <c r="AB990">
        <v>1</v>
      </c>
    </row>
    <row r="991" spans="1:28" x14ac:dyDescent="0.3">
      <c r="A991">
        <v>990</v>
      </c>
      <c r="B991" t="s">
        <v>26</v>
      </c>
      <c r="C991" t="s">
        <v>42</v>
      </c>
      <c r="D991" t="s">
        <v>43</v>
      </c>
      <c r="E991">
        <v>24</v>
      </c>
      <c r="F991" t="s">
        <v>29</v>
      </c>
      <c r="G991" t="s">
        <v>30</v>
      </c>
      <c r="H991">
        <v>1743</v>
      </c>
      <c r="I991" t="s">
        <v>45</v>
      </c>
      <c r="J991" t="s">
        <v>46</v>
      </c>
      <c r="K991" t="s">
        <v>32</v>
      </c>
      <c r="L991" t="s">
        <v>33</v>
      </c>
      <c r="M991">
        <v>4</v>
      </c>
      <c r="N991" t="s">
        <v>34</v>
      </c>
      <c r="O991" t="s">
        <v>35</v>
      </c>
      <c r="P991" t="s">
        <v>36</v>
      </c>
      <c r="Q991">
        <v>2</v>
      </c>
      <c r="R991" t="s">
        <v>60</v>
      </c>
      <c r="S991">
        <v>48</v>
      </c>
      <c r="T991" t="s">
        <v>97</v>
      </c>
      <c r="U991" t="s">
        <v>36</v>
      </c>
      <c r="V991" t="s">
        <v>38</v>
      </c>
      <c r="W991">
        <v>2</v>
      </c>
      <c r="X991" t="s">
        <v>57</v>
      </c>
      <c r="Y991">
        <v>1</v>
      </c>
      <c r="Z991" t="s">
        <v>51</v>
      </c>
      <c r="AA991" t="s">
        <v>40</v>
      </c>
      <c r="AB991">
        <v>1</v>
      </c>
    </row>
    <row r="992" spans="1:28" x14ac:dyDescent="0.3">
      <c r="A992">
        <v>991</v>
      </c>
      <c r="B992" t="s">
        <v>26</v>
      </c>
      <c r="C992" t="s">
        <v>52</v>
      </c>
      <c r="D992" t="s">
        <v>53</v>
      </c>
      <c r="E992">
        <v>12</v>
      </c>
      <c r="F992" t="s">
        <v>29</v>
      </c>
      <c r="G992" t="s">
        <v>54</v>
      </c>
      <c r="H992">
        <v>3565</v>
      </c>
      <c r="I992" t="s">
        <v>31</v>
      </c>
      <c r="J992" t="s">
        <v>31</v>
      </c>
      <c r="K992" t="s">
        <v>76</v>
      </c>
      <c r="L992" t="s">
        <v>77</v>
      </c>
      <c r="M992">
        <v>2</v>
      </c>
      <c r="N992" t="s">
        <v>34</v>
      </c>
      <c r="O992" t="s">
        <v>35</v>
      </c>
      <c r="P992" t="s">
        <v>36</v>
      </c>
      <c r="Q992">
        <v>1</v>
      </c>
      <c r="R992" t="s">
        <v>60</v>
      </c>
      <c r="S992">
        <v>37</v>
      </c>
      <c r="T992" t="s">
        <v>98</v>
      </c>
      <c r="U992" t="s">
        <v>36</v>
      </c>
      <c r="V992" t="s">
        <v>38</v>
      </c>
      <c r="W992">
        <v>2</v>
      </c>
      <c r="X992" t="s">
        <v>57</v>
      </c>
      <c r="Y992">
        <v>2</v>
      </c>
      <c r="Z992" t="s">
        <v>51</v>
      </c>
      <c r="AA992" t="s">
        <v>40</v>
      </c>
      <c r="AB992">
        <v>1</v>
      </c>
    </row>
    <row r="993" spans="1:28" x14ac:dyDescent="0.3">
      <c r="A993">
        <v>992</v>
      </c>
      <c r="B993" t="s">
        <v>26</v>
      </c>
      <c r="C993" t="s">
        <v>52</v>
      </c>
      <c r="D993" t="s">
        <v>53</v>
      </c>
      <c r="E993">
        <v>15</v>
      </c>
      <c r="F993" t="s">
        <v>85</v>
      </c>
      <c r="G993" t="s">
        <v>30</v>
      </c>
      <c r="H993">
        <v>1569</v>
      </c>
      <c r="I993" t="s">
        <v>79</v>
      </c>
      <c r="J993" t="s">
        <v>80</v>
      </c>
      <c r="K993" t="s">
        <v>32</v>
      </c>
      <c r="L993" t="s">
        <v>33</v>
      </c>
      <c r="M993">
        <v>4</v>
      </c>
      <c r="N993" t="s">
        <v>34</v>
      </c>
      <c r="O993" t="s">
        <v>35</v>
      </c>
      <c r="P993" t="s">
        <v>36</v>
      </c>
      <c r="Q993">
        <v>4</v>
      </c>
      <c r="R993" t="s">
        <v>68</v>
      </c>
      <c r="S993">
        <v>34</v>
      </c>
      <c r="T993" t="s">
        <v>98</v>
      </c>
      <c r="U993" t="s">
        <v>82</v>
      </c>
      <c r="V993" t="s">
        <v>38</v>
      </c>
      <c r="W993">
        <v>1</v>
      </c>
      <c r="X993" t="s">
        <v>57</v>
      </c>
      <c r="Y993">
        <v>2</v>
      </c>
      <c r="Z993" t="s">
        <v>51</v>
      </c>
      <c r="AA993" t="s">
        <v>40</v>
      </c>
      <c r="AB993">
        <v>1</v>
      </c>
    </row>
    <row r="994" spans="1:28" x14ac:dyDescent="0.3">
      <c r="A994">
        <v>993</v>
      </c>
      <c r="B994" t="s">
        <v>26</v>
      </c>
      <c r="C994" t="s">
        <v>27</v>
      </c>
      <c r="D994" t="s">
        <v>28</v>
      </c>
      <c r="E994">
        <v>18</v>
      </c>
      <c r="F994" t="s">
        <v>44</v>
      </c>
      <c r="G994" t="s">
        <v>30</v>
      </c>
      <c r="H994">
        <v>1936</v>
      </c>
      <c r="I994" t="s">
        <v>31</v>
      </c>
      <c r="J994" t="s">
        <v>31</v>
      </c>
      <c r="K994" t="s">
        <v>55</v>
      </c>
      <c r="L994" t="s">
        <v>56</v>
      </c>
      <c r="M994">
        <v>2</v>
      </c>
      <c r="N994" t="s">
        <v>34</v>
      </c>
      <c r="O994" t="s">
        <v>75</v>
      </c>
      <c r="P994" t="s">
        <v>36</v>
      </c>
      <c r="Q994">
        <v>4</v>
      </c>
      <c r="R994" t="s">
        <v>68</v>
      </c>
      <c r="S994">
        <v>23</v>
      </c>
      <c r="T994" t="s">
        <v>96</v>
      </c>
      <c r="U994" t="s">
        <v>36</v>
      </c>
      <c r="V994" t="s">
        <v>69</v>
      </c>
      <c r="W994">
        <v>2</v>
      </c>
      <c r="X994" t="s">
        <v>57</v>
      </c>
      <c r="Y994">
        <v>1</v>
      </c>
      <c r="Z994" t="s">
        <v>51</v>
      </c>
      <c r="AA994" t="s">
        <v>40</v>
      </c>
      <c r="AB994">
        <v>1</v>
      </c>
    </row>
    <row r="995" spans="1:28" x14ac:dyDescent="0.3">
      <c r="A995">
        <v>994</v>
      </c>
      <c r="B995" t="s">
        <v>26</v>
      </c>
      <c r="C995" t="s">
        <v>27</v>
      </c>
      <c r="D995" t="s">
        <v>28</v>
      </c>
      <c r="E995">
        <v>36</v>
      </c>
      <c r="F995" t="s">
        <v>44</v>
      </c>
      <c r="G995" t="s">
        <v>58</v>
      </c>
      <c r="H995">
        <v>3959</v>
      </c>
      <c r="I995" t="s">
        <v>45</v>
      </c>
      <c r="J995" t="s">
        <v>46</v>
      </c>
      <c r="K995" t="s">
        <v>74</v>
      </c>
      <c r="L995" t="s">
        <v>74</v>
      </c>
      <c r="M995">
        <v>4</v>
      </c>
      <c r="N995" t="s">
        <v>34</v>
      </c>
      <c r="O995" t="s">
        <v>35</v>
      </c>
      <c r="P995" t="s">
        <v>36</v>
      </c>
      <c r="Q995">
        <v>3</v>
      </c>
      <c r="R995" t="s">
        <v>60</v>
      </c>
      <c r="S995">
        <v>30</v>
      </c>
      <c r="T995" t="s">
        <v>98</v>
      </c>
      <c r="U995" t="s">
        <v>36</v>
      </c>
      <c r="V995" t="s">
        <v>38</v>
      </c>
      <c r="W995">
        <v>1</v>
      </c>
      <c r="X995" t="s">
        <v>70</v>
      </c>
      <c r="Y995">
        <v>1</v>
      </c>
      <c r="Z995" t="s">
        <v>40</v>
      </c>
      <c r="AA995" t="s">
        <v>40</v>
      </c>
      <c r="AB995">
        <v>1</v>
      </c>
    </row>
    <row r="996" spans="1:28" x14ac:dyDescent="0.3">
      <c r="A996">
        <v>995</v>
      </c>
      <c r="B996" t="s">
        <v>26</v>
      </c>
      <c r="C996" t="s">
        <v>52</v>
      </c>
      <c r="D996" t="s">
        <v>53</v>
      </c>
      <c r="E996">
        <v>12</v>
      </c>
      <c r="F996" t="s">
        <v>44</v>
      </c>
      <c r="G996" t="s">
        <v>63</v>
      </c>
      <c r="H996">
        <v>2390</v>
      </c>
      <c r="I996" t="s">
        <v>31</v>
      </c>
      <c r="J996" t="s">
        <v>31</v>
      </c>
      <c r="K996" t="s">
        <v>32</v>
      </c>
      <c r="L996" t="s">
        <v>33</v>
      </c>
      <c r="M996">
        <v>4</v>
      </c>
      <c r="N996" t="s">
        <v>34</v>
      </c>
      <c r="O996" t="s">
        <v>35</v>
      </c>
      <c r="P996" t="s">
        <v>36</v>
      </c>
      <c r="Q996">
        <v>3</v>
      </c>
      <c r="R996" t="s">
        <v>68</v>
      </c>
      <c r="S996">
        <v>50</v>
      </c>
      <c r="T996" t="s">
        <v>97</v>
      </c>
      <c r="U996" t="s">
        <v>36</v>
      </c>
      <c r="V996" t="s">
        <v>38</v>
      </c>
      <c r="W996">
        <v>1</v>
      </c>
      <c r="X996" t="s">
        <v>39</v>
      </c>
      <c r="Y996">
        <v>1</v>
      </c>
      <c r="Z996" t="s">
        <v>40</v>
      </c>
      <c r="AA996" t="s">
        <v>40</v>
      </c>
      <c r="AB996">
        <v>1</v>
      </c>
    </row>
    <row r="997" spans="1:28" x14ac:dyDescent="0.3">
      <c r="A997">
        <v>996</v>
      </c>
      <c r="B997" t="s">
        <v>26</v>
      </c>
      <c r="C997" t="s">
        <v>52</v>
      </c>
      <c r="D997" t="s">
        <v>53</v>
      </c>
      <c r="E997">
        <v>12</v>
      </c>
      <c r="F997" t="s">
        <v>44</v>
      </c>
      <c r="G997" t="s">
        <v>58</v>
      </c>
      <c r="H997">
        <v>1736</v>
      </c>
      <c r="I997" t="s">
        <v>45</v>
      </c>
      <c r="J997" t="s">
        <v>46</v>
      </c>
      <c r="K997" t="s">
        <v>55</v>
      </c>
      <c r="L997" t="s">
        <v>56</v>
      </c>
      <c r="M997">
        <v>3</v>
      </c>
      <c r="N997" t="s">
        <v>49</v>
      </c>
      <c r="O997" t="s">
        <v>50</v>
      </c>
      <c r="P997" t="s">
        <v>36</v>
      </c>
      <c r="Q997">
        <v>4</v>
      </c>
      <c r="R997" t="s">
        <v>37</v>
      </c>
      <c r="S997">
        <v>31</v>
      </c>
      <c r="T997" t="s">
        <v>98</v>
      </c>
      <c r="U997" t="s">
        <v>36</v>
      </c>
      <c r="V997" t="s">
        <v>38</v>
      </c>
      <c r="W997">
        <v>1</v>
      </c>
      <c r="X997" t="s">
        <v>57</v>
      </c>
      <c r="Y997">
        <v>1</v>
      </c>
      <c r="Z997" t="s">
        <v>51</v>
      </c>
      <c r="AA997" t="s">
        <v>40</v>
      </c>
      <c r="AB997">
        <v>1</v>
      </c>
    </row>
    <row r="998" spans="1:28" x14ac:dyDescent="0.3">
      <c r="A998">
        <v>997</v>
      </c>
      <c r="B998" t="s">
        <v>26</v>
      </c>
      <c r="C998" t="s">
        <v>27</v>
      </c>
      <c r="D998" t="s">
        <v>28</v>
      </c>
      <c r="E998">
        <v>30</v>
      </c>
      <c r="F998" t="s">
        <v>44</v>
      </c>
      <c r="G998" t="s">
        <v>67</v>
      </c>
      <c r="H998">
        <v>3857</v>
      </c>
      <c r="I998" t="s">
        <v>45</v>
      </c>
      <c r="J998" t="s">
        <v>46</v>
      </c>
      <c r="K998" t="s">
        <v>47</v>
      </c>
      <c r="L998" t="s">
        <v>48</v>
      </c>
      <c r="M998">
        <v>4</v>
      </c>
      <c r="N998" t="s">
        <v>34</v>
      </c>
      <c r="O998" t="s">
        <v>73</v>
      </c>
      <c r="P998" t="s">
        <v>36</v>
      </c>
      <c r="Q998">
        <v>4</v>
      </c>
      <c r="R998" t="s">
        <v>60</v>
      </c>
      <c r="S998">
        <v>40</v>
      </c>
      <c r="T998" t="s">
        <v>97</v>
      </c>
      <c r="U998" t="s">
        <v>36</v>
      </c>
      <c r="V998" t="s">
        <v>38</v>
      </c>
      <c r="W998">
        <v>1</v>
      </c>
      <c r="X998" t="s">
        <v>70</v>
      </c>
      <c r="Y998">
        <v>1</v>
      </c>
      <c r="Z998" t="s">
        <v>40</v>
      </c>
      <c r="AA998" t="s">
        <v>40</v>
      </c>
      <c r="AB998">
        <v>1</v>
      </c>
    </row>
    <row r="999" spans="1:28" x14ac:dyDescent="0.3">
      <c r="A999">
        <v>998</v>
      </c>
      <c r="B999" t="s">
        <v>26</v>
      </c>
      <c r="C999" t="s">
        <v>52</v>
      </c>
      <c r="D999" t="s">
        <v>53</v>
      </c>
      <c r="E999">
        <v>12</v>
      </c>
      <c r="F999" t="s">
        <v>44</v>
      </c>
      <c r="G999" t="s">
        <v>30</v>
      </c>
      <c r="H999">
        <v>804</v>
      </c>
      <c r="I999" t="s">
        <v>45</v>
      </c>
      <c r="J999" t="s">
        <v>46</v>
      </c>
      <c r="K999" t="s">
        <v>32</v>
      </c>
      <c r="L999" t="s">
        <v>33</v>
      </c>
      <c r="M999">
        <v>4</v>
      </c>
      <c r="N999" t="s">
        <v>34</v>
      </c>
      <c r="O999" t="s">
        <v>35</v>
      </c>
      <c r="P999" t="s">
        <v>36</v>
      </c>
      <c r="Q999">
        <v>4</v>
      </c>
      <c r="R999" t="s">
        <v>68</v>
      </c>
      <c r="S999">
        <v>38</v>
      </c>
      <c r="T999" t="s">
        <v>98</v>
      </c>
      <c r="U999" t="s">
        <v>36</v>
      </c>
      <c r="V999" t="s">
        <v>38</v>
      </c>
      <c r="W999">
        <v>1</v>
      </c>
      <c r="X999" t="s">
        <v>39</v>
      </c>
      <c r="Y999">
        <v>1</v>
      </c>
      <c r="Z999" t="s">
        <v>51</v>
      </c>
      <c r="AA999" t="s">
        <v>40</v>
      </c>
      <c r="AB999">
        <v>1</v>
      </c>
    </row>
    <row r="1000" spans="1:28" x14ac:dyDescent="0.3">
      <c r="A1000">
        <v>999</v>
      </c>
      <c r="B1000" t="s">
        <v>41</v>
      </c>
      <c r="C1000" t="s">
        <v>27</v>
      </c>
      <c r="D1000" t="s">
        <v>28</v>
      </c>
      <c r="E1000">
        <v>45</v>
      </c>
      <c r="F1000" t="s">
        <v>44</v>
      </c>
      <c r="G1000" t="s">
        <v>30</v>
      </c>
      <c r="H1000">
        <v>1845</v>
      </c>
      <c r="I1000" t="s">
        <v>45</v>
      </c>
      <c r="J1000" t="s">
        <v>46</v>
      </c>
      <c r="K1000" t="s">
        <v>47</v>
      </c>
      <c r="L1000" t="s">
        <v>48</v>
      </c>
      <c r="M1000">
        <v>4</v>
      </c>
      <c r="N1000" t="s">
        <v>34</v>
      </c>
      <c r="O1000" t="s">
        <v>35</v>
      </c>
      <c r="P1000" t="s">
        <v>36</v>
      </c>
      <c r="Q1000">
        <v>4</v>
      </c>
      <c r="R1000" t="s">
        <v>64</v>
      </c>
      <c r="S1000">
        <v>23</v>
      </c>
      <c r="T1000" t="s">
        <v>96</v>
      </c>
      <c r="U1000" t="s">
        <v>36</v>
      </c>
      <c r="V1000" t="s">
        <v>61</v>
      </c>
      <c r="W1000">
        <v>1</v>
      </c>
      <c r="X1000" t="s">
        <v>39</v>
      </c>
      <c r="Y1000">
        <v>1</v>
      </c>
      <c r="Z1000" t="s">
        <v>40</v>
      </c>
      <c r="AA1000" t="s">
        <v>40</v>
      </c>
      <c r="AB1000">
        <v>2</v>
      </c>
    </row>
    <row r="1001" spans="1:28" x14ac:dyDescent="0.3">
      <c r="A1001">
        <v>1000</v>
      </c>
      <c r="B1001" t="s">
        <v>26</v>
      </c>
      <c r="C1001" t="s">
        <v>42</v>
      </c>
      <c r="D1001" t="s">
        <v>43</v>
      </c>
      <c r="E1001">
        <v>45</v>
      </c>
      <c r="F1001" t="s">
        <v>29</v>
      </c>
      <c r="G1001" t="s">
        <v>67</v>
      </c>
      <c r="H1001">
        <v>4576</v>
      </c>
      <c r="I1001" t="s">
        <v>79</v>
      </c>
      <c r="J1001" t="s">
        <v>80</v>
      </c>
      <c r="K1001" t="s">
        <v>74</v>
      </c>
      <c r="L1001" t="s">
        <v>74</v>
      </c>
      <c r="M1001">
        <v>3</v>
      </c>
      <c r="N1001" t="s">
        <v>34</v>
      </c>
      <c r="O1001" t="s">
        <v>35</v>
      </c>
      <c r="P1001" t="s">
        <v>36</v>
      </c>
      <c r="Q1001">
        <v>4</v>
      </c>
      <c r="R1001" t="s">
        <v>68</v>
      </c>
      <c r="S1001">
        <v>27</v>
      </c>
      <c r="T1001" t="s">
        <v>98</v>
      </c>
      <c r="U1001" t="s">
        <v>36</v>
      </c>
      <c r="V1001" t="s">
        <v>38</v>
      </c>
      <c r="W1001">
        <v>1</v>
      </c>
      <c r="X1001" t="s">
        <v>39</v>
      </c>
      <c r="Y1001">
        <v>1</v>
      </c>
      <c r="Z1001" t="s">
        <v>51</v>
      </c>
      <c r="AA1001" t="s">
        <v>40</v>
      </c>
      <c r="AB1001">
        <v>1</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D9810-3519-43B0-80C8-9D328EE2D519}">
  <sheetPr codeName="Planilha2"/>
  <dimension ref="B4:F101"/>
  <sheetViews>
    <sheetView showGridLines="0" tabSelected="1" topLeftCell="A76" workbookViewId="0">
      <selection activeCell="B101" sqref="B101"/>
    </sheetView>
  </sheetViews>
  <sheetFormatPr defaultRowHeight="14.4" x14ac:dyDescent="0.3"/>
  <cols>
    <col min="2" max="2" width="22.5546875" bestFit="1" customWidth="1"/>
    <col min="3" max="3" width="24.109375" bestFit="1" customWidth="1"/>
    <col min="4" max="4" width="12.88671875" customWidth="1"/>
    <col min="5" max="5" width="13.5546875" customWidth="1"/>
    <col min="6" max="6" width="10" bestFit="1" customWidth="1"/>
  </cols>
  <sheetData>
    <row r="4" spans="2:5" x14ac:dyDescent="0.3">
      <c r="B4" s="1" t="s">
        <v>103</v>
      </c>
      <c r="C4" s="1" t="s">
        <v>101</v>
      </c>
    </row>
    <row r="5" spans="2:5" x14ac:dyDescent="0.3">
      <c r="B5" s="3" t="s">
        <v>99</v>
      </c>
      <c r="C5" t="s">
        <v>41</v>
      </c>
      <c r="D5" t="s">
        <v>26</v>
      </c>
      <c r="E5" t="s">
        <v>100</v>
      </c>
    </row>
    <row r="6" spans="2:5" x14ac:dyDescent="0.3">
      <c r="B6" s="2" t="s">
        <v>63</v>
      </c>
      <c r="C6" s="4">
        <v>0.38034188034188032</v>
      </c>
      <c r="D6" s="4">
        <v>0.61965811965811968</v>
      </c>
      <c r="E6" s="4">
        <v>1</v>
      </c>
    </row>
    <row r="7" spans="2:5" x14ac:dyDescent="0.3">
      <c r="B7" s="2" t="s">
        <v>67</v>
      </c>
      <c r="C7" s="4">
        <v>0.1650485436893204</v>
      </c>
      <c r="D7" s="4">
        <v>0.83495145631067957</v>
      </c>
      <c r="E7" s="4">
        <v>1</v>
      </c>
    </row>
    <row r="8" spans="2:5" x14ac:dyDescent="0.3">
      <c r="B8" s="2" t="s">
        <v>54</v>
      </c>
      <c r="C8" s="4">
        <v>0.44</v>
      </c>
      <c r="D8" s="4">
        <v>0.56000000000000005</v>
      </c>
      <c r="E8" s="4">
        <v>1</v>
      </c>
    </row>
    <row r="9" spans="2:5" x14ac:dyDescent="0.3">
      <c r="B9" s="2" t="s">
        <v>88</v>
      </c>
      <c r="C9" s="4">
        <v>0.33333333333333331</v>
      </c>
      <c r="D9" s="4">
        <v>0.66666666666666663</v>
      </c>
      <c r="E9" s="4">
        <v>1</v>
      </c>
    </row>
    <row r="10" spans="2:5" x14ac:dyDescent="0.3">
      <c r="B10" s="2" t="s">
        <v>58</v>
      </c>
      <c r="C10" s="4">
        <v>0.32044198895027626</v>
      </c>
      <c r="D10" s="4">
        <v>0.6795580110497238</v>
      </c>
      <c r="E10" s="4">
        <v>1</v>
      </c>
    </row>
    <row r="11" spans="2:5" x14ac:dyDescent="0.3">
      <c r="B11" s="2" t="s">
        <v>78</v>
      </c>
      <c r="C11" s="4">
        <v>0.35051546391752575</v>
      </c>
      <c r="D11" s="4">
        <v>0.64948453608247425</v>
      </c>
      <c r="E11" s="4">
        <v>1</v>
      </c>
    </row>
    <row r="12" spans="2:5" x14ac:dyDescent="0.3">
      <c r="B12" s="2" t="s">
        <v>91</v>
      </c>
      <c r="C12" s="4">
        <v>0.41666666666666669</v>
      </c>
      <c r="D12" s="4">
        <v>0.58333333333333337</v>
      </c>
      <c r="E12" s="4">
        <v>1</v>
      </c>
    </row>
    <row r="13" spans="2:5" x14ac:dyDescent="0.3">
      <c r="B13" s="2" t="s">
        <v>30</v>
      </c>
      <c r="C13" s="4">
        <v>0.22142857142857142</v>
      </c>
      <c r="D13" s="4">
        <v>0.77857142857142858</v>
      </c>
      <c r="E13" s="4">
        <v>1</v>
      </c>
    </row>
    <row r="14" spans="2:5" x14ac:dyDescent="0.3">
      <c r="B14" s="2" t="s">
        <v>92</v>
      </c>
      <c r="C14" s="4">
        <v>0.1111111111111111</v>
      </c>
      <c r="D14" s="4">
        <v>0.88888888888888884</v>
      </c>
      <c r="E14" s="4">
        <v>1</v>
      </c>
    </row>
    <row r="15" spans="2:5" x14ac:dyDescent="0.3">
      <c r="B15" s="2" t="s">
        <v>89</v>
      </c>
      <c r="C15" s="4">
        <v>0.36363636363636365</v>
      </c>
      <c r="D15" s="4">
        <v>0.63636363636363635</v>
      </c>
      <c r="E15" s="4">
        <v>1</v>
      </c>
    </row>
    <row r="16" spans="2:5" x14ac:dyDescent="0.3">
      <c r="B16" s="2" t="s">
        <v>100</v>
      </c>
      <c r="C16" s="4">
        <v>0.3</v>
      </c>
      <c r="D16" s="4">
        <v>0.7</v>
      </c>
      <c r="E16" s="4">
        <v>1</v>
      </c>
    </row>
    <row r="21" spans="2:5" x14ac:dyDescent="0.3">
      <c r="B21" s="1" t="s">
        <v>112</v>
      </c>
      <c r="C21" s="1" t="s">
        <v>101</v>
      </c>
    </row>
    <row r="22" spans="2:5" x14ac:dyDescent="0.3">
      <c r="B22" s="1" t="s">
        <v>99</v>
      </c>
      <c r="C22" t="s">
        <v>41</v>
      </c>
      <c r="D22" t="s">
        <v>26</v>
      </c>
      <c r="E22" t="s">
        <v>100</v>
      </c>
    </row>
    <row r="23" spans="2:5" x14ac:dyDescent="0.3">
      <c r="B23" s="2" t="s">
        <v>105</v>
      </c>
      <c r="C23" s="5">
        <v>2155.0898876404494</v>
      </c>
      <c r="D23" s="5">
        <v>1817.812865497076</v>
      </c>
      <c r="E23" s="5">
        <v>1887.4593967517401</v>
      </c>
    </row>
    <row r="24" spans="2:5" x14ac:dyDescent="0.3">
      <c r="B24" s="2" t="s">
        <v>106</v>
      </c>
      <c r="C24" s="5">
        <v>3138.8771929824561</v>
      </c>
      <c r="D24" s="5">
        <v>3133.9037656903765</v>
      </c>
      <c r="E24" s="5">
        <v>3135.5099150141641</v>
      </c>
    </row>
    <row r="25" spans="2:5" x14ac:dyDescent="0.3">
      <c r="B25" s="2" t="s">
        <v>107</v>
      </c>
      <c r="C25" s="5">
        <v>5634.4528301886794</v>
      </c>
      <c r="D25" s="5">
        <v>5298.1358024691363</v>
      </c>
      <c r="E25" s="5">
        <v>5431.1567164179105</v>
      </c>
    </row>
    <row r="26" spans="2:5" x14ac:dyDescent="0.3">
      <c r="B26" s="2" t="s">
        <v>108</v>
      </c>
      <c r="C26" s="5">
        <v>7083.3055555555557</v>
      </c>
      <c r="D26" s="5">
        <v>6917.3</v>
      </c>
      <c r="E26" s="5">
        <v>7007.848484848485</v>
      </c>
    </row>
    <row r="27" spans="2:5" x14ac:dyDescent="0.3">
      <c r="B27" s="2" t="s">
        <v>109</v>
      </c>
      <c r="C27" s="5">
        <v>10369</v>
      </c>
      <c r="D27" s="5">
        <v>10307.125</v>
      </c>
      <c r="E27" s="5">
        <v>10336</v>
      </c>
    </row>
    <row r="28" spans="2:5" x14ac:dyDescent="0.3">
      <c r="B28" s="2" t="s">
        <v>110</v>
      </c>
      <c r="C28" s="5">
        <v>5595</v>
      </c>
      <c r="D28" s="5"/>
      <c r="E28" s="5">
        <v>5595</v>
      </c>
    </row>
    <row r="29" spans="2:5" x14ac:dyDescent="0.3">
      <c r="B29" s="2" t="s">
        <v>100</v>
      </c>
      <c r="C29" s="5">
        <v>3938.1266666666666</v>
      </c>
      <c r="D29" s="5">
        <v>2985.457142857143</v>
      </c>
      <c r="E29" s="5">
        <v>3271.2579999999998</v>
      </c>
    </row>
    <row r="33" spans="2:5" x14ac:dyDescent="0.3">
      <c r="C33" s="7">
        <f>(C16/E16)</f>
        <v>0.3</v>
      </c>
    </row>
    <row r="35" spans="2:5" x14ac:dyDescent="0.3">
      <c r="B35" s="1" t="s">
        <v>102</v>
      </c>
      <c r="C35" s="1" t="s">
        <v>101</v>
      </c>
    </row>
    <row r="36" spans="2:5" x14ac:dyDescent="0.3">
      <c r="B36" s="1" t="s">
        <v>99</v>
      </c>
      <c r="C36" t="s">
        <v>41</v>
      </c>
      <c r="D36" t="s">
        <v>26</v>
      </c>
      <c r="E36" t="s">
        <v>100</v>
      </c>
    </row>
    <row r="37" spans="2:5" x14ac:dyDescent="0.3">
      <c r="B37" s="2" t="s">
        <v>29</v>
      </c>
      <c r="C37" s="4">
        <v>0.1640699763853796</v>
      </c>
      <c r="D37" s="4">
        <v>0.83593002361462043</v>
      </c>
      <c r="E37" s="4">
        <v>1</v>
      </c>
    </row>
    <row r="38" spans="2:5" x14ac:dyDescent="0.3">
      <c r="B38" s="2" t="s">
        <v>81</v>
      </c>
      <c r="C38" s="4">
        <v>0.63226328567574863</v>
      </c>
      <c r="D38" s="4">
        <v>0.36773671432425142</v>
      </c>
      <c r="E38" s="4">
        <v>1</v>
      </c>
    </row>
    <row r="39" spans="2:5" x14ac:dyDescent="0.3">
      <c r="B39" s="2" t="s">
        <v>62</v>
      </c>
      <c r="C39" s="4">
        <v>0.29408399130335278</v>
      </c>
      <c r="D39" s="4">
        <v>0.70591600869664717</v>
      </c>
      <c r="E39" s="4">
        <v>1</v>
      </c>
    </row>
    <row r="40" spans="2:5" x14ac:dyDescent="0.3">
      <c r="B40" s="2" t="s">
        <v>44</v>
      </c>
      <c r="C40" s="4">
        <v>0.3395819890799458</v>
      </c>
      <c r="D40" s="4">
        <v>0.66041801092005414</v>
      </c>
      <c r="E40" s="4">
        <v>1</v>
      </c>
    </row>
    <row r="41" spans="2:5" x14ac:dyDescent="0.3">
      <c r="B41" s="2" t="s">
        <v>85</v>
      </c>
      <c r="C41" s="4">
        <v>0.58323810884159411</v>
      </c>
      <c r="D41" s="4">
        <v>0.41676189115840595</v>
      </c>
      <c r="E41" s="4">
        <v>1</v>
      </c>
    </row>
    <row r="42" spans="2:5" x14ac:dyDescent="0.3">
      <c r="B42" s="2" t="s">
        <v>100</v>
      </c>
      <c r="C42" s="4">
        <v>0.30914685314685314</v>
      </c>
      <c r="D42" s="4">
        <v>0.6908531468531468</v>
      </c>
      <c r="E42" s="4">
        <v>1</v>
      </c>
    </row>
    <row r="49" spans="2:6" x14ac:dyDescent="0.3">
      <c r="B49" s="1" t="s">
        <v>0</v>
      </c>
      <c r="C49" t="s">
        <v>104</v>
      </c>
    </row>
    <row r="51" spans="2:6" x14ac:dyDescent="0.3">
      <c r="B51" s="1" t="s">
        <v>103</v>
      </c>
      <c r="C51" s="1" t="s">
        <v>101</v>
      </c>
    </row>
    <row r="52" spans="2:6" x14ac:dyDescent="0.3">
      <c r="B52" s="1" t="s">
        <v>99</v>
      </c>
      <c r="C52" t="s">
        <v>69</v>
      </c>
      <c r="D52" t="s">
        <v>61</v>
      </c>
      <c r="E52" t="s">
        <v>38</v>
      </c>
      <c r="F52" t="s">
        <v>100</v>
      </c>
    </row>
    <row r="53" spans="2:6" x14ac:dyDescent="0.3">
      <c r="B53" s="2" t="s">
        <v>98</v>
      </c>
      <c r="C53" s="8">
        <v>76</v>
      </c>
      <c r="D53" s="8">
        <v>43</v>
      </c>
      <c r="E53" s="8">
        <v>433</v>
      </c>
      <c r="F53" s="8">
        <v>552</v>
      </c>
    </row>
    <row r="54" spans="2:6" x14ac:dyDescent="0.3">
      <c r="B54" s="2" t="s">
        <v>95</v>
      </c>
      <c r="C54" s="8">
        <v>3</v>
      </c>
      <c r="D54" s="8">
        <v>14</v>
      </c>
      <c r="E54" s="8">
        <v>34</v>
      </c>
      <c r="F54" s="8">
        <v>51</v>
      </c>
    </row>
    <row r="55" spans="2:6" x14ac:dyDescent="0.3">
      <c r="B55" s="2" t="s">
        <v>96</v>
      </c>
      <c r="C55" s="8">
        <v>69</v>
      </c>
      <c r="D55" s="8">
        <v>5</v>
      </c>
      <c r="E55" s="8">
        <v>75</v>
      </c>
      <c r="F55" s="8">
        <v>149</v>
      </c>
    </row>
    <row r="56" spans="2:6" x14ac:dyDescent="0.3">
      <c r="B56" s="2" t="s">
        <v>97</v>
      </c>
      <c r="C56" s="8">
        <v>31</v>
      </c>
      <c r="D56" s="8">
        <v>46</v>
      </c>
      <c r="E56" s="8">
        <v>171</v>
      </c>
      <c r="F56" s="8">
        <v>248</v>
      </c>
    </row>
    <row r="57" spans="2:6" x14ac:dyDescent="0.3">
      <c r="B57" s="2" t="s">
        <v>100</v>
      </c>
      <c r="C57" s="8">
        <v>179</v>
      </c>
      <c r="D57" s="8">
        <v>108</v>
      </c>
      <c r="E57" s="8">
        <v>713</v>
      </c>
      <c r="F57" s="8">
        <v>1000</v>
      </c>
    </row>
    <row r="70" spans="2:5" x14ac:dyDescent="0.3">
      <c r="B70" s="1" t="s">
        <v>102</v>
      </c>
      <c r="C70" s="1" t="s">
        <v>101</v>
      </c>
    </row>
    <row r="71" spans="2:5" x14ac:dyDescent="0.3">
      <c r="B71" s="1" t="s">
        <v>99</v>
      </c>
      <c r="C71" t="s">
        <v>41</v>
      </c>
      <c r="D71" t="s">
        <v>26</v>
      </c>
      <c r="E71" t="s">
        <v>100</v>
      </c>
    </row>
    <row r="72" spans="2:5" x14ac:dyDescent="0.3">
      <c r="B72" s="2">
        <v>1</v>
      </c>
      <c r="C72" s="4">
        <v>0.24970830216903514</v>
      </c>
      <c r="D72" s="4">
        <v>0.75029169783096483</v>
      </c>
      <c r="E72" s="4">
        <v>1</v>
      </c>
    </row>
    <row r="73" spans="2:5" x14ac:dyDescent="0.3">
      <c r="B73" s="2">
        <v>2</v>
      </c>
      <c r="C73" s="4">
        <v>0.30120975116925192</v>
      </c>
      <c r="D73" s="4">
        <v>0.69879024883074803</v>
      </c>
      <c r="E73" s="4">
        <v>1</v>
      </c>
    </row>
    <row r="74" spans="2:5" x14ac:dyDescent="0.3">
      <c r="B74" s="2">
        <v>3</v>
      </c>
      <c r="C74" s="4">
        <v>0.3068865805378706</v>
      </c>
      <c r="D74" s="4">
        <v>0.69311341946212934</v>
      </c>
      <c r="E74" s="4">
        <v>1</v>
      </c>
    </row>
    <row r="75" spans="2:5" x14ac:dyDescent="0.3">
      <c r="B75" s="2">
        <v>4</v>
      </c>
      <c r="C75" s="4">
        <v>0.33041350480155801</v>
      </c>
      <c r="D75" s="4">
        <v>0.66958649519844204</v>
      </c>
      <c r="E75" s="4">
        <v>1</v>
      </c>
    </row>
    <row r="76" spans="2:5" x14ac:dyDescent="0.3">
      <c r="B76" s="2" t="s">
        <v>100</v>
      </c>
      <c r="C76" s="4">
        <v>0.30914685314685314</v>
      </c>
      <c r="D76" s="4">
        <v>0.6908531468531468</v>
      </c>
      <c r="E76" s="4">
        <v>1</v>
      </c>
    </row>
    <row r="90" spans="2:2" x14ac:dyDescent="0.3">
      <c r="B90" t="s">
        <v>103</v>
      </c>
    </row>
    <row r="91" spans="2:2" x14ac:dyDescent="0.3">
      <c r="B91">
        <v>1000</v>
      </c>
    </row>
    <row r="100" spans="2:3" x14ac:dyDescent="0.3">
      <c r="B100" t="s">
        <v>111</v>
      </c>
      <c r="C100" t="s">
        <v>113</v>
      </c>
    </row>
    <row r="101" spans="2:3" x14ac:dyDescent="0.3">
      <c r="B101" s="5">
        <v>3271258</v>
      </c>
      <c r="C101" s="8">
        <v>3271.2579999999998</v>
      </c>
    </row>
  </sheetData>
  <pageMargins left="0.511811024" right="0.511811024" top="0.78740157499999996" bottom="0.78740157499999996" header="0.31496062000000002" footer="0.31496062000000002"/>
  <pageSetup paperSize="9"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95BD0-D042-4C00-A591-48C036A2B27A}">
  <sheetPr codeName="Planilha3"/>
  <dimension ref="A1:AJ57"/>
  <sheetViews>
    <sheetView showGridLines="0" showRowColHeaders="0" topLeftCell="A2" zoomScale="65" zoomScaleNormal="65" workbookViewId="0">
      <selection activeCell="AK56" sqref="AK56"/>
    </sheetView>
  </sheetViews>
  <sheetFormatPr defaultRowHeight="14.4" x14ac:dyDescent="0.3"/>
  <sheetData>
    <row r="1" spans="1:36" x14ac:dyDescent="0.3">
      <c r="A1" s="6"/>
      <c r="B1" s="6"/>
      <c r="C1" s="6"/>
      <c r="D1" s="6"/>
      <c r="E1" s="6"/>
      <c r="F1" s="6"/>
      <c r="G1" s="6"/>
      <c r="H1" s="6"/>
      <c r="I1" s="6"/>
      <c r="J1" s="6"/>
      <c r="K1" s="6"/>
      <c r="L1" s="6"/>
      <c r="M1" s="6"/>
      <c r="N1" s="6"/>
      <c r="O1" s="6"/>
      <c r="P1" s="6"/>
      <c r="Q1" s="6"/>
      <c r="R1" s="6"/>
      <c r="S1" s="6"/>
      <c r="T1" s="6"/>
      <c r="U1" s="6"/>
      <c r="V1" s="6"/>
      <c r="W1" s="6"/>
      <c r="X1" s="6"/>
      <c r="Y1" s="6"/>
      <c r="Z1" s="6"/>
      <c r="AA1" s="6"/>
      <c r="AB1" s="6"/>
    </row>
    <row r="2" spans="1:36" x14ac:dyDescent="0.3">
      <c r="A2" s="6"/>
      <c r="B2" s="6"/>
      <c r="C2" s="6"/>
      <c r="D2" s="6"/>
      <c r="E2" s="6"/>
      <c r="F2" s="6"/>
      <c r="G2" s="6"/>
      <c r="H2" s="6"/>
      <c r="I2" s="6"/>
      <c r="J2" s="6"/>
      <c r="K2" s="6"/>
      <c r="L2" s="6"/>
      <c r="M2" s="6"/>
      <c r="N2" s="6"/>
      <c r="O2" s="6"/>
      <c r="P2" s="6"/>
      <c r="Q2" s="6"/>
      <c r="R2" s="6"/>
      <c r="S2" s="6"/>
      <c r="T2" s="6"/>
      <c r="U2" s="6"/>
      <c r="V2" s="6"/>
      <c r="W2" s="6"/>
      <c r="X2" s="6"/>
      <c r="Y2" s="6"/>
      <c r="Z2" s="6"/>
      <c r="AA2" s="6"/>
      <c r="AB2" s="6"/>
    </row>
    <row r="3" spans="1:36" x14ac:dyDescent="0.3">
      <c r="A3" s="6"/>
      <c r="B3" s="6"/>
      <c r="C3" s="6"/>
      <c r="D3" s="6"/>
      <c r="E3" s="6"/>
      <c r="F3" s="6"/>
      <c r="G3" s="6"/>
      <c r="H3" s="6"/>
      <c r="I3" s="6"/>
      <c r="J3" s="6"/>
      <c r="K3" s="6"/>
      <c r="L3" s="6"/>
      <c r="M3" s="6"/>
      <c r="N3" s="6"/>
      <c r="O3" s="6"/>
      <c r="P3" s="6"/>
      <c r="Q3" s="6"/>
      <c r="R3" s="6"/>
      <c r="S3" s="6"/>
      <c r="T3" s="6"/>
      <c r="U3" s="6"/>
      <c r="V3" s="6"/>
      <c r="W3" s="6"/>
      <c r="X3" s="6"/>
      <c r="Y3" s="6"/>
      <c r="Z3" s="6"/>
      <c r="AA3" s="6"/>
      <c r="AB3" s="6"/>
    </row>
    <row r="4" spans="1:36" x14ac:dyDescent="0.3">
      <c r="A4" s="6"/>
      <c r="B4" s="6"/>
      <c r="C4" s="6"/>
      <c r="D4" s="6"/>
      <c r="E4" s="6"/>
      <c r="F4" s="6"/>
      <c r="G4" s="6"/>
      <c r="H4" s="6"/>
      <c r="I4" s="6"/>
      <c r="J4" s="6"/>
      <c r="K4" s="6"/>
      <c r="L4" s="6"/>
      <c r="M4" s="6"/>
      <c r="N4" s="6"/>
      <c r="O4" s="6"/>
      <c r="P4" s="6"/>
      <c r="Q4" s="6"/>
      <c r="R4" s="6"/>
      <c r="S4" s="6"/>
      <c r="T4" s="6"/>
      <c r="U4" s="6"/>
      <c r="V4" s="6"/>
      <c r="W4" s="6"/>
      <c r="X4" s="6"/>
      <c r="Y4" s="6"/>
      <c r="Z4" s="6"/>
      <c r="AA4" s="6"/>
      <c r="AB4" s="6"/>
    </row>
    <row r="5" spans="1:36"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row>
    <row r="6" spans="1:36"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row>
    <row r="7" spans="1:36"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row>
    <row r="8" spans="1:36"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row>
    <row r="9" spans="1:36"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row>
    <row r="10" spans="1:36"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row>
    <row r="11" spans="1:36"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row>
    <row r="12" spans="1:36"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row>
    <row r="13" spans="1:36"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row>
    <row r="14" spans="1:36"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row>
    <row r="15" spans="1:36"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row>
    <row r="16" spans="1:36"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row>
    <row r="17" spans="1:36"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row>
    <row r="18" spans="1:36"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row>
    <row r="19" spans="1:36"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row>
    <row r="20" spans="1:36"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row>
    <row r="21" spans="1:36"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row>
    <row r="22" spans="1:36"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row>
    <row r="23" spans="1:36"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row>
    <row r="24" spans="1:36"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row>
    <row r="25" spans="1:36"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row>
    <row r="26" spans="1:36"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row>
    <row r="27" spans="1:36"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row>
    <row r="28" spans="1:36"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row>
    <row r="29" spans="1:36"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row>
    <row r="30" spans="1:36"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row>
    <row r="31" spans="1:36"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36"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row>
    <row r="33" spans="1:36"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row>
    <row r="34" spans="1:36"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row>
    <row r="35" spans="1:36"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row>
    <row r="36" spans="1:36"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row>
    <row r="37" spans="1:36"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row>
    <row r="38" spans="1:36"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row>
    <row r="39" spans="1:36"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row>
    <row r="40" spans="1:36"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row>
    <row r="41" spans="1:36"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row>
    <row r="42" spans="1:36"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row>
    <row r="43" spans="1:36"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row>
    <row r="44" spans="1:36" x14ac:dyDescent="0.3">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row>
    <row r="45" spans="1:36" x14ac:dyDescent="0.3">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row>
    <row r="46" spans="1:36" x14ac:dyDescent="0.3">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row>
    <row r="47" spans="1:36" x14ac:dyDescent="0.3">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row>
    <row r="48" spans="1:36" x14ac:dyDescent="0.3">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row>
    <row r="49" spans="5:36" x14ac:dyDescent="0.3">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row>
    <row r="50" spans="5:36" x14ac:dyDescent="0.3">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row>
    <row r="51" spans="5:36" x14ac:dyDescent="0.3">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row>
    <row r="52" spans="5:36" x14ac:dyDescent="0.3">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row>
    <row r="53" spans="5:36" x14ac:dyDescent="0.3">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row>
    <row r="54" spans="5:36" x14ac:dyDescent="0.3">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row>
    <row r="55" spans="5:36" x14ac:dyDescent="0.3">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row>
    <row r="56" spans="5:36" x14ac:dyDescent="0.3">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row>
    <row r="57" spans="5:36" x14ac:dyDescent="0.3">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row>
  </sheetData>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C36932-B7FB-4442-B87C-DD94A85391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dataset</vt:lpstr>
      <vt:lpstr>Analises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Casseca</dc:creator>
  <cp:lastModifiedBy>Santiago Casseca</cp:lastModifiedBy>
  <dcterms:created xsi:type="dcterms:W3CDTF">2026-02-22T16:02:51Z</dcterms:created>
  <dcterms:modified xsi:type="dcterms:W3CDTF">2026-02-25T02:30:32Z</dcterms:modified>
</cp:coreProperties>
</file>